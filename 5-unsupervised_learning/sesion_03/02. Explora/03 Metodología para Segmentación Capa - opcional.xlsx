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.xml" ContentType="application/vnd.openxmlformats-officedocument.drawing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0.xml" ContentType="application/vnd.openxmlformats-officedocument.drawingml.chartshapes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7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8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charts/chart8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11 DMC\04 No Supervisado - PEA 2021\Sesión 2\"/>
    </mc:Choice>
  </mc:AlternateContent>
  <bookViews>
    <workbookView xWindow="0" yWindow="0" windowWidth="20490" windowHeight="9045" tabRatio="887"/>
  </bookViews>
  <sheets>
    <sheet name="Análisis Previo" sheetId="12" r:id="rId1"/>
    <sheet name="Público Objetivo" sheetId="32" r:id="rId2"/>
    <sheet name="Cluster 3" sheetId="15" r:id="rId3"/>
    <sheet name="Cluster 4" sheetId="16" r:id="rId4"/>
    <sheet name="Cluster 10" sheetId="23" r:id="rId5"/>
    <sheet name="Cluster 11 y Correlación Seg" sheetId="24" r:id="rId6"/>
    <sheet name="Segmento" sheetId="28" r:id="rId7"/>
    <sheet name="Evaluación" sheetId="29" r:id="rId8"/>
    <sheet name="Perfil" sheetId="31" r:id="rId9"/>
    <sheet name="Kohonen Mapa" sheetId="30" r:id="rId10"/>
  </sheets>
  <definedNames>
    <definedName name="TRXS" localSheetId="0">#REF!</definedName>
    <definedName name="TRXS" localSheetId="4">#REF!</definedName>
    <definedName name="TRXS" localSheetId="5">#REF!</definedName>
    <definedName name="TRXS" localSheetId="3">#REF!</definedName>
    <definedName name="TRXS">#REF!</definedName>
  </definedNames>
  <calcPr calcId="152511"/>
  <pivotCaches>
    <pivotCache cacheId="0" r:id="rId11"/>
    <pivotCache cacheId="1" r:id="rId12"/>
  </pivotCaches>
</workbook>
</file>

<file path=xl/calcChain.xml><?xml version="1.0" encoding="utf-8"?>
<calcChain xmlns="http://schemas.openxmlformats.org/spreadsheetml/2006/main">
  <c r="H20" i="12" l="1"/>
  <c r="I20" i="12" s="1"/>
  <c r="H10" i="12"/>
  <c r="I10" i="12" s="1"/>
  <c r="H9" i="12"/>
  <c r="I9" i="12" s="1"/>
  <c r="B163" i="31" l="1"/>
  <c r="AN7" i="24" l="1"/>
  <c r="AN8" i="24"/>
  <c r="AN9" i="24"/>
  <c r="AN10" i="24"/>
  <c r="AN11" i="24"/>
  <c r="AN12" i="24"/>
  <c r="AN13" i="24"/>
  <c r="AN14" i="24"/>
  <c r="AN15" i="24"/>
  <c r="AN16" i="24"/>
  <c r="AN6" i="24"/>
  <c r="AN27" i="24"/>
  <c r="AN26" i="24"/>
  <c r="AN25" i="24"/>
  <c r="AN24" i="24"/>
  <c r="AN23" i="24"/>
  <c r="AN22" i="24"/>
  <c r="AN21" i="24"/>
  <c r="AN20" i="24"/>
  <c r="AN19" i="24"/>
  <c r="AN18" i="24"/>
  <c r="AN17" i="24"/>
  <c r="B210" i="31" l="1"/>
  <c r="B211" i="31"/>
  <c r="B182" i="31"/>
  <c r="B183" i="31" s="1"/>
  <c r="B156" i="31"/>
  <c r="B157" i="31" s="1"/>
  <c r="B127" i="31"/>
  <c r="B128" i="31"/>
  <c r="B102" i="31"/>
  <c r="B103" i="31" s="1"/>
  <c r="B74" i="31"/>
  <c r="B75" i="31" s="1"/>
  <c r="B44" i="31"/>
  <c r="B45" i="31" s="1"/>
  <c r="B17" i="31"/>
  <c r="B18" i="31" s="1"/>
  <c r="X13" i="31"/>
  <c r="Y9" i="31" s="1"/>
  <c r="X24" i="31" l="1"/>
  <c r="Y20" i="31" s="1"/>
  <c r="Y10" i="31"/>
  <c r="Y12" i="31" l="1"/>
  <c r="Y22" i="31"/>
  <c r="Y21" i="31"/>
  <c r="Y23" i="31"/>
  <c r="Y11" i="31"/>
  <c r="Y19" i="31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E29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E30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7" i="30"/>
  <c r="D28" i="30"/>
  <c r="D29" i="30"/>
  <c r="D30" i="30"/>
  <c r="D31" i="30"/>
  <c r="D32" i="30"/>
  <c r="D33" i="30"/>
  <c r="D26" i="30"/>
  <c r="C33" i="30"/>
  <c r="C27" i="30"/>
  <c r="C28" i="30"/>
  <c r="C29" i="30"/>
  <c r="C30" i="30"/>
  <c r="C31" i="30"/>
  <c r="C32" i="30"/>
  <c r="C26" i="30"/>
  <c r="C35" i="30" l="1"/>
  <c r="C36" i="30" s="1"/>
  <c r="W27" i="30"/>
  <c r="W28" i="30"/>
  <c r="W29" i="30"/>
  <c r="W30" i="30"/>
  <c r="W31" i="30"/>
  <c r="W32" i="30"/>
  <c r="W33" i="30"/>
  <c r="W26" i="30"/>
  <c r="F35" i="30" l="1"/>
  <c r="F36" i="30" s="1"/>
  <c r="J35" i="30"/>
  <c r="J36" i="30" s="1"/>
  <c r="N35" i="30"/>
  <c r="N36" i="30" s="1"/>
  <c r="R35" i="30"/>
  <c r="R36" i="30" s="1"/>
  <c r="H35" i="30"/>
  <c r="H36" i="30" s="1"/>
  <c r="L35" i="30"/>
  <c r="L36" i="30" s="1"/>
  <c r="P35" i="30"/>
  <c r="P36" i="30" s="1"/>
  <c r="T35" i="30"/>
  <c r="T36" i="30" s="1"/>
  <c r="V35" i="30"/>
  <c r="V36" i="30" s="1"/>
  <c r="O35" i="30"/>
  <c r="O36" i="30" s="1"/>
  <c r="S35" i="30"/>
  <c r="S36" i="30" s="1"/>
  <c r="G35" i="30"/>
  <c r="G36" i="30" s="1"/>
  <c r="K35" i="30"/>
  <c r="K36" i="30" s="1"/>
  <c r="D35" i="30"/>
  <c r="D36" i="30" s="1"/>
  <c r="E35" i="30"/>
  <c r="E36" i="30" s="1"/>
  <c r="I35" i="30"/>
  <c r="I36" i="30" s="1"/>
  <c r="M35" i="30"/>
  <c r="M36" i="30" s="1"/>
  <c r="Q35" i="30"/>
  <c r="Q36" i="30" s="1"/>
  <c r="U35" i="30"/>
  <c r="U36" i="30" s="1"/>
  <c r="BB84" i="24"/>
  <c r="BB73" i="24"/>
  <c r="BB62" i="24"/>
  <c r="BB52" i="24"/>
  <c r="BB41" i="24"/>
  <c r="BB29" i="24"/>
  <c r="BB17" i="24"/>
  <c r="BB6" i="24"/>
  <c r="AY92" i="24"/>
  <c r="AY93" i="24"/>
  <c r="AY91" i="24"/>
  <c r="AY90" i="24"/>
  <c r="AY89" i="24"/>
  <c r="AY88" i="24"/>
  <c r="AY87" i="24"/>
  <c r="AY86" i="24"/>
  <c r="AY85" i="24"/>
  <c r="AY84" i="24"/>
  <c r="AY83" i="24"/>
  <c r="AY82" i="24"/>
  <c r="AY81" i="24"/>
  <c r="AY80" i="24"/>
  <c r="AY79" i="24"/>
  <c r="AY78" i="24"/>
  <c r="AY77" i="24"/>
  <c r="AY76" i="24"/>
  <c r="AY75" i="24"/>
  <c r="AY74" i="24"/>
  <c r="AY73" i="24"/>
  <c r="AY72" i="24"/>
  <c r="AY71" i="24"/>
  <c r="AY70" i="24"/>
  <c r="AY69" i="24"/>
  <c r="AY68" i="24"/>
  <c r="AY67" i="24"/>
  <c r="AY66" i="24"/>
  <c r="AY65" i="24"/>
  <c r="AY64" i="24"/>
  <c r="AY63" i="24"/>
  <c r="AY62" i="24"/>
  <c r="AY61" i="24"/>
  <c r="AY60" i="24"/>
  <c r="AY59" i="24"/>
  <c r="AY58" i="24"/>
  <c r="AY57" i="24"/>
  <c r="AY56" i="24"/>
  <c r="AY55" i="24"/>
  <c r="AY54" i="24"/>
  <c r="AY53" i="24"/>
  <c r="AY52" i="24"/>
  <c r="AY51" i="24"/>
  <c r="AY50" i="24"/>
  <c r="AY49" i="24"/>
  <c r="AY48" i="24"/>
  <c r="AY47" i="24"/>
  <c r="AY46" i="24"/>
  <c r="AY45" i="24"/>
  <c r="AY44" i="24"/>
  <c r="AY43" i="24"/>
  <c r="AY42" i="24"/>
  <c r="AY41" i="24"/>
  <c r="AY40" i="24"/>
  <c r="AY39" i="24"/>
  <c r="AY38" i="24"/>
  <c r="AY37" i="24"/>
  <c r="AY36" i="24"/>
  <c r="AY35" i="24"/>
  <c r="AY34" i="24"/>
  <c r="AY33" i="24"/>
  <c r="AY32" i="24"/>
  <c r="AY31" i="24"/>
  <c r="AY30" i="24"/>
  <c r="AY29" i="24"/>
  <c r="AY28" i="24"/>
  <c r="AY27" i="24"/>
  <c r="AY26" i="24"/>
  <c r="AY25" i="24"/>
  <c r="AY24" i="24"/>
  <c r="AY23" i="24"/>
  <c r="AY22" i="24"/>
  <c r="AY21" i="24"/>
  <c r="AY20" i="24"/>
  <c r="AY19" i="24"/>
  <c r="AY18" i="24"/>
  <c r="AY17" i="24"/>
  <c r="AY7" i="24"/>
  <c r="AY6" i="24"/>
  <c r="AY16" i="24"/>
  <c r="AY15" i="24"/>
  <c r="AY14" i="24"/>
  <c r="AY13" i="24"/>
  <c r="AY12" i="24"/>
  <c r="AY11" i="24"/>
  <c r="AY10" i="24"/>
  <c r="AY9" i="24"/>
  <c r="AY8" i="24"/>
  <c r="B134" i="24"/>
  <c r="B135" i="24"/>
  <c r="B136" i="24"/>
  <c r="B137" i="24"/>
  <c r="B138" i="24"/>
  <c r="B139" i="24"/>
  <c r="B140" i="24"/>
  <c r="B141" i="24"/>
  <c r="B142" i="24"/>
  <c r="B143" i="24"/>
  <c r="B133" i="24"/>
  <c r="B145" i="24" l="1"/>
  <c r="B146" i="24" s="1"/>
  <c r="C3" i="24"/>
  <c r="C3" i="23"/>
  <c r="C3" i="16"/>
  <c r="J7" i="28" l="1"/>
  <c r="U126" i="24" l="1"/>
  <c r="U125" i="24"/>
  <c r="U124" i="24"/>
  <c r="U123" i="24"/>
  <c r="U122" i="24"/>
  <c r="U121" i="24"/>
  <c r="U120" i="24"/>
  <c r="U119" i="24"/>
  <c r="U118" i="24"/>
  <c r="U117" i="24"/>
  <c r="U116" i="24"/>
  <c r="U115" i="24"/>
  <c r="U114" i="24"/>
  <c r="U113" i="24"/>
  <c r="U112" i="24"/>
  <c r="U111" i="24"/>
  <c r="U110" i="24"/>
  <c r="U109" i="24"/>
  <c r="U108" i="24"/>
  <c r="U107" i="24"/>
  <c r="U106" i="24"/>
  <c r="U105" i="24"/>
  <c r="U104" i="24"/>
  <c r="U103" i="24"/>
  <c r="U102" i="24"/>
  <c r="U101" i="24"/>
  <c r="U100" i="24"/>
  <c r="U99" i="24"/>
  <c r="U98" i="24"/>
  <c r="U97" i="24"/>
  <c r="U96" i="24"/>
  <c r="U95" i="24"/>
  <c r="U94" i="24"/>
  <c r="U93" i="24"/>
  <c r="U92" i="24"/>
  <c r="U91" i="24"/>
  <c r="U90" i="24"/>
  <c r="U89" i="24"/>
  <c r="U88" i="24"/>
  <c r="U87" i="24"/>
  <c r="U86" i="24"/>
  <c r="U85" i="24"/>
  <c r="U84" i="24"/>
  <c r="U83" i="24"/>
  <c r="U82" i="24"/>
  <c r="U81" i="24"/>
  <c r="U80" i="24"/>
  <c r="U79" i="24"/>
  <c r="U78" i="24"/>
  <c r="U77" i="24"/>
  <c r="U76" i="24"/>
  <c r="U75" i="24"/>
  <c r="U74" i="24"/>
  <c r="U73" i="24"/>
  <c r="U72" i="24"/>
  <c r="U71" i="24"/>
  <c r="U70" i="24"/>
  <c r="U69" i="24"/>
  <c r="U68" i="24"/>
  <c r="U67" i="24"/>
  <c r="U66" i="24"/>
  <c r="U65" i="24"/>
  <c r="U64" i="24"/>
  <c r="U63" i="24"/>
  <c r="U62" i="24"/>
  <c r="U61" i="24"/>
  <c r="U60" i="24"/>
  <c r="U59" i="24"/>
  <c r="U58" i="24"/>
  <c r="U57" i="24"/>
  <c r="U56" i="24"/>
  <c r="U55" i="24"/>
  <c r="U54" i="24"/>
  <c r="U53" i="24"/>
  <c r="U52" i="24"/>
  <c r="U51" i="24"/>
  <c r="U50" i="24"/>
  <c r="U49" i="24"/>
  <c r="U48" i="24"/>
  <c r="U47" i="24"/>
  <c r="U46" i="24"/>
  <c r="U45" i="24"/>
  <c r="U44" i="24"/>
  <c r="U43" i="24"/>
  <c r="U42" i="24"/>
  <c r="U41" i="24"/>
  <c r="U40" i="24"/>
  <c r="U39" i="24"/>
  <c r="U38" i="24"/>
  <c r="U37" i="24"/>
  <c r="U36" i="24"/>
  <c r="U35" i="24"/>
  <c r="U34" i="24"/>
  <c r="U33" i="24"/>
  <c r="U32" i="24"/>
  <c r="U31" i="24"/>
  <c r="U30" i="24"/>
  <c r="U29" i="24"/>
  <c r="U28" i="24"/>
  <c r="U27" i="24"/>
  <c r="U26" i="24"/>
  <c r="U25" i="24"/>
  <c r="U24" i="24"/>
  <c r="U23" i="24"/>
  <c r="U22" i="24"/>
  <c r="U21" i="24"/>
  <c r="U20" i="24"/>
  <c r="U19" i="24"/>
  <c r="U18" i="24"/>
  <c r="U17" i="24"/>
  <c r="U16" i="24"/>
  <c r="U15" i="24"/>
  <c r="U14" i="24"/>
  <c r="U13" i="24"/>
  <c r="U12" i="24"/>
  <c r="U11" i="24"/>
  <c r="U10" i="24"/>
  <c r="U9" i="24"/>
  <c r="U8" i="24"/>
  <c r="U7" i="24"/>
  <c r="U6" i="24"/>
  <c r="U115" i="23"/>
  <c r="T115" i="23"/>
  <c r="U114" i="23"/>
  <c r="T114" i="23"/>
  <c r="U113" i="23"/>
  <c r="T113" i="23"/>
  <c r="U112" i="23"/>
  <c r="T112" i="23"/>
  <c r="U111" i="23"/>
  <c r="T111" i="23"/>
  <c r="U110" i="23"/>
  <c r="T110" i="23"/>
  <c r="U109" i="23"/>
  <c r="T109" i="23"/>
  <c r="U108" i="23"/>
  <c r="T108" i="23"/>
  <c r="U107" i="23"/>
  <c r="T107" i="23"/>
  <c r="U106" i="23"/>
  <c r="T106" i="23"/>
  <c r="U105" i="23"/>
  <c r="T105" i="23"/>
  <c r="U104" i="23"/>
  <c r="T104" i="23"/>
  <c r="U103" i="23"/>
  <c r="T103" i="23"/>
  <c r="U102" i="23"/>
  <c r="T102" i="23"/>
  <c r="U101" i="23"/>
  <c r="T101" i="23"/>
  <c r="U100" i="23"/>
  <c r="T100" i="23"/>
  <c r="U99" i="23"/>
  <c r="T99" i="23"/>
  <c r="U98" i="23"/>
  <c r="T98" i="23"/>
  <c r="U97" i="23"/>
  <c r="T97" i="23"/>
  <c r="U96" i="23"/>
  <c r="T96" i="23"/>
  <c r="U95" i="23"/>
  <c r="T95" i="23"/>
  <c r="U94" i="23"/>
  <c r="T94" i="23"/>
  <c r="U93" i="23"/>
  <c r="T93" i="23"/>
  <c r="U92" i="23"/>
  <c r="T92" i="23"/>
  <c r="U91" i="23"/>
  <c r="T91" i="23"/>
  <c r="U90" i="23"/>
  <c r="T90" i="23"/>
  <c r="U89" i="23"/>
  <c r="T89" i="23"/>
  <c r="U88" i="23"/>
  <c r="T88" i="23"/>
  <c r="U87" i="23"/>
  <c r="T87" i="23"/>
  <c r="U86" i="23"/>
  <c r="T86" i="23"/>
  <c r="U85" i="23"/>
  <c r="T85" i="23"/>
  <c r="U84" i="23"/>
  <c r="T84" i="23"/>
  <c r="U83" i="23"/>
  <c r="T83" i="23"/>
  <c r="U82" i="23"/>
  <c r="T82" i="23"/>
  <c r="U81" i="23"/>
  <c r="T81" i="23"/>
  <c r="U80" i="23"/>
  <c r="T80" i="23"/>
  <c r="U79" i="23"/>
  <c r="T79" i="23"/>
  <c r="U78" i="23"/>
  <c r="T78" i="23"/>
  <c r="U77" i="23"/>
  <c r="T77" i="23"/>
  <c r="U76" i="23"/>
  <c r="T76" i="23"/>
  <c r="U75" i="23"/>
  <c r="T75" i="23"/>
  <c r="U74" i="23"/>
  <c r="T74" i="23"/>
  <c r="U73" i="23"/>
  <c r="T73" i="23"/>
  <c r="U72" i="23"/>
  <c r="T72" i="23"/>
  <c r="U71" i="23"/>
  <c r="T71" i="23"/>
  <c r="U70" i="23"/>
  <c r="T70" i="23"/>
  <c r="U69" i="23"/>
  <c r="T69" i="23"/>
  <c r="U68" i="23"/>
  <c r="T68" i="23"/>
  <c r="U67" i="23"/>
  <c r="T67" i="23"/>
  <c r="U66" i="23"/>
  <c r="T66" i="23"/>
  <c r="U65" i="23"/>
  <c r="T65" i="23"/>
  <c r="U64" i="23"/>
  <c r="T64" i="23"/>
  <c r="U63" i="23"/>
  <c r="T63" i="23"/>
  <c r="U62" i="23"/>
  <c r="T62" i="23"/>
  <c r="U61" i="23"/>
  <c r="T61" i="23"/>
  <c r="U60" i="23"/>
  <c r="T60" i="23"/>
  <c r="U59" i="23"/>
  <c r="T59" i="23"/>
  <c r="U58" i="23"/>
  <c r="T58" i="23"/>
  <c r="U57" i="23"/>
  <c r="T57" i="23"/>
  <c r="U56" i="23"/>
  <c r="T56" i="23"/>
  <c r="U55" i="23"/>
  <c r="T55" i="23"/>
  <c r="U54" i="23"/>
  <c r="T54" i="23"/>
  <c r="U53" i="23"/>
  <c r="T53" i="23"/>
  <c r="U52" i="23"/>
  <c r="T52" i="23"/>
  <c r="U51" i="23"/>
  <c r="T51" i="23"/>
  <c r="U50" i="23"/>
  <c r="T50" i="23"/>
  <c r="U49" i="23"/>
  <c r="T49" i="23"/>
  <c r="U48" i="23"/>
  <c r="T48" i="23"/>
  <c r="U47" i="23"/>
  <c r="T47" i="23"/>
  <c r="U46" i="23"/>
  <c r="T46" i="23"/>
  <c r="U45" i="23"/>
  <c r="T45" i="23"/>
  <c r="U44" i="23"/>
  <c r="T44" i="23"/>
  <c r="U43" i="23"/>
  <c r="T43" i="23"/>
  <c r="U42" i="23"/>
  <c r="T42" i="23"/>
  <c r="U41" i="23"/>
  <c r="T41" i="23"/>
  <c r="U40" i="23"/>
  <c r="T40" i="23"/>
  <c r="U39" i="23"/>
  <c r="T39" i="23"/>
  <c r="U38" i="23"/>
  <c r="T38" i="23"/>
  <c r="U37" i="23"/>
  <c r="T37" i="23"/>
  <c r="U36" i="23"/>
  <c r="T36" i="23"/>
  <c r="U35" i="23"/>
  <c r="T35" i="23"/>
  <c r="U34" i="23"/>
  <c r="T34" i="23"/>
  <c r="U33" i="23"/>
  <c r="T33" i="23"/>
  <c r="U32" i="23"/>
  <c r="T32" i="23"/>
  <c r="U31" i="23"/>
  <c r="T31" i="23"/>
  <c r="U30" i="23"/>
  <c r="T30" i="23"/>
  <c r="U29" i="23"/>
  <c r="T29" i="23"/>
  <c r="U28" i="23"/>
  <c r="T28" i="23"/>
  <c r="U27" i="23"/>
  <c r="T27" i="23"/>
  <c r="U26" i="23"/>
  <c r="T26" i="23"/>
  <c r="U25" i="23"/>
  <c r="T25" i="23"/>
  <c r="U24" i="23"/>
  <c r="T24" i="23"/>
  <c r="U23" i="23"/>
  <c r="T23" i="23"/>
  <c r="U22" i="23"/>
  <c r="T22" i="23"/>
  <c r="U21" i="23"/>
  <c r="T21" i="23"/>
  <c r="U20" i="23"/>
  <c r="T20" i="23"/>
  <c r="U19" i="23"/>
  <c r="T19" i="23"/>
  <c r="U18" i="23"/>
  <c r="T18" i="23"/>
  <c r="U17" i="23"/>
  <c r="T17" i="23"/>
  <c r="U16" i="23"/>
  <c r="T16" i="23"/>
  <c r="U15" i="23"/>
  <c r="T15" i="23"/>
  <c r="U14" i="23"/>
  <c r="T14" i="23"/>
  <c r="U13" i="23"/>
  <c r="T13" i="23"/>
  <c r="U12" i="23"/>
  <c r="T12" i="23"/>
  <c r="U11" i="23"/>
  <c r="T11" i="23"/>
  <c r="U10" i="23"/>
  <c r="T10" i="23"/>
  <c r="U9" i="23"/>
  <c r="T9" i="23"/>
  <c r="U8" i="23"/>
  <c r="T8" i="23"/>
  <c r="U7" i="23"/>
  <c r="T7" i="23"/>
  <c r="U6" i="23"/>
  <c r="T6" i="23"/>
  <c r="U39" i="16"/>
  <c r="U49" i="16"/>
  <c r="T49" i="16"/>
  <c r="U48" i="16"/>
  <c r="T48" i="16"/>
  <c r="U47" i="16"/>
  <c r="T47" i="16"/>
  <c r="U46" i="16"/>
  <c r="T46" i="16"/>
  <c r="U45" i="16"/>
  <c r="T45" i="16"/>
  <c r="U44" i="16"/>
  <c r="T44" i="16"/>
  <c r="U43" i="16"/>
  <c r="T43" i="16"/>
  <c r="U42" i="16"/>
  <c r="T42" i="16"/>
  <c r="U41" i="16"/>
  <c r="T41" i="16"/>
  <c r="U40" i="16"/>
  <c r="T40" i="16"/>
  <c r="T39" i="16"/>
  <c r="U38" i="16"/>
  <c r="T38" i="16"/>
  <c r="U37" i="16"/>
  <c r="T37" i="16"/>
  <c r="U36" i="16"/>
  <c r="T36" i="16"/>
  <c r="U35" i="16"/>
  <c r="T35" i="16"/>
  <c r="U34" i="16"/>
  <c r="T34" i="16"/>
  <c r="U33" i="16"/>
  <c r="T33" i="16"/>
  <c r="U32" i="16"/>
  <c r="T32" i="16"/>
  <c r="U31" i="16"/>
  <c r="T31" i="16"/>
  <c r="U30" i="16"/>
  <c r="T30" i="16"/>
  <c r="U29" i="16"/>
  <c r="T29" i="16"/>
  <c r="U28" i="16"/>
  <c r="T28" i="16"/>
  <c r="U27" i="16"/>
  <c r="T27" i="16"/>
  <c r="U26" i="16"/>
  <c r="T26" i="16"/>
  <c r="U25" i="16"/>
  <c r="T25" i="16"/>
  <c r="U24" i="16"/>
  <c r="T24" i="16"/>
  <c r="U23" i="16"/>
  <c r="T23" i="16"/>
  <c r="U22" i="16"/>
  <c r="T22" i="16"/>
  <c r="U21" i="16"/>
  <c r="T21" i="16"/>
  <c r="U20" i="16"/>
  <c r="T20" i="16"/>
  <c r="U19" i="16"/>
  <c r="T19" i="16"/>
  <c r="U18" i="16"/>
  <c r="T18" i="16"/>
  <c r="U17" i="16"/>
  <c r="T17" i="16"/>
  <c r="U16" i="16"/>
  <c r="T16" i="16"/>
  <c r="U15" i="16"/>
  <c r="T15" i="16"/>
  <c r="U14" i="16"/>
  <c r="T14" i="16"/>
  <c r="U13" i="16"/>
  <c r="T13" i="16"/>
  <c r="U12" i="16"/>
  <c r="T12" i="16"/>
  <c r="U11" i="16"/>
  <c r="T11" i="16"/>
  <c r="U10" i="16"/>
  <c r="T10" i="16"/>
  <c r="U9" i="16"/>
  <c r="T9" i="16"/>
  <c r="U8" i="16"/>
  <c r="T8" i="16"/>
  <c r="U7" i="16"/>
  <c r="T7" i="16"/>
  <c r="U6" i="16"/>
  <c r="T6" i="16"/>
  <c r="T38" i="15"/>
  <c r="T37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16" i="15"/>
  <c r="U7" i="15"/>
  <c r="U8" i="15"/>
  <c r="U9" i="15"/>
  <c r="U10" i="15"/>
  <c r="U11" i="15"/>
  <c r="U12" i="15"/>
  <c r="U13" i="15"/>
  <c r="U14" i="15"/>
  <c r="U15" i="15"/>
  <c r="U6" i="15"/>
  <c r="H14" i="12" l="1"/>
  <c r="I14" i="12" s="1"/>
  <c r="D23" i="12"/>
  <c r="H19" i="12"/>
  <c r="I19" i="12" s="1"/>
  <c r="H18" i="12"/>
  <c r="I18" i="12" s="1"/>
  <c r="H17" i="12"/>
  <c r="I17" i="12" s="1"/>
  <c r="H16" i="12"/>
  <c r="I16" i="12" s="1"/>
  <c r="H15" i="12"/>
  <c r="I15" i="12" s="1"/>
  <c r="H13" i="12"/>
  <c r="I13" i="12" s="1"/>
  <c r="H12" i="12"/>
  <c r="I12" i="12" s="1"/>
  <c r="H11" i="12"/>
  <c r="I11" i="12" s="1"/>
  <c r="J10" i="12" l="1"/>
  <c r="J16" i="12"/>
  <c r="J15" i="12"/>
  <c r="J17" i="12"/>
  <c r="J11" i="12"/>
  <c r="J19" i="12"/>
  <c r="J13" i="12"/>
  <c r="J12" i="12"/>
  <c r="J20" i="12"/>
  <c r="J14" i="12"/>
  <c r="J18" i="12"/>
</calcChain>
</file>

<file path=xl/connections.xml><?xml version="1.0" encoding="utf-8"?>
<connections xmlns="http://schemas.openxmlformats.org/spreadsheetml/2006/main">
  <connection id="1" odcFile="C:\Users\p022923\Documents\Mis archivos de origen de datos\pwabdvsqlicom BD_MODELOS  JSG_RESUM_AUTO_TRX0.odc" keepAlive="1" name="pwabdvsqlicom BD_MODELOS  JSG_RESUM_AUTO_TRX0" type="5" refreshedVersion="3">
    <dbPr connection="Provider=SQLOLEDB.1;Integrated Security=SSPI;Persist Security Info=True;Initial Catalog=BD_MODELOS;Data Source=pwabdvsqlicom;Use Procedure for Prepare=1;Auto Translate=True;Packet Size=4096;Workstation ID=DESARCOM48;Use Encryption for Data=False;Tag with column collation when possible=False" command="&quot;BD_MODELOS &quot;.&quot;dbo&quot;.&quot;JSG_RESUM_AUTO_TRX0&quot;" commandType="3"/>
  </connection>
  <connection id="2" odcFile="C:\Users\p022923\Documents\Mis archivos de origen de datos\pwabdvsqlicom BD_MODELOS  JSG_RESUM_AUTO_TRX2.odc" keepAlive="1" name="pwabdvsqlicom BD_MODELOS  JSG_RESUM_AUTO_TRX2" type="5" refreshedVersion="3">
    <dbPr connection="Provider=SQLOLEDB.1;Integrated Security=SSPI;Persist Security Info=True;Initial Catalog=BD_MODELOS;Data Source=pwabdvsqlicom;Use Procedure for Prepare=1;Auto Translate=True;Packet Size=4096;Workstation ID=DESARCOM48;Use Encryption for Data=False;Tag with column collation when possible=False" command="&quot;BD_MODELOS &quot;.&quot;dbo&quot;.&quot;JSG_RESUM_AUTO_TRX2&quot;" commandType="3"/>
  </connection>
  <connection id="3" odcFile="C:\Users\p022923\Documents\Mis archivos de origen de datos\pwabdvsqlicom BD_MODELOS  JSG_RESUM_MU_BASE_TRX.odc" keepAlive="1" name="pwabdvsqlicom BD_MODELOS  JSG_RESUM_MU_BASE_TRX" type="5" refreshedVersion="3">
    <dbPr connection="Provider=SQLOLEDB.1;Integrated Security=SSPI;Persist Security Info=True;Initial Catalog=BD_MODELOS;Data Source=pwabdvsqlicom;Use Procedure for Prepare=1;Auto Translate=True;Packet Size=4096;Workstation ID=DESARCOM48;Use Encryption for Data=False;Tag with column collation when possible=False" command="&quot;BD_MODELOS &quot;.&quot;dbo&quot;.&quot;JSG_RESUM_MU_BASE_TRX&quot;" commandType="3"/>
  </connection>
  <connection id="4" odcFile="C:\Users\p022923\Documents\Mis archivos de origen de datos\pwabdvsqlicom BD_MODELOS  JSG_RESUM_TOT_BASE_TRX.odc" keepAlive="1" name="pwabdvsqlicom BD_MODELOS  JSG_RESUM_TOT_BASE_TRX" type="5" refreshedVersion="3">
    <dbPr connection="Provider=SQLOLEDB.1;Integrated Security=SSPI;Persist Security Info=True;Initial Catalog=BD_MODELOS;Data Source=pwabdvsqlicom;Use Procedure for Prepare=1;Auto Translate=True;Packet Size=4096;Workstation ID=DESARCOM48;Use Encryption for Data=False;Tag with column collation when possible=False" command="&quot;BD_MODELOS &quot;.&quot;dbo&quot;.&quot;JSG_RESUM_TOT_BASE_TRX&quot;" commandType="3"/>
  </connection>
  <connection id="5" odcFile="C:\Users\Jimmy\Documents\Mis archivos de origen de datos\toshiba BD_MODELOS JSG_RESUM_CLUSTER_V0.odc" keepAlive="1" name="toshiba BD_MODELOS JSG_RESUM_CLUSTER_V0" type="5" refreshedVersion="6">
    <dbPr connection="Provider=SQLOLEDB.1;Integrated Security=SSPI;Persist Security Info=True;Initial Catalog=BD_MODELOS;Data Source=toshiba;Use Procedure for Prepare=1;Auto Translate=True;Packet Size=4096;Workstation ID=TOSHIBA;Use Encryption for Data=False;Tag with column collation when possible=False" command="&quot;BD_MODELOS&quot;.&quot;dbo&quot;.&quot;JSG_RESUM_CLUSTER_V0&quot;" commandType="3"/>
  </connection>
</connections>
</file>

<file path=xl/sharedStrings.xml><?xml version="1.0" encoding="utf-8"?>
<sst xmlns="http://schemas.openxmlformats.org/spreadsheetml/2006/main" count="2512" uniqueCount="180">
  <si>
    <t>Rótulos de fila</t>
  </si>
  <si>
    <t>SEGMENTO PN</t>
  </si>
  <si>
    <t>Valores</t>
  </si>
  <si>
    <t>Total</t>
  </si>
  <si>
    <t xml:space="preserve">Cliente </t>
  </si>
  <si>
    <t>SEGMENTO2</t>
  </si>
  <si>
    <t>(Todas)</t>
  </si>
  <si>
    <t>ANT_CLI</t>
  </si>
  <si>
    <t>Valor</t>
  </si>
  <si>
    <t>Suma de CLIENTE</t>
  </si>
  <si>
    <t>SEGMENTO3</t>
  </si>
  <si>
    <t>Variable</t>
  </si>
  <si>
    <t>Etiqueta</t>
  </si>
  <si>
    <t>N</t>
  </si>
  <si>
    <t>Media</t>
  </si>
  <si>
    <t>Dev tip</t>
  </si>
  <si>
    <t>Mínimo</t>
  </si>
  <si>
    <t>Máximo</t>
  </si>
  <si>
    <t>Obs</t>
  </si>
  <si>
    <t>Var</t>
  </si>
  <si>
    <t>Referencia</t>
  </si>
  <si>
    <t>SEGMENTO4</t>
  </si>
  <si>
    <t>SEGMENTO10</t>
  </si>
  <si>
    <t>SEGMENTO11</t>
  </si>
  <si>
    <t>Segmento3</t>
  </si>
  <si>
    <t>Segmento4</t>
  </si>
  <si>
    <t>Segmento5</t>
  </si>
  <si>
    <t>Segmento6</t>
  </si>
  <si>
    <t>Segmento7</t>
  </si>
  <si>
    <t>Segmento8</t>
  </si>
  <si>
    <t>Segmento9</t>
  </si>
  <si>
    <t>Segmento10</t>
  </si>
  <si>
    <t>Segmento11</t>
  </si>
  <si>
    <t>Segmento12</t>
  </si>
  <si>
    <t>Segmento13</t>
  </si>
  <si>
    <t>Segmento</t>
  </si>
  <si>
    <t>Indicador</t>
  </si>
  <si>
    <t>Externo</t>
  </si>
  <si>
    <t>Silueta</t>
  </si>
  <si>
    <t>Cohesión</t>
  </si>
  <si>
    <t>Seg1</t>
  </si>
  <si>
    <t>Seg2</t>
  </si>
  <si>
    <t>Seg3</t>
  </si>
  <si>
    <t>Seg4</t>
  </si>
  <si>
    <t>Seg5</t>
  </si>
  <si>
    <t>Seg6</t>
  </si>
  <si>
    <t>Seg7</t>
  </si>
  <si>
    <t>Seg8</t>
  </si>
  <si>
    <t>Seg9</t>
  </si>
  <si>
    <t>Seg10</t>
  </si>
  <si>
    <t>Seg11</t>
  </si>
  <si>
    <t>SEGMENTO11_FIN</t>
  </si>
  <si>
    <t>Total general</t>
  </si>
  <si>
    <t>atm - ivr</t>
  </si>
  <si>
    <t>Td</t>
  </si>
  <si>
    <t>Tc - sbt</t>
  </si>
  <si>
    <t>aplus - bcaexpres</t>
  </si>
  <si>
    <t>vent - salex</t>
  </si>
  <si>
    <t>bxi</t>
  </si>
  <si>
    <t>bm</t>
  </si>
  <si>
    <t>bm  - bxi</t>
  </si>
  <si>
    <t>SOM_DIMENSION3</t>
  </si>
  <si>
    <t>SOM_DIMENSION4</t>
  </si>
  <si>
    <t>Prom TRX</t>
  </si>
  <si>
    <t>Med TRX</t>
  </si>
  <si>
    <t>Demográfico</t>
  </si>
  <si>
    <t>Prom Sueldo</t>
  </si>
  <si>
    <t>Med Sueldo</t>
  </si>
  <si>
    <t>Masculino</t>
  </si>
  <si>
    <t>Med Edad</t>
  </si>
  <si>
    <t>Prom Edad</t>
  </si>
  <si>
    <t>Lima</t>
  </si>
  <si>
    <t>General</t>
  </si>
  <si>
    <t>Premium</t>
  </si>
  <si>
    <t>Vip</t>
  </si>
  <si>
    <t>Clasico</t>
  </si>
  <si>
    <t>Inclusion Financ.</t>
  </si>
  <si>
    <t>Sow TC</t>
  </si>
  <si>
    <t>Sow PLD</t>
  </si>
  <si>
    <t>Sow Veh</t>
  </si>
  <si>
    <t>Sow Hip</t>
  </si>
  <si>
    <t>% Trx</t>
  </si>
  <si>
    <t>Prom Mto</t>
  </si>
  <si>
    <t>Med Mto</t>
  </si>
  <si>
    <t>Público Objetivo para la Segmentación</t>
  </si>
  <si>
    <t>Prom Antig Cliente</t>
  </si>
  <si>
    <t>Prom Ctd Prod Activo</t>
  </si>
  <si>
    <t>Prom Ctd Prod Pasivo</t>
  </si>
  <si>
    <t>% Clientes PH</t>
  </si>
  <si>
    <t>Prom Ctd Banco con TC</t>
  </si>
  <si>
    <t>DEPOS</t>
  </si>
  <si>
    <t>RETIRO</t>
  </si>
  <si>
    <t>TRANS</t>
  </si>
  <si>
    <t>RECCOM</t>
  </si>
  <si>
    <t>CONSUL</t>
  </si>
  <si>
    <t>VTAPROD</t>
  </si>
  <si>
    <t>PGTAR</t>
  </si>
  <si>
    <t>PGSERV</t>
  </si>
  <si>
    <t>PGRECA</t>
  </si>
  <si>
    <t>OTROS</t>
  </si>
  <si>
    <t>POS CONSUMO</t>
  </si>
  <si>
    <t>CLASICO</t>
  </si>
  <si>
    <t>INCLUSION FINANCIERA</t>
  </si>
  <si>
    <t>PREMIUM</t>
  </si>
  <si>
    <t>VIP</t>
  </si>
  <si>
    <t>CPP</t>
  </si>
  <si>
    <t>DEFICIENTE</t>
  </si>
  <si>
    <t>DUDOSO</t>
  </si>
  <si>
    <t>NORMAL</t>
  </si>
  <si>
    <t>PERDIDA</t>
  </si>
  <si>
    <t>Tipo de Operación</t>
  </si>
  <si>
    <t>Mapa de Visualización de Segmentos</t>
  </si>
  <si>
    <r>
      <t xml:space="preserve">Arbol de Segmentos
</t>
    </r>
    <r>
      <rPr>
        <b/>
        <sz val="12"/>
        <color theme="1"/>
        <rFont val="Calibri"/>
        <family val="2"/>
        <scheme val="minor"/>
      </rPr>
      <t>(Exploración)</t>
    </r>
  </si>
  <si>
    <t>01 BUEN COMER</t>
  </si>
  <si>
    <t>05 OTRAS TIENDAS</t>
  </si>
  <si>
    <t>03 SUPERMERCADOS</t>
  </si>
  <si>
    <t>02 RETAIL</t>
  </si>
  <si>
    <t>04 VEHICULAR</t>
  </si>
  <si>
    <t>08 SALUDABLES</t>
  </si>
  <si>
    <t>07 VIAJEROS</t>
  </si>
  <si>
    <t>06 EL PROGRAMADO</t>
  </si>
  <si>
    <t>09 RECREACIONAL</t>
  </si>
  <si>
    <t>10 OTROS GIROS</t>
  </si>
  <si>
    <t>trx</t>
  </si>
  <si>
    <t>cliente</t>
  </si>
  <si>
    <t>NULL</t>
  </si>
  <si>
    <t>Segmento Final</t>
  </si>
  <si>
    <t>Trx X Ctd Meses</t>
  </si>
  <si>
    <t>Suma Trx</t>
  </si>
  <si>
    <t>Trx X Clie</t>
  </si>
  <si>
    <t>PCT_CANAL1</t>
  </si>
  <si>
    <t>PCT_CANAL2</t>
  </si>
  <si>
    <t>PCT_CANAL3</t>
  </si>
  <si>
    <t>PCT_CANAL4</t>
  </si>
  <si>
    <t>PCT_CANAL5</t>
  </si>
  <si>
    <t>PCT_CANAL6</t>
  </si>
  <si>
    <t>PCT_CANAL7</t>
  </si>
  <si>
    <t>PCT_CANAL8</t>
  </si>
  <si>
    <t>PCT_CANAL9</t>
  </si>
  <si>
    <t>PCT_CANAL10</t>
  </si>
  <si>
    <t>PCT_CANAL11</t>
  </si>
  <si>
    <t>Segmentos Final</t>
  </si>
  <si>
    <t>Análisis de datos - Pre base a Modelar</t>
  </si>
  <si>
    <t>Primero realizamos filtros comerciales, según el negocio de estudio</t>
  </si>
  <si>
    <t>Son solo filtros globales que no requieren de análisis detallado sino</t>
  </si>
  <si>
    <t>es depende a la experiencia de las areas involucradas</t>
  </si>
  <si>
    <t>Elegimos la base de datos adecuada para</t>
  </si>
  <si>
    <t>nuestra matriz de datos.</t>
  </si>
  <si>
    <t>Extraemos los datos no homogeneos</t>
  </si>
  <si>
    <t>Correlación de Segmentos:</t>
  </si>
  <si>
    <t>CANAL1</t>
  </si>
  <si>
    <t>CANAL2</t>
  </si>
  <si>
    <t>CANAL3</t>
  </si>
  <si>
    <t>CANAL4</t>
  </si>
  <si>
    <t>CANAL5</t>
  </si>
  <si>
    <t>CANAL6</t>
  </si>
  <si>
    <t>CANAL7</t>
  </si>
  <si>
    <t>CANAL8</t>
  </si>
  <si>
    <t>CANAL9</t>
  </si>
  <si>
    <t>CANAL10</t>
  </si>
  <si>
    <t>CANAL11</t>
  </si>
  <si>
    <t>Segmento [Nombre1]</t>
  </si>
  <si>
    <t>Entidad</t>
  </si>
  <si>
    <t>Financiero</t>
  </si>
  <si>
    <t>Segmento [Nombre2]</t>
  </si>
  <si>
    <t>Segmento [Nombre3]</t>
  </si>
  <si>
    <t>Segmento [Nombre4]</t>
  </si>
  <si>
    <t>Segmento [Nombre5]</t>
  </si>
  <si>
    <t>Segmento [Nombre6]</t>
  </si>
  <si>
    <t>Segmento [Nomnre7]</t>
  </si>
  <si>
    <t>Segmento [Nombre8]</t>
  </si>
  <si>
    <t>Cliente adulto con ingreso regular ….</t>
  </si>
  <si>
    <t>Cliente adulto con ingreso mayor en su mayoria caracteriza a la mujer ….</t>
  </si>
  <si>
    <t>Cliente adulto con ingreso alto en su mayoria son personas más antiguas ….</t>
  </si>
  <si>
    <t>Cliente adulto mayor con ingreso bajo ….</t>
  </si>
  <si>
    <t>Cliente adulto mayor con ingreso regular….</t>
  </si>
  <si>
    <t>Cliente adulto con ingreso mayor …</t>
  </si>
  <si>
    <t>Cliente joven con ingreso mayor ….</t>
  </si>
  <si>
    <t>Cliente Adulto joven con ingreso mayor….</t>
  </si>
  <si>
    <t>Segmento [Nombre7]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</si>
</sst>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_ * #,##0.00_ ;_ * \-#,##0.00_ ;_ * &quot;-&quot;??_ ;_ @_ "/>
    <numFmt numFmtId="165" formatCode="&quot;$&quot;#,##0.0000_);\(&quot;$&quot;#,##0.0000\)"/>
    <numFmt numFmtId="166" formatCode="_([$€-2]\ * #,##0.00_);_([$€-2]\ * \(#,##0.00\);_([$€-2]\ * &quot;-&quot;??_)"/>
    <numFmt numFmtId="167" formatCode="#,##0.0_);\(#,##0.0\)"/>
    <numFmt numFmtId="168" formatCode="_(* #,##0.00_);_(* \(#,##0.00\);_(* &quot;-&quot;??_);_(@_)"/>
    <numFmt numFmtId="169" formatCode="_-* #,##0\ _F_-;\-* #,##0\ _F_-;_-* &quot;-&quot;\ _F_-;_-@_-"/>
    <numFmt numFmtId="170" formatCode="_-* #,##0.00\ _F_-;\-* #,##0.00\ _F_-;_-* &quot;-&quot;??\ _F_-;_-@_-"/>
    <numFmt numFmtId="171" formatCode="_(&quot;S/.&quot;* #,##0.00_);_(&quot;S/.&quot;* \(#,##0.00\);_(&quot;S/.&quot;* &quot;-&quot;??_);_(@_)"/>
    <numFmt numFmtId="172" formatCode="_-* #,##0\ &quot;F&quot;_-;\-* #,##0\ &quot;F&quot;_-;_-* &quot;-&quot;\ &quot;F&quot;_-;_-@_-"/>
    <numFmt numFmtId="173" formatCode="_-* #,##0.00\ &quot;F&quot;_-;\-* #,##0.00\ &quot;F&quot;_-;_-* &quot;-&quot;??\ &quot;F&quot;_-;_-@_-"/>
    <numFmt numFmtId="174" formatCode="0.0000"/>
    <numFmt numFmtId="175" formatCode="&quot;$&quot;#,##0_);\(&quot;$&quot;#,##0\)"/>
    <numFmt numFmtId="176" formatCode="mm/dd/yy"/>
    <numFmt numFmtId="177" formatCode="0.0%"/>
    <numFmt numFmtId="178" formatCode="0.0"/>
    <numFmt numFmtId="179" formatCode="#,##0.00000"/>
    <numFmt numFmtId="180" formatCode="#,##0.00000000"/>
    <numFmt numFmtId="181" formatCode="&quot;S/.&quot;\ #,##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10"/>
      <name val="Geneva"/>
    </font>
    <font>
      <sz val="8"/>
      <name val="Times New Roman"/>
      <family val="1"/>
    </font>
    <font>
      <sz val="8"/>
      <name val="Tahoma"/>
      <family val="2"/>
    </font>
    <font>
      <sz val="10"/>
      <name val="MS Serif"/>
      <family val="1"/>
    </font>
    <font>
      <sz val="10"/>
      <name val="Courier"/>
      <family val="3"/>
    </font>
    <font>
      <sz val="11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12"/>
      <color indexed="9"/>
      <name val="Helv"/>
    </font>
    <font>
      <b/>
      <sz val="10"/>
      <color indexed="64"/>
      <name val="Arial"/>
      <family val="2"/>
    </font>
    <font>
      <sz val="11"/>
      <color indexed="8"/>
      <name val="Calibri"/>
      <family val="2"/>
      <scheme val="minor"/>
    </font>
    <font>
      <sz val="10"/>
      <color indexed="64"/>
      <name val="Arial"/>
      <family val="2"/>
    </font>
    <font>
      <sz val="11"/>
      <name val="‚l‚r –¾’©"/>
      <charset val="128"/>
    </font>
    <font>
      <sz val="10"/>
      <name val="Tms Rmn"/>
    </font>
    <font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4F493B"/>
      </left>
      <right style="medium">
        <color rgb="FF4F493B"/>
      </right>
      <top style="medium">
        <color rgb="FF4F493B"/>
      </top>
      <bottom style="medium">
        <color rgb="FF4F493B"/>
      </bottom>
      <diagonal/>
    </border>
    <border>
      <left/>
      <right style="medium">
        <color rgb="FF4F493B"/>
      </right>
      <top style="medium">
        <color rgb="FF4F493B"/>
      </top>
      <bottom style="medium">
        <color rgb="FF4F493B"/>
      </bottom>
      <diagonal/>
    </border>
    <border>
      <left style="medium">
        <color rgb="FF4F493B"/>
      </left>
      <right style="medium">
        <color rgb="FF4F493B"/>
      </right>
      <top/>
      <bottom/>
      <diagonal/>
    </border>
    <border>
      <left style="medium">
        <color rgb="FF4F493B"/>
      </left>
      <right style="medium">
        <color rgb="FF4F493B"/>
      </right>
      <top/>
      <bottom style="medium">
        <color rgb="FF4F493B"/>
      </bottom>
      <diagonal/>
    </border>
    <border>
      <left style="medium">
        <color rgb="FF4F493B"/>
      </left>
      <right style="medium">
        <color rgb="FF4F493B"/>
      </right>
      <top style="medium">
        <color rgb="FF4F493B"/>
      </top>
      <bottom/>
      <diagonal/>
    </border>
    <border>
      <left style="thick">
        <color rgb="FF4F493B"/>
      </left>
      <right style="medium">
        <color rgb="FF4F493B"/>
      </right>
      <top style="hair">
        <color rgb="FF4F493B"/>
      </top>
      <bottom style="hair">
        <color rgb="FF4F493B"/>
      </bottom>
      <diagonal/>
    </border>
    <border>
      <left style="medium">
        <color rgb="FF4F493B"/>
      </left>
      <right style="medium">
        <color rgb="FF4F493B"/>
      </right>
      <top style="hair">
        <color rgb="FF4F493B"/>
      </top>
      <bottom style="hair">
        <color rgb="FF4F493B"/>
      </bottom>
      <diagonal/>
    </border>
    <border>
      <left/>
      <right style="medium">
        <color rgb="FF4F493B"/>
      </right>
      <top style="hair">
        <color rgb="FF4F493B"/>
      </top>
      <bottom style="hair">
        <color rgb="FF4F493B"/>
      </bottom>
      <diagonal/>
    </border>
    <border>
      <left/>
      <right style="thick">
        <color rgb="FF4F493B"/>
      </right>
      <top style="hair">
        <color rgb="FF4F493B"/>
      </top>
      <bottom style="hair">
        <color rgb="FF4F493B"/>
      </bottom>
      <diagonal/>
    </border>
    <border>
      <left style="thick">
        <color rgb="FF4F493B"/>
      </left>
      <right style="medium">
        <color rgb="FF4F493B"/>
      </right>
      <top style="hair">
        <color rgb="FF4F493B"/>
      </top>
      <bottom style="thick">
        <color rgb="FF4F493B"/>
      </bottom>
      <diagonal/>
    </border>
    <border>
      <left style="medium">
        <color rgb="FF4F493B"/>
      </left>
      <right style="medium">
        <color rgb="FF4F493B"/>
      </right>
      <top style="hair">
        <color rgb="FF4F493B"/>
      </top>
      <bottom style="thick">
        <color rgb="FF4F493B"/>
      </bottom>
      <diagonal/>
    </border>
    <border>
      <left/>
      <right style="medium">
        <color rgb="FF4F493B"/>
      </right>
      <top style="hair">
        <color rgb="FF4F493B"/>
      </top>
      <bottom style="thick">
        <color rgb="FF4F493B"/>
      </bottom>
      <diagonal/>
    </border>
    <border>
      <left/>
      <right style="thick">
        <color rgb="FF4F493B"/>
      </right>
      <top style="hair">
        <color rgb="FF4F493B"/>
      </top>
      <bottom style="thick">
        <color rgb="FF4F493B"/>
      </bottom>
      <diagonal/>
    </border>
    <border>
      <left style="thick">
        <color rgb="FF4F493B"/>
      </left>
      <right style="medium">
        <color rgb="FF4F493B"/>
      </right>
      <top style="thick">
        <color rgb="FF4F493B"/>
      </top>
      <bottom/>
      <diagonal/>
    </border>
    <border>
      <left/>
      <right style="medium">
        <color rgb="FF4F493B"/>
      </right>
      <top style="thick">
        <color rgb="FF4F493B"/>
      </top>
      <bottom/>
      <diagonal/>
    </border>
    <border>
      <left/>
      <right style="thick">
        <color rgb="FF4F493B"/>
      </right>
      <top style="thick">
        <color rgb="FF4F493B"/>
      </top>
      <bottom/>
      <diagonal/>
    </border>
    <border>
      <left style="thick">
        <color rgb="FF4F493B"/>
      </left>
      <right style="medium">
        <color rgb="FF4F493B"/>
      </right>
      <top/>
      <bottom style="hair">
        <color rgb="FF4F493B"/>
      </bottom>
      <diagonal/>
    </border>
    <border>
      <left style="medium">
        <color rgb="FF4F493B"/>
      </left>
      <right style="medium">
        <color rgb="FF4F493B"/>
      </right>
      <top/>
      <bottom style="hair">
        <color rgb="FF4F493B"/>
      </bottom>
      <diagonal/>
    </border>
    <border>
      <left/>
      <right style="medium">
        <color rgb="FF4F493B"/>
      </right>
      <top/>
      <bottom style="hair">
        <color rgb="FF4F493B"/>
      </bottom>
      <diagonal/>
    </border>
    <border>
      <left/>
      <right style="thick">
        <color rgb="FF4F493B"/>
      </right>
      <top/>
      <bottom style="hair">
        <color rgb="FF4F493B"/>
      </bottom>
      <diagonal/>
    </border>
    <border>
      <left style="medium">
        <color indexed="64"/>
      </left>
      <right style="medium">
        <color rgb="FF4F493B"/>
      </right>
      <top style="medium">
        <color indexed="64"/>
      </top>
      <bottom style="hair">
        <color rgb="FF4F493B"/>
      </bottom>
      <diagonal/>
    </border>
    <border>
      <left style="medium">
        <color rgb="FF4F493B"/>
      </left>
      <right style="medium">
        <color rgb="FF4F493B"/>
      </right>
      <top style="medium">
        <color indexed="64"/>
      </top>
      <bottom style="hair">
        <color rgb="FF4F493B"/>
      </bottom>
      <diagonal/>
    </border>
    <border>
      <left/>
      <right style="medium">
        <color rgb="FF4F493B"/>
      </right>
      <top style="medium">
        <color indexed="64"/>
      </top>
      <bottom style="hair">
        <color rgb="FF4F493B"/>
      </bottom>
      <diagonal/>
    </border>
    <border>
      <left/>
      <right style="medium">
        <color indexed="64"/>
      </right>
      <top style="medium">
        <color indexed="64"/>
      </top>
      <bottom style="hair">
        <color rgb="FF4F493B"/>
      </bottom>
      <diagonal/>
    </border>
    <border>
      <left style="medium">
        <color indexed="64"/>
      </left>
      <right style="medium">
        <color rgb="FF4F493B"/>
      </right>
      <top style="hair">
        <color rgb="FF4F493B"/>
      </top>
      <bottom style="hair">
        <color rgb="FF4F493B"/>
      </bottom>
      <diagonal/>
    </border>
    <border>
      <left/>
      <right style="medium">
        <color indexed="64"/>
      </right>
      <top style="hair">
        <color rgb="FF4F493B"/>
      </top>
      <bottom style="hair">
        <color rgb="FF4F493B"/>
      </bottom>
      <diagonal/>
    </border>
    <border>
      <left style="medium">
        <color indexed="64"/>
      </left>
      <right style="medium">
        <color rgb="FF4F493B"/>
      </right>
      <top style="hair">
        <color rgb="FF4F493B"/>
      </top>
      <bottom style="medium">
        <color indexed="64"/>
      </bottom>
      <diagonal/>
    </border>
    <border>
      <left style="medium">
        <color rgb="FF4F493B"/>
      </left>
      <right style="medium">
        <color rgb="FF4F493B"/>
      </right>
      <top style="hair">
        <color rgb="FF4F493B"/>
      </top>
      <bottom style="medium">
        <color indexed="64"/>
      </bottom>
      <diagonal/>
    </border>
    <border>
      <left/>
      <right style="medium">
        <color rgb="FF4F493B"/>
      </right>
      <top style="hair">
        <color rgb="FF4F493B"/>
      </top>
      <bottom style="medium">
        <color indexed="64"/>
      </bottom>
      <diagonal/>
    </border>
    <border>
      <left/>
      <right style="medium">
        <color indexed="64"/>
      </right>
      <top style="hair">
        <color rgb="FF4F493B"/>
      </top>
      <bottom style="medium">
        <color indexed="64"/>
      </bottom>
      <diagonal/>
    </border>
    <border>
      <left style="medium">
        <color indexed="64"/>
      </left>
      <right style="medium">
        <color rgb="FF4F493B"/>
      </right>
      <top style="medium">
        <color indexed="64"/>
      </top>
      <bottom style="medium">
        <color indexed="64"/>
      </bottom>
      <diagonal/>
    </border>
    <border>
      <left/>
      <right style="medium">
        <color rgb="FF4F493B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4F493B"/>
      </right>
      <top style="medium">
        <color rgb="FF4F493B"/>
      </top>
      <bottom/>
      <diagonal/>
    </border>
    <border>
      <left style="medium">
        <color indexed="64"/>
      </left>
      <right style="medium">
        <color rgb="FF4F493B"/>
      </right>
      <top style="medium">
        <color indexed="64"/>
      </top>
      <bottom/>
      <diagonal/>
    </border>
    <border>
      <left style="medium">
        <color rgb="FF4F493B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4F493B"/>
      </right>
      <top/>
      <bottom/>
      <diagonal/>
    </border>
    <border>
      <left style="medium">
        <color rgb="FF4F493B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4F493B"/>
      </right>
      <top/>
      <bottom style="medium">
        <color rgb="FF4F493B"/>
      </bottom>
      <diagonal/>
    </border>
    <border>
      <left style="medium">
        <color rgb="FF4F493B"/>
      </left>
      <right style="medium">
        <color indexed="64"/>
      </right>
      <top/>
      <bottom style="medium">
        <color rgb="FF4F493B"/>
      </bottom>
      <diagonal/>
    </border>
    <border>
      <left style="medium">
        <color indexed="64"/>
      </left>
      <right style="medium">
        <color rgb="FF4F493B"/>
      </right>
      <top style="medium">
        <color rgb="FF4F493B"/>
      </top>
      <bottom/>
      <diagonal/>
    </border>
    <border>
      <left style="medium">
        <color rgb="FF4F493B"/>
      </left>
      <right style="medium">
        <color indexed="64"/>
      </right>
      <top style="medium">
        <color rgb="FF4F493B"/>
      </top>
      <bottom/>
      <diagonal/>
    </border>
    <border>
      <left style="medium">
        <color indexed="64"/>
      </left>
      <right style="medium">
        <color rgb="FF4F493B"/>
      </right>
      <top/>
      <bottom style="medium">
        <color indexed="64"/>
      </bottom>
      <diagonal/>
    </border>
    <border>
      <left style="medium">
        <color rgb="FF4F493B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4F493B"/>
      </right>
      <top style="hair">
        <color rgb="FF4F493B"/>
      </top>
      <bottom/>
      <diagonal/>
    </border>
    <border>
      <left/>
      <right style="medium">
        <color indexed="64"/>
      </right>
      <top style="hair">
        <color rgb="FF4F493B"/>
      </top>
      <bottom/>
      <diagonal/>
    </border>
    <border>
      <left style="medium">
        <color rgb="FF4F493B"/>
      </left>
      <right style="medium">
        <color rgb="FF4F493B"/>
      </right>
      <top style="medium">
        <color indexed="64"/>
      </top>
      <bottom/>
      <diagonal/>
    </border>
    <border>
      <left style="medium">
        <color rgb="FF4F493B"/>
      </left>
      <right style="medium">
        <color rgb="FF4F493B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50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1" fillId="0" borderId="0">
      <alignment horizontal="center" wrapText="1"/>
      <protection locked="0"/>
    </xf>
    <xf numFmtId="165" fontId="9" fillId="0" borderId="0" applyFill="0" applyBorder="0" applyAlignment="0"/>
    <xf numFmtId="0" fontId="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NumberFormat="0" applyAlignment="0">
      <alignment horizontal="left"/>
    </xf>
    <xf numFmtId="0" fontId="14" fillId="0" borderId="0" applyNumberFormat="0" applyAlignment="0"/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NumberFormat="0" applyAlignment="0">
      <alignment horizontal="left"/>
    </xf>
    <xf numFmtId="0" fontId="9" fillId="0" borderId="0"/>
    <xf numFmtId="166" fontId="9" fillId="0" borderId="0" applyFont="0" applyFill="0" applyBorder="0" applyAlignment="0" applyProtection="0"/>
    <xf numFmtId="38" fontId="17" fillId="6" borderId="0" applyNumberFormat="0" applyBorder="0" applyAlignment="0" applyProtection="0"/>
    <xf numFmtId="0" fontId="18" fillId="0" borderId="11" applyNumberFormat="0" applyAlignment="0" applyProtection="0">
      <alignment horizontal="left" vertical="center"/>
    </xf>
    <xf numFmtId="0" fontId="18" fillId="0" borderId="12">
      <alignment horizontal="left" vertical="center"/>
    </xf>
    <xf numFmtId="10" fontId="17" fillId="7" borderId="2" applyNumberFormat="0" applyBorder="0" applyAlignment="0" applyProtection="0"/>
    <xf numFmtId="167" fontId="19" fillId="8" borderId="0"/>
    <xf numFmtId="167" fontId="20" fillId="9" borderId="0"/>
    <xf numFmtId="168" fontId="8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23" fillId="0" borderId="0"/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14" fontId="11" fillId="0" borderId="0">
      <alignment horizontal="center" wrapText="1"/>
      <protection locked="0"/>
    </xf>
    <xf numFmtId="10" fontId="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5" fontId="25" fillId="0" borderId="0"/>
    <xf numFmtId="0" fontId="26" fillId="0" borderId="0" applyNumberFormat="0" applyFont="0" applyFill="0" applyBorder="0" applyAlignment="0" applyProtection="0">
      <alignment horizontal="left"/>
    </xf>
    <xf numFmtId="176" fontId="27" fillId="0" borderId="0" applyNumberFormat="0" applyFill="0" applyBorder="0" applyAlignment="0" applyProtection="0">
      <alignment horizontal="left"/>
    </xf>
    <xf numFmtId="40" fontId="28" fillId="0" borderId="0" applyBorder="0">
      <alignment horizontal="right"/>
    </xf>
    <xf numFmtId="9" fontId="8" fillId="0" borderId="0" applyFont="0" applyFill="0" applyBorder="0" applyAlignment="0" applyProtection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pivotButton="1"/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3" fillId="0" borderId="0" xfId="0" pivotButton="1" applyFont="1"/>
    <xf numFmtId="0" fontId="3" fillId="0" borderId="0" xfId="0" applyFont="1" applyAlignment="1">
      <alignment horizontal="center" vertical="center"/>
    </xf>
    <xf numFmtId="177" fontId="3" fillId="0" borderId="0" xfId="49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77" fontId="6" fillId="0" borderId="0" xfId="49" applyNumberFormat="1" applyFon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4" fillId="0" borderId="0" xfId="0" pivotButton="1" applyFont="1" applyAlignment="1">
      <alignment horizontal="center"/>
    </xf>
    <xf numFmtId="0" fontId="0" fillId="10" borderId="0" xfId="0" applyFill="1" applyAlignment="1">
      <alignment horizontal="center"/>
    </xf>
    <xf numFmtId="177" fontId="0" fillId="0" borderId="0" xfId="49" applyNumberFormat="1" applyFont="1" applyAlignment="1">
      <alignment horizontal="center" vertical="center"/>
    </xf>
    <xf numFmtId="0" fontId="31" fillId="0" borderId="0" xfId="0" applyFont="1"/>
    <xf numFmtId="0" fontId="32" fillId="11" borderId="20" xfId="0" applyFont="1" applyFill="1" applyBorder="1" applyAlignment="1">
      <alignment horizontal="right" wrapText="1"/>
    </xf>
    <xf numFmtId="0" fontId="32" fillId="11" borderId="21" xfId="0" applyFont="1" applyFill="1" applyBorder="1" applyAlignment="1">
      <alignment horizontal="right" wrapText="1"/>
    </xf>
    <xf numFmtId="0" fontId="32" fillId="11" borderId="33" xfId="0" applyFont="1" applyFill="1" applyBorder="1" applyAlignment="1">
      <alignment horizontal="center" wrapText="1"/>
    </xf>
    <xf numFmtId="0" fontId="32" fillId="11" borderId="34" xfId="0" applyFont="1" applyFill="1" applyBorder="1" applyAlignment="1">
      <alignment horizontal="center" wrapText="1"/>
    </xf>
    <xf numFmtId="0" fontId="32" fillId="11" borderId="35" xfId="0" applyFont="1" applyFill="1" applyBorder="1" applyAlignment="1">
      <alignment horizontal="center" wrapText="1"/>
    </xf>
    <xf numFmtId="0" fontId="33" fillId="5" borderId="42" xfId="0" applyFont="1" applyFill="1" applyBorder="1" applyAlignment="1">
      <alignment horizontal="left" vertical="center" wrapText="1"/>
    </xf>
    <xf numFmtId="174" fontId="33" fillId="5" borderId="42" xfId="0" applyNumberFormat="1" applyFont="1" applyFill="1" applyBorder="1" applyAlignment="1">
      <alignment horizontal="center" vertical="center" wrapText="1"/>
    </xf>
    <xf numFmtId="174" fontId="33" fillId="5" borderId="43" xfId="0" applyNumberFormat="1" applyFont="1" applyFill="1" applyBorder="1" applyAlignment="1">
      <alignment horizontal="center" vertical="center" wrapText="1"/>
    </xf>
    <xf numFmtId="0" fontId="33" fillId="5" borderId="27" xfId="0" applyFont="1" applyFill="1" applyBorder="1" applyAlignment="1">
      <alignment horizontal="left" vertical="center" wrapText="1"/>
    </xf>
    <xf numFmtId="174" fontId="33" fillId="5" borderId="27" xfId="0" applyNumberFormat="1" applyFont="1" applyFill="1" applyBorder="1" applyAlignment="1">
      <alignment horizontal="center" vertical="center" wrapText="1"/>
    </xf>
    <xf numFmtId="174" fontId="33" fillId="5" borderId="45" xfId="0" applyNumberFormat="1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174" fontId="33" fillId="5" borderId="48" xfId="0" applyNumberFormat="1" applyFont="1" applyFill="1" applyBorder="1" applyAlignment="1">
      <alignment horizontal="center" vertical="center" wrapText="1"/>
    </xf>
    <xf numFmtId="174" fontId="33" fillId="5" borderId="49" xfId="0" applyNumberFormat="1" applyFont="1" applyFill="1" applyBorder="1" applyAlignment="1">
      <alignment horizontal="center" vertical="center" wrapText="1"/>
    </xf>
    <xf numFmtId="0" fontId="33" fillId="5" borderId="38" xfId="0" applyFont="1" applyFill="1" applyBorder="1" applyAlignment="1">
      <alignment horizontal="left" vertical="center" wrapText="1"/>
    </xf>
    <xf numFmtId="174" fontId="33" fillId="5" borderId="38" xfId="0" applyNumberFormat="1" applyFont="1" applyFill="1" applyBorder="1" applyAlignment="1">
      <alignment horizontal="center" vertical="center" wrapText="1"/>
    </xf>
    <xf numFmtId="174" fontId="33" fillId="5" borderId="39" xfId="0" applyNumberFormat="1" applyFont="1" applyFill="1" applyBorder="1" applyAlignment="1">
      <alignment horizontal="center" vertical="center" wrapText="1"/>
    </xf>
    <xf numFmtId="174" fontId="33" fillId="5" borderId="28" xfId="0" applyNumberFormat="1" applyFont="1" applyFill="1" applyBorder="1" applyAlignment="1">
      <alignment horizontal="center" vertical="center" wrapText="1"/>
    </xf>
    <xf numFmtId="0" fontId="33" fillId="5" borderId="31" xfId="0" applyFont="1" applyFill="1" applyBorder="1" applyAlignment="1">
      <alignment horizontal="left" vertical="center" wrapText="1"/>
    </xf>
    <xf numFmtId="174" fontId="33" fillId="5" borderId="31" xfId="0" applyNumberFormat="1" applyFont="1" applyFill="1" applyBorder="1" applyAlignment="1">
      <alignment horizontal="center" vertical="center" wrapText="1"/>
    </xf>
    <xf numFmtId="174" fontId="33" fillId="5" borderId="32" xfId="0" applyNumberFormat="1" applyFont="1" applyFill="1" applyBorder="1" applyAlignment="1">
      <alignment horizontal="center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33" fillId="5" borderId="46" xfId="0" applyFont="1" applyFill="1" applyBorder="1" applyAlignment="1">
      <alignment horizontal="left" vertical="center" wrapText="1"/>
    </xf>
    <xf numFmtId="0" fontId="32" fillId="11" borderId="50" xfId="0" applyFont="1" applyFill="1" applyBorder="1" applyAlignment="1">
      <alignment horizontal="center" wrapText="1"/>
    </xf>
    <xf numFmtId="0" fontId="32" fillId="11" borderId="51" xfId="0" applyFont="1" applyFill="1" applyBorder="1" applyAlignment="1">
      <alignment horizontal="center" wrapText="1"/>
    </xf>
    <xf numFmtId="0" fontId="32" fillId="11" borderId="7" xfId="0" applyFont="1" applyFill="1" applyBorder="1" applyAlignment="1">
      <alignment horizontal="center" wrapText="1"/>
    </xf>
    <xf numFmtId="0" fontId="32" fillId="11" borderId="16" xfId="0" applyFont="1" applyFill="1" applyBorder="1" applyAlignment="1">
      <alignment horizontal="center" vertical="center" wrapText="1"/>
    </xf>
    <xf numFmtId="0" fontId="32" fillId="11" borderId="17" xfId="0" applyFont="1" applyFill="1" applyBorder="1" applyAlignment="1">
      <alignment horizontal="center" vertical="center" wrapText="1"/>
    </xf>
    <xf numFmtId="174" fontId="33" fillId="5" borderId="53" xfId="0" applyNumberFormat="1" applyFont="1" applyFill="1" applyBorder="1" applyAlignment="1">
      <alignment horizontal="center" vertical="center" wrapText="1"/>
    </xf>
    <xf numFmtId="174" fontId="33" fillId="5" borderId="55" xfId="0" applyNumberFormat="1" applyFont="1" applyFill="1" applyBorder="1" applyAlignment="1">
      <alignment horizontal="center" vertical="center" wrapText="1"/>
    </xf>
    <xf numFmtId="174" fontId="33" fillId="5" borderId="57" xfId="0" applyNumberFormat="1" applyFont="1" applyFill="1" applyBorder="1" applyAlignment="1">
      <alignment horizontal="center" vertical="center" wrapText="1"/>
    </xf>
    <xf numFmtId="0" fontId="32" fillId="11" borderId="6" xfId="0" applyFont="1" applyFill="1" applyBorder="1" applyAlignment="1">
      <alignment horizontal="center" wrapText="1"/>
    </xf>
    <xf numFmtId="0" fontId="4" fillId="0" borderId="15" xfId="0" applyFont="1" applyBorder="1"/>
    <xf numFmtId="0" fontId="4" fillId="0" borderId="58" xfId="0" applyFont="1" applyBorder="1"/>
    <xf numFmtId="0" fontId="4" fillId="0" borderId="8" xfId="0" applyFont="1" applyBorder="1"/>
    <xf numFmtId="174" fontId="29" fillId="0" borderId="52" xfId="0" applyNumberFormat="1" applyFont="1" applyBorder="1" applyAlignment="1">
      <alignment horizontal="center" vertical="center"/>
    </xf>
    <xf numFmtId="174" fontId="29" fillId="0" borderId="54" xfId="0" applyNumberFormat="1" applyFont="1" applyBorder="1" applyAlignment="1">
      <alignment horizontal="center" vertical="center"/>
    </xf>
    <xf numFmtId="174" fontId="29" fillId="0" borderId="56" xfId="0" applyNumberFormat="1" applyFont="1" applyBorder="1" applyAlignment="1">
      <alignment horizontal="center" vertical="center"/>
    </xf>
    <xf numFmtId="0" fontId="32" fillId="11" borderId="24" xfId="0" applyFont="1" applyFill="1" applyBorder="1" applyAlignment="1">
      <alignment horizontal="right" wrapText="1"/>
    </xf>
    <xf numFmtId="0" fontId="32" fillId="11" borderId="59" xfId="0" applyFont="1" applyFill="1" applyBorder="1" applyAlignment="1">
      <alignment horizontal="right" wrapText="1"/>
    </xf>
    <xf numFmtId="0" fontId="33" fillId="5" borderId="70" xfId="0" applyFont="1" applyFill="1" applyBorder="1" applyAlignment="1">
      <alignment horizontal="left" vertical="center" wrapText="1"/>
    </xf>
    <xf numFmtId="174" fontId="33" fillId="5" borderId="70" xfId="0" applyNumberFormat="1" applyFont="1" applyFill="1" applyBorder="1" applyAlignment="1">
      <alignment horizontal="center" vertical="center" wrapText="1"/>
    </xf>
    <xf numFmtId="174" fontId="33" fillId="5" borderId="71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77" fontId="0" fillId="0" borderId="0" xfId="49" applyNumberFormat="1" applyFont="1"/>
    <xf numFmtId="177" fontId="5" fillId="4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0" fontId="34" fillId="12" borderId="0" xfId="0" applyFont="1" applyFill="1" applyAlignment="1">
      <alignment horizontal="center" vertical="center"/>
    </xf>
    <xf numFmtId="177" fontId="0" fillId="0" borderId="0" xfId="49" applyNumberFormat="1" applyFont="1" applyAlignment="1">
      <alignment horizontal="center"/>
    </xf>
    <xf numFmtId="0" fontId="35" fillId="13" borderId="0" xfId="0" applyFont="1" applyFill="1" applyAlignment="1">
      <alignment horizontal="center" vertical="center"/>
    </xf>
    <xf numFmtId="179" fontId="35" fillId="13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1" fillId="0" borderId="77" xfId="0" applyNumberFormat="1" applyFont="1" applyBorder="1" applyAlignment="1">
      <alignment horizontal="center" vertical="center"/>
    </xf>
    <xf numFmtId="179" fontId="1" fillId="0" borderId="78" xfId="0" applyNumberFormat="1" applyFont="1" applyBorder="1" applyAlignment="1">
      <alignment horizontal="center" vertical="center"/>
    </xf>
    <xf numFmtId="179" fontId="1" fillId="0" borderId="79" xfId="0" applyNumberFormat="1" applyFont="1" applyBorder="1" applyAlignment="1">
      <alignment horizontal="center" vertical="center"/>
    </xf>
    <xf numFmtId="0" fontId="1" fillId="0" borderId="80" xfId="0" applyFont="1" applyBorder="1"/>
    <xf numFmtId="0" fontId="1" fillId="0" borderId="81" xfId="0" applyFont="1" applyBorder="1"/>
    <xf numFmtId="0" fontId="1" fillId="0" borderId="82" xfId="0" applyFont="1" applyBorder="1"/>
    <xf numFmtId="0" fontId="1" fillId="0" borderId="15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4" borderId="83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180" fontId="0" fillId="16" borderId="0" xfId="0" applyNumberFormat="1" applyFill="1" applyAlignment="1">
      <alignment horizontal="center" vertical="center"/>
    </xf>
    <xf numFmtId="0" fontId="36" fillId="0" borderId="0" xfId="0" applyFont="1"/>
    <xf numFmtId="0" fontId="35" fillId="17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7" fillId="17" borderId="0" xfId="0" applyFont="1" applyFill="1" applyAlignment="1">
      <alignment horizontal="center"/>
    </xf>
    <xf numFmtId="0" fontId="37" fillId="17" borderId="0" xfId="0" applyFont="1" applyFill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5" fillId="18" borderId="4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32" fillId="11" borderId="21" xfId="0" applyFont="1" applyFill="1" applyBorder="1" applyAlignment="1">
      <alignment horizontal="center" wrapText="1"/>
    </xf>
    <xf numFmtId="10" fontId="1" fillId="4" borderId="0" xfId="49" applyNumberFormat="1" applyFont="1" applyFill="1" applyAlignment="1">
      <alignment horizontal="center" vertical="center"/>
    </xf>
    <xf numFmtId="177" fontId="29" fillId="0" borderId="0" xfId="49" applyNumberFormat="1" applyFont="1" applyAlignment="1">
      <alignment horizontal="center" vertical="center"/>
    </xf>
    <xf numFmtId="177" fontId="29" fillId="0" borderId="1" xfId="0" applyNumberFormat="1" applyFont="1" applyBorder="1" applyAlignment="1">
      <alignment horizontal="center" vertical="center"/>
    </xf>
    <xf numFmtId="0" fontId="1" fillId="14" borderId="89" xfId="0" applyFont="1" applyFill="1" applyBorder="1" applyAlignment="1">
      <alignment horizontal="center" vertical="center"/>
    </xf>
    <xf numFmtId="0" fontId="1" fillId="14" borderId="90" xfId="0" applyFont="1" applyFill="1" applyBorder="1" applyAlignment="1">
      <alignment horizontal="center"/>
    </xf>
    <xf numFmtId="0" fontId="0" fillId="20" borderId="0" xfId="0" applyFill="1"/>
    <xf numFmtId="0" fontId="0" fillId="21" borderId="0" xfId="0" applyFill="1"/>
    <xf numFmtId="0" fontId="0" fillId="10" borderId="0" xfId="0" applyFill="1"/>
    <xf numFmtId="0" fontId="0" fillId="22" borderId="0" xfId="0" applyFill="1"/>
    <xf numFmtId="0" fontId="0" fillId="4" borderId="0" xfId="0" applyFill="1"/>
    <xf numFmtId="0" fontId="0" fillId="3" borderId="0" xfId="0" applyFill="1"/>
    <xf numFmtId="0" fontId="0" fillId="23" borderId="0" xfId="0" applyFill="1"/>
    <xf numFmtId="0" fontId="0" fillId="24" borderId="0" xfId="0" applyFill="1"/>
    <xf numFmtId="0" fontId="0" fillId="0" borderId="9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7" fontId="29" fillId="0" borderId="0" xfId="0" applyNumberFormat="1" applyFont="1"/>
    <xf numFmtId="0" fontId="29" fillId="0" borderId="0" xfId="0" applyFont="1"/>
    <xf numFmtId="0" fontId="3" fillId="0" borderId="4" xfId="0" applyFont="1" applyBorder="1" applyAlignment="1">
      <alignment horizontal="center" vertical="center"/>
    </xf>
    <xf numFmtId="10" fontId="0" fillId="0" borderId="0" xfId="49" applyNumberFormat="1" applyFont="1"/>
    <xf numFmtId="0" fontId="4" fillId="0" borderId="0" xfId="0" applyFont="1"/>
    <xf numFmtId="0" fontId="35" fillId="12" borderId="92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81" fontId="3" fillId="0" borderId="4" xfId="0" applyNumberFormat="1" applyFont="1" applyBorder="1" applyAlignment="1">
      <alignment horizontal="center" vertical="center"/>
    </xf>
    <xf numFmtId="177" fontId="3" fillId="0" borderId="4" xfId="49" applyNumberFormat="1" applyFont="1" applyBorder="1" applyAlignment="1">
      <alignment horizontal="center" vertical="center"/>
    </xf>
    <xf numFmtId="177" fontId="5" fillId="0" borderId="4" xfId="49" applyNumberFormat="1" applyFont="1" applyBorder="1" applyAlignment="1">
      <alignment horizontal="center" vertical="center"/>
    </xf>
    <xf numFmtId="3" fontId="0" fillId="0" borderId="0" xfId="0" applyNumberFormat="1"/>
    <xf numFmtId="3" fontId="0" fillId="0" borderId="0" xfId="49" applyNumberFormat="1" applyFont="1"/>
    <xf numFmtId="177" fontId="3" fillId="0" borderId="93" xfId="49" applyNumberFormat="1" applyFont="1" applyBorder="1" applyAlignment="1">
      <alignment horizontal="center" vertical="center"/>
    </xf>
    <xf numFmtId="177" fontId="3" fillId="0" borderId="10" xfId="49" applyNumberFormat="1" applyFont="1" applyBorder="1" applyAlignment="1">
      <alignment horizontal="center" vertical="center"/>
    </xf>
    <xf numFmtId="1" fontId="0" fillId="0" borderId="0" xfId="49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78" fontId="3" fillId="0" borderId="9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177" fontId="3" fillId="0" borderId="19" xfId="49" applyNumberFormat="1" applyFont="1" applyBorder="1" applyAlignment="1">
      <alignment horizontal="center" vertical="center"/>
    </xf>
    <xf numFmtId="177" fontId="5" fillId="2" borderId="4" xfId="49" applyNumberFormat="1" applyFont="1" applyFill="1" applyBorder="1" applyAlignment="1">
      <alignment horizontal="center" vertical="center"/>
    </xf>
    <xf numFmtId="178" fontId="3" fillId="2" borderId="4" xfId="0" applyNumberFormat="1" applyFont="1" applyFill="1" applyBorder="1" applyAlignment="1">
      <alignment horizontal="center" vertical="center"/>
    </xf>
    <xf numFmtId="181" fontId="3" fillId="2" borderId="4" xfId="0" applyNumberFormat="1" applyFont="1" applyFill="1" applyBorder="1" applyAlignment="1">
      <alignment horizontal="center" vertical="center"/>
    </xf>
    <xf numFmtId="177" fontId="3" fillId="2" borderId="4" xfId="49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8" fontId="3" fillId="2" borderId="9" xfId="0" applyNumberFormat="1" applyFont="1" applyFill="1" applyBorder="1" applyAlignment="1">
      <alignment horizontal="center" vertical="center"/>
    </xf>
    <xf numFmtId="177" fontId="3" fillId="2" borderId="19" xfId="49" applyNumberFormat="1" applyFont="1" applyFill="1" applyBorder="1" applyAlignment="1">
      <alignment horizontal="center" vertical="center"/>
    </xf>
    <xf numFmtId="177" fontId="3" fillId="2" borderId="93" xfId="49" applyNumberFormat="1" applyFont="1" applyFill="1" applyBorder="1" applyAlignment="1">
      <alignment horizontal="center" vertical="center"/>
    </xf>
    <xf numFmtId="178" fontId="3" fillId="2" borderId="10" xfId="0" applyNumberFormat="1" applyFont="1" applyFill="1" applyBorder="1" applyAlignment="1">
      <alignment horizontal="center" vertical="center"/>
    </xf>
    <xf numFmtId="177" fontId="3" fillId="2" borderId="9" xfId="49" applyNumberFormat="1" applyFont="1" applyFill="1" applyBorder="1" applyAlignment="1">
      <alignment horizontal="center" vertical="center"/>
    </xf>
    <xf numFmtId="178" fontId="3" fillId="0" borderId="19" xfId="0" applyNumberFormat="1" applyFont="1" applyBorder="1" applyAlignment="1">
      <alignment horizontal="center" vertical="center"/>
    </xf>
    <xf numFmtId="178" fontId="3" fillId="0" borderId="93" xfId="0" applyNumberFormat="1" applyFont="1" applyBorder="1" applyAlignment="1">
      <alignment horizontal="center" vertical="center"/>
    </xf>
    <xf numFmtId="178" fontId="3" fillId="2" borderId="19" xfId="0" applyNumberFormat="1" applyFont="1" applyFill="1" applyBorder="1" applyAlignment="1">
      <alignment horizontal="center" vertical="center"/>
    </xf>
    <xf numFmtId="178" fontId="3" fillId="2" borderId="93" xfId="0" applyNumberFormat="1" applyFont="1" applyFill="1" applyBorder="1" applyAlignment="1">
      <alignment horizontal="center" vertical="center"/>
    </xf>
    <xf numFmtId="177" fontId="3" fillId="2" borderId="10" xfId="49" applyNumberFormat="1" applyFont="1" applyFill="1" applyBorder="1" applyAlignment="1">
      <alignment horizontal="center" vertical="center"/>
    </xf>
    <xf numFmtId="11" fontId="0" fillId="0" borderId="0" xfId="0" applyNumberFormat="1"/>
    <xf numFmtId="9" fontId="1" fillId="4" borderId="0" xfId="49" applyNumberFormat="1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39" fillId="0" borderId="0" xfId="0" applyFont="1"/>
    <xf numFmtId="0" fontId="31" fillId="0" borderId="0" xfId="0" applyFont="1" applyAlignment="1">
      <alignment horizontal="center" vertical="center"/>
    </xf>
    <xf numFmtId="9" fontId="3" fillId="2" borderId="4" xfId="49" applyNumberFormat="1" applyFont="1" applyFill="1" applyBorder="1" applyAlignment="1">
      <alignment horizontal="center" vertical="center"/>
    </xf>
    <xf numFmtId="9" fontId="3" fillId="0" borderId="4" xfId="49" applyNumberFormat="1" applyFont="1" applyBorder="1" applyAlignment="1">
      <alignment horizontal="center" vertical="center"/>
    </xf>
    <xf numFmtId="9" fontId="3" fillId="2" borderId="9" xfId="49" applyNumberFormat="1" applyFont="1" applyFill="1" applyBorder="1" applyAlignment="1">
      <alignment horizontal="center" vertical="center"/>
    </xf>
    <xf numFmtId="9" fontId="3" fillId="0" borderId="9" xfId="49" applyNumberFormat="1" applyFont="1" applyBorder="1" applyAlignment="1">
      <alignment horizontal="center" vertical="center"/>
    </xf>
    <xf numFmtId="0" fontId="1" fillId="14" borderId="0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10" fontId="0" fillId="0" borderId="0" xfId="0" applyNumberFormat="1"/>
    <xf numFmtId="9" fontId="0" fillId="0" borderId="0" xfId="0" applyNumberFormat="1"/>
    <xf numFmtId="178" fontId="0" fillId="0" borderId="0" xfId="0" applyNumberForma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6" fillId="4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4" fontId="6" fillId="0" borderId="14" xfId="0" applyNumberFormat="1" applyFont="1" applyBorder="1" applyAlignment="1">
      <alignment horizontal="center" vertical="center"/>
    </xf>
    <xf numFmtId="0" fontId="33" fillId="5" borderId="41" xfId="0" applyFont="1" applyFill="1" applyBorder="1" applyAlignment="1">
      <alignment horizontal="left" vertical="center" wrapText="1"/>
    </xf>
    <xf numFmtId="0" fontId="33" fillId="5" borderId="26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top"/>
    </xf>
    <xf numFmtId="0" fontId="7" fillId="5" borderId="44" xfId="0" applyFont="1" applyFill="1" applyBorder="1" applyAlignment="1">
      <alignment horizontal="center" vertical="top"/>
    </xf>
    <xf numFmtId="0" fontId="7" fillId="5" borderId="46" xfId="0" applyFont="1" applyFill="1" applyBorder="1" applyAlignment="1">
      <alignment horizontal="center" vertical="top"/>
    </xf>
    <xf numFmtId="0" fontId="7" fillId="5" borderId="41" xfId="0" applyFont="1" applyFill="1" applyBorder="1" applyAlignment="1">
      <alignment horizontal="center" vertical="top"/>
    </xf>
    <xf numFmtId="0" fontId="7" fillId="5" borderId="26" xfId="0" applyFont="1" applyFill="1" applyBorder="1" applyAlignment="1">
      <alignment horizontal="center" vertical="top"/>
    </xf>
    <xf numFmtId="0" fontId="7" fillId="5" borderId="47" xfId="0" applyFont="1" applyFill="1" applyBorder="1" applyAlignment="1">
      <alignment horizontal="center" vertical="top"/>
    </xf>
    <xf numFmtId="0" fontId="7" fillId="5" borderId="36" xfId="0" applyFont="1" applyFill="1" applyBorder="1" applyAlignment="1">
      <alignment horizontal="center" vertical="top"/>
    </xf>
    <xf numFmtId="0" fontId="7" fillId="5" borderId="25" xfId="0" applyFont="1" applyFill="1" applyBorder="1" applyAlignment="1">
      <alignment horizontal="center" vertical="top"/>
    </xf>
    <xf numFmtId="0" fontId="7" fillId="5" borderId="29" xfId="0" applyFont="1" applyFill="1" applyBorder="1" applyAlignment="1">
      <alignment horizontal="center" vertical="top"/>
    </xf>
    <xf numFmtId="0" fontId="7" fillId="5" borderId="37" xfId="0" applyFont="1" applyFill="1" applyBorder="1" applyAlignment="1">
      <alignment horizontal="center" vertical="top"/>
    </xf>
    <xf numFmtId="0" fontId="7" fillId="5" borderId="30" xfId="0" applyFont="1" applyFill="1" applyBorder="1" applyAlignment="1">
      <alignment horizontal="center" vertical="top"/>
    </xf>
    <xf numFmtId="0" fontId="7" fillId="5" borderId="66" xfId="0" applyFont="1" applyFill="1" applyBorder="1" applyAlignment="1">
      <alignment horizontal="right" vertical="top"/>
    </xf>
    <xf numFmtId="0" fontId="7" fillId="5" borderId="62" xfId="0" applyFont="1" applyFill="1" applyBorder="1" applyAlignment="1">
      <alignment horizontal="right" vertical="top"/>
    </xf>
    <xf numFmtId="0" fontId="7" fillId="5" borderId="68" xfId="0" applyFont="1" applyFill="1" applyBorder="1" applyAlignment="1">
      <alignment horizontal="right" vertical="top"/>
    </xf>
    <xf numFmtId="0" fontId="7" fillId="5" borderId="67" xfId="0" applyFont="1" applyFill="1" applyBorder="1" applyAlignment="1">
      <alignment horizontal="right" vertical="top"/>
    </xf>
    <xf numFmtId="0" fontId="7" fillId="5" borderId="63" xfId="0" applyFont="1" applyFill="1" applyBorder="1" applyAlignment="1">
      <alignment horizontal="right" vertical="top"/>
    </xf>
    <xf numFmtId="0" fontId="7" fillId="5" borderId="69" xfId="0" applyFont="1" applyFill="1" applyBorder="1" applyAlignment="1">
      <alignment horizontal="right" vertical="top"/>
    </xf>
    <xf numFmtId="0" fontId="7" fillId="5" borderId="60" xfId="0" applyFont="1" applyFill="1" applyBorder="1" applyAlignment="1">
      <alignment horizontal="right" vertical="top"/>
    </xf>
    <xf numFmtId="0" fontId="7" fillId="5" borderId="64" xfId="0" applyFont="1" applyFill="1" applyBorder="1" applyAlignment="1">
      <alignment horizontal="right" vertical="top"/>
    </xf>
    <xf numFmtId="0" fontId="7" fillId="5" borderId="61" xfId="0" applyFont="1" applyFill="1" applyBorder="1" applyAlignment="1">
      <alignment horizontal="right" vertical="top"/>
    </xf>
    <xf numFmtId="0" fontId="7" fillId="5" borderId="65" xfId="0" applyFont="1" applyFill="1" applyBorder="1" applyAlignment="1">
      <alignment horizontal="right" vertical="top"/>
    </xf>
    <xf numFmtId="0" fontId="7" fillId="5" borderId="24" xfId="0" applyFont="1" applyFill="1" applyBorder="1" applyAlignment="1">
      <alignment horizontal="right" vertical="top"/>
    </xf>
    <xf numFmtId="0" fontId="7" fillId="5" borderId="22" xfId="0" applyFont="1" applyFill="1" applyBorder="1" applyAlignment="1">
      <alignment horizontal="right" vertical="top"/>
    </xf>
    <xf numFmtId="0" fontId="7" fillId="5" borderId="23" xfId="0" applyFont="1" applyFill="1" applyBorder="1" applyAlignment="1">
      <alignment horizontal="right" vertical="top"/>
    </xf>
    <xf numFmtId="0" fontId="7" fillId="5" borderId="72" xfId="0" applyFont="1" applyFill="1" applyBorder="1" applyAlignment="1">
      <alignment horizontal="right" vertical="top"/>
    </xf>
    <xf numFmtId="0" fontId="7" fillId="5" borderId="73" xfId="0" applyFont="1" applyFill="1" applyBorder="1" applyAlignment="1">
      <alignment horizontal="right" vertical="top"/>
    </xf>
    <xf numFmtId="0" fontId="1" fillId="4" borderId="0" xfId="0" applyFont="1" applyFill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40" fillId="14" borderId="0" xfId="0" applyFont="1" applyFill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41" fillId="14" borderId="0" xfId="0" applyFont="1" applyFill="1" applyAlignment="1">
      <alignment horizontal="center" vertical="center" wrapText="1"/>
    </xf>
  </cellXfs>
  <cellStyles count="50">
    <cellStyle name="(4) STM-1 (LECT)_x000d__x000a_PL-4579-M-039-99_x000d__x000a_FALTA APE" xfId="1"/>
    <cellStyle name="(4) STM-1 (LECT)_x000d__x000a_PL-4579-M-039-99_x000d__x000a_FALTA APE 2" xfId="2"/>
    <cellStyle name="(4) STM-1 (LECT)_x000d__x000a_PL-4579-M-039-99_x000d__x000a_FALTA APE 3" xfId="3"/>
    <cellStyle name="(4) STM-1 (LECT)_x000d__x000a_PL-4579-M-039-99_x000d__x000a_FALTA APE 4" xfId="4"/>
    <cellStyle name="(4) STM-1 (LECT)_x000d__x000a_PL-4579-M-039-99_x000d__x000a_FALTA APE_ACTUAL Ok" xfId="5"/>
    <cellStyle name="1" xfId="6"/>
    <cellStyle name="args.style" xfId="7"/>
    <cellStyle name="Calc Currency (0)" xfId="8"/>
    <cellStyle name="Cancel" xfId="9"/>
    <cellStyle name="Comma [0]_!!!GO" xfId="10"/>
    <cellStyle name="Comma_!!!GO" xfId="11"/>
    <cellStyle name="Copied" xfId="12"/>
    <cellStyle name="COST1" xfId="13"/>
    <cellStyle name="Currency [0]_!!!GO" xfId="14"/>
    <cellStyle name="Currency_!!!GO" xfId="15"/>
    <cellStyle name="Entered" xfId="16"/>
    <cellStyle name="Estilo 1" xfId="17"/>
    <cellStyle name="Euro" xfId="18"/>
    <cellStyle name="Grey" xfId="19"/>
    <cellStyle name="Header1" xfId="20"/>
    <cellStyle name="Header2" xfId="21"/>
    <cellStyle name="Input [yellow]" xfId="22"/>
    <cellStyle name="Input Cells" xfId="23"/>
    <cellStyle name="Linked Cells" xfId="24"/>
    <cellStyle name="Millares 2" xfId="25"/>
    <cellStyle name="Millares 3" xfId="26"/>
    <cellStyle name="Milliers [0]_!!!GO" xfId="27"/>
    <cellStyle name="Milliers_!!!GO" xfId="28"/>
    <cellStyle name="Moneda 2" xfId="29"/>
    <cellStyle name="Monétaire [0]_!!!GO" xfId="30"/>
    <cellStyle name="Monétaire_!!!GO" xfId="31"/>
    <cellStyle name="Normal" xfId="0" builtinId="0"/>
    <cellStyle name="Normal - Style1" xfId="32"/>
    <cellStyle name="Normal 2" xfId="33"/>
    <cellStyle name="Normal 2 2" xfId="34"/>
    <cellStyle name="Normal 2 3" xfId="35"/>
    <cellStyle name="Normal 3" xfId="36"/>
    <cellStyle name="Normal 4" xfId="37"/>
    <cellStyle name="Normal 4 2" xfId="38"/>
    <cellStyle name="Œ…‹æØ‚è [0.00]_!!!GO" xfId="39"/>
    <cellStyle name="Œ…‹æØ‚è_!!!GO" xfId="40"/>
    <cellStyle name="per.style" xfId="41"/>
    <cellStyle name="Percent [2]" xfId="42"/>
    <cellStyle name="Porcentaje" xfId="49" builtinId="5"/>
    <cellStyle name="Porcentual 2" xfId="43"/>
    <cellStyle name="Porcentual 3" xfId="44"/>
    <cellStyle name="pricing" xfId="45"/>
    <cellStyle name="PSChar" xfId="46"/>
    <cellStyle name="RevList" xfId="47"/>
    <cellStyle name="Subtotal" xfId="48"/>
  </cellStyles>
  <dxfs count="2243">
    <dxf>
      <alignment horizontal="center"/>
    </dxf>
    <dxf>
      <alignment horizontal="center"/>
    </dxf>
    <dxf>
      <numFmt numFmtId="177" formatCode="0.0%"/>
    </dxf>
    <dxf>
      <font>
        <sz val="9"/>
      </font>
    </dxf>
    <dxf>
      <font>
        <sz val="10"/>
      </font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39997558519241921"/>
        </patternFill>
      </fill>
    </dxf>
    <dxf>
      <font>
        <b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alignment vertical="bottom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alignment vertical="center" readingOrder="0"/>
    </dxf>
    <dxf>
      <alignment horizontal="center" readingOrder="0"/>
    </dxf>
    <dxf>
      <numFmt numFmtId="3" formatCode="#,##0"/>
    </dxf>
  </dxfs>
  <tableStyles count="0" defaultTableStyle="TableStyleMedium9" defaultPivotStyle="PivotStyleLight16"/>
  <colors>
    <mruColors>
      <color rgb="FFFFCCCC"/>
      <color rgb="FFFFFFCC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'Análisis Previo'!$H$14:$H$19</c:f>
              <c:numCache>
                <c:formatCode>#,##0</c:formatCode>
                <c:ptCount val="6"/>
                <c:pt idx="0">
                  <c:v>919256.83333333337</c:v>
                </c:pt>
                <c:pt idx="1">
                  <c:v>890786</c:v>
                </c:pt>
                <c:pt idx="2">
                  <c:v>917148.75</c:v>
                </c:pt>
                <c:pt idx="3">
                  <c:v>892551.11111111112</c:v>
                </c:pt>
                <c:pt idx="4">
                  <c:v>942230.9</c:v>
                </c:pt>
                <c:pt idx="5">
                  <c:v>1223217.6363636365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09-41F6-8293-6C41805E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96832"/>
        <c:axId val="380797616"/>
      </c:line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'Análisis Previo'!$I$14:$I$19</c:f>
              <c:numCache>
                <c:formatCode>#,##0.00</c:formatCode>
                <c:ptCount val="6"/>
                <c:pt idx="0">
                  <c:v>12.83627270273038</c:v>
                </c:pt>
                <c:pt idx="1">
                  <c:v>12.152274153501951</c:v>
                </c:pt>
                <c:pt idx="2">
                  <c:v>11.652103899073827</c:v>
                </c:pt>
                <c:pt idx="3">
                  <c:v>11.177707368863397</c:v>
                </c:pt>
                <c:pt idx="4">
                  <c:v>10.763924556753793</c:v>
                </c:pt>
                <c:pt idx="5">
                  <c:v>10.449314349350228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09-41F6-8293-6C41805E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807416"/>
        <c:axId val="380798008"/>
      </c:lineChart>
      <c:catAx>
        <c:axId val="3807968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380797616"/>
        <c:crosses val="autoZero"/>
        <c:auto val="1"/>
        <c:lblAlgn val="ctr"/>
        <c:lblOffset val="100"/>
        <c:noMultiLvlLbl val="0"/>
      </c:catAx>
      <c:valAx>
        <c:axId val="380797616"/>
        <c:scaling>
          <c:orientation val="minMax"/>
          <c:max val="250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380796832"/>
        <c:crosses val="autoZero"/>
        <c:crossBetween val="between"/>
      </c:valAx>
      <c:valAx>
        <c:axId val="380798008"/>
        <c:scaling>
          <c:orientation val="minMax"/>
          <c:max val="18"/>
          <c:min val="0"/>
        </c:scaling>
        <c:delete val="0"/>
        <c:axPos val="r"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380807416"/>
        <c:crosses val="max"/>
        <c:crossBetween val="between"/>
      </c:valAx>
      <c:catAx>
        <c:axId val="380807416"/>
        <c:scaling>
          <c:orientation val="minMax"/>
        </c:scaling>
        <c:delete val="1"/>
        <c:axPos val="b"/>
        <c:majorTickMark val="out"/>
        <c:minorTickMark val="none"/>
        <c:tickLblPos val="none"/>
        <c:crossAx val="380798008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3'!$U$5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3'!$T$6:$T$16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3'!$U$6:$U$16</c:f>
              <c:numCache>
                <c:formatCode>0.0000</c:formatCode>
                <c:ptCount val="11"/>
                <c:pt idx="0">
                  <c:v>7.7164140765476306E-3</c:v>
                </c:pt>
                <c:pt idx="1">
                  <c:v>0.13139224054872925</c:v>
                </c:pt>
                <c:pt idx="2">
                  <c:v>0.12592358868197812</c:v>
                </c:pt>
                <c:pt idx="3">
                  <c:v>-0.38783256061558907</c:v>
                </c:pt>
                <c:pt idx="4">
                  <c:v>-0.419351398862706</c:v>
                </c:pt>
                <c:pt idx="5">
                  <c:v>6.5947609260017581E-2</c:v>
                </c:pt>
                <c:pt idx="6">
                  <c:v>-3.7576212868924284E-2</c:v>
                </c:pt>
                <c:pt idx="7">
                  <c:v>9.6492230230797976E-2</c:v>
                </c:pt>
                <c:pt idx="8">
                  <c:v>0.51035794396775525</c:v>
                </c:pt>
                <c:pt idx="9">
                  <c:v>-0.17455175209262244</c:v>
                </c:pt>
                <c:pt idx="10">
                  <c:v>5.9471665137731132E-2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4F-474C-BCDC-EEC576C6C055}"/>
            </c:ext>
          </c:extLst>
        </c:ser>
        <c:ser>
          <c:idx val="1"/>
          <c:order val="1"/>
          <c:tx>
            <c:strRef>
              <c:f>'Cluster 3'!$V$5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3'!$T$6:$T$16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44F-474C-BCDC-EEC576C6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06632"/>
        <c:axId val="380807024"/>
      </c:radarChart>
      <c:catAx>
        <c:axId val="38080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0807024"/>
        <c:crosses val="autoZero"/>
        <c:auto val="1"/>
        <c:lblAlgn val="ctr"/>
        <c:lblOffset val="100"/>
        <c:noMultiLvlLbl val="0"/>
      </c:catAx>
      <c:valAx>
        <c:axId val="380807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080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3'!$U$5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3'!$T$17:$T$27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3'!$U$17:$U$27</c:f>
              <c:numCache>
                <c:formatCode>0.0000</c:formatCode>
                <c:ptCount val="11"/>
                <c:pt idx="0">
                  <c:v>-0.14419042726260811</c:v>
                </c:pt>
                <c:pt idx="1">
                  <c:v>-0.32296983711138172</c:v>
                </c:pt>
                <c:pt idx="2">
                  <c:v>-0.34933017262055843</c:v>
                </c:pt>
                <c:pt idx="3">
                  <c:v>2.4905037254347029</c:v>
                </c:pt>
                <c:pt idx="4">
                  <c:v>-0.12461333565343098</c:v>
                </c:pt>
                <c:pt idx="5">
                  <c:v>-0.17105509018697349</c:v>
                </c:pt>
                <c:pt idx="6">
                  <c:v>-0.27713883712339743</c:v>
                </c:pt>
                <c:pt idx="7">
                  <c:v>-0.32326911738604436</c:v>
                </c:pt>
                <c:pt idx="8">
                  <c:v>-1.3233786380416199</c:v>
                </c:pt>
                <c:pt idx="9">
                  <c:v>-0.13066320996247713</c:v>
                </c:pt>
                <c:pt idx="10">
                  <c:v>-0.19762066202305364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C0-4C9A-BE54-499D3447F3E1}"/>
            </c:ext>
          </c:extLst>
        </c:ser>
        <c:ser>
          <c:idx val="1"/>
          <c:order val="1"/>
          <c:tx>
            <c:strRef>
              <c:f>'Cluster 3'!$V$5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3'!$T$17:$T$27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EC0-4C9A-BE54-499D3447F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07808"/>
        <c:axId val="380808200"/>
      </c:radarChart>
      <c:catAx>
        <c:axId val="3808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0808200"/>
        <c:crosses val="autoZero"/>
        <c:auto val="1"/>
        <c:lblAlgn val="ctr"/>
        <c:lblOffset val="100"/>
        <c:noMultiLvlLbl val="0"/>
      </c:catAx>
      <c:valAx>
        <c:axId val="380808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08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3'!$U$5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3'!$T$28:$T$38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3'!$U$28:$U$38</c:f>
              <c:numCache>
                <c:formatCode>0.0000</c:formatCode>
                <c:ptCount val="11"/>
                <c:pt idx="0">
                  <c:v>7.563661272369207E-2</c:v>
                </c:pt>
                <c:pt idx="1">
                  <c:v>-0.3003989192690717</c:v>
                </c:pt>
                <c:pt idx="2">
                  <c:v>-0.25824855218086851</c:v>
                </c:pt>
                <c:pt idx="3">
                  <c:v>-0.25831789198601263</c:v>
                </c:pt>
                <c:pt idx="4">
                  <c:v>1.8194062780949321</c:v>
                </c:pt>
                <c:pt idx="5">
                  <c:v>-0.14409838868061051</c:v>
                </c:pt>
                <c:pt idx="6">
                  <c:v>0.36115250044617475</c:v>
                </c:pt>
                <c:pt idx="7">
                  <c:v>-0.15648582427693303</c:v>
                </c:pt>
                <c:pt idx="8">
                  <c:v>-1.1155217084281466</c:v>
                </c:pt>
                <c:pt idx="9">
                  <c:v>0.81600240079776509</c:v>
                </c:pt>
                <c:pt idx="10">
                  <c:v>-9.7653658023648282E-2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67-4B1C-A02B-2A8EC492D808}"/>
            </c:ext>
          </c:extLst>
        </c:ser>
        <c:ser>
          <c:idx val="1"/>
          <c:order val="1"/>
          <c:tx>
            <c:strRef>
              <c:f>'Cluster 3'!$V$5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3'!$T$28:$T$38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D67-4B1C-A02B-2A8EC492D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08984"/>
        <c:axId val="382392072"/>
      </c:radarChart>
      <c:catAx>
        <c:axId val="38080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2072"/>
        <c:crosses val="autoZero"/>
        <c:auto val="1"/>
        <c:lblAlgn val="ctr"/>
        <c:lblOffset val="100"/>
        <c:noMultiLvlLbl val="0"/>
      </c:catAx>
      <c:valAx>
        <c:axId val="3823920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080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4'!$U$6:$U$16</c:f>
              <c:numCache>
                <c:formatCode>0.0000</c:formatCode>
                <c:ptCount val="11"/>
                <c:pt idx="0">
                  <c:v>-1.1381111396523697E-2</c:v>
                </c:pt>
                <c:pt idx="1">
                  <c:v>0.14800294372081391</c:v>
                </c:pt>
                <c:pt idx="2">
                  <c:v>-0.19419172455226466</c:v>
                </c:pt>
                <c:pt idx="3">
                  <c:v>-0.38583377730202045</c:v>
                </c:pt>
                <c:pt idx="4">
                  <c:v>-0.41358417158014266</c:v>
                </c:pt>
                <c:pt idx="5">
                  <c:v>8.5950948782068368E-2</c:v>
                </c:pt>
                <c:pt idx="6">
                  <c:v>-5.190360965729636E-2</c:v>
                </c:pt>
                <c:pt idx="7">
                  <c:v>-0.13140569885080447</c:v>
                </c:pt>
                <c:pt idx="8">
                  <c:v>0.63669101740201894</c:v>
                </c:pt>
                <c:pt idx="9">
                  <c:v>-0.17625648522790385</c:v>
                </c:pt>
                <c:pt idx="10">
                  <c:v>0.11659372495839244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EF-4626-B65F-D95D98838413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EF-4626-B65F-D95D98838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3640"/>
        <c:axId val="382394032"/>
      </c:radarChart>
      <c:catAx>
        <c:axId val="38239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4032"/>
        <c:crosses val="autoZero"/>
        <c:auto val="1"/>
        <c:lblAlgn val="ctr"/>
        <c:lblOffset val="100"/>
        <c:noMultiLvlLbl val="0"/>
      </c:catAx>
      <c:valAx>
        <c:axId val="3823940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3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4'!$U$17:$U$27</c:f>
              <c:numCache>
                <c:formatCode>0.0000</c:formatCode>
                <c:ptCount val="11"/>
                <c:pt idx="0">
                  <c:v>-0.14438564945628907</c:v>
                </c:pt>
                <c:pt idx="1">
                  <c:v>-0.32275049301173797</c:v>
                </c:pt>
                <c:pt idx="2">
                  <c:v>-0.35109759476898927</c:v>
                </c:pt>
                <c:pt idx="3">
                  <c:v>2.4931346763437459</c:v>
                </c:pt>
                <c:pt idx="4">
                  <c:v>-0.12604644210798716</c:v>
                </c:pt>
                <c:pt idx="5">
                  <c:v>-0.17091395562411296</c:v>
                </c:pt>
                <c:pt idx="6">
                  <c:v>-0.2759103002029577</c:v>
                </c:pt>
                <c:pt idx="7">
                  <c:v>-0.3237556842639987</c:v>
                </c:pt>
                <c:pt idx="8">
                  <c:v>-1.3236746861422688</c:v>
                </c:pt>
                <c:pt idx="9">
                  <c:v>-0.13035790017724641</c:v>
                </c:pt>
                <c:pt idx="10">
                  <c:v>-0.1988561990782875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B5-482A-A861-D61802E40574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2B5-482A-A861-D61802E40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88936"/>
        <c:axId val="382389328"/>
      </c:radarChart>
      <c:catAx>
        <c:axId val="38238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89328"/>
        <c:crosses val="autoZero"/>
        <c:auto val="1"/>
        <c:lblAlgn val="ctr"/>
        <c:lblOffset val="100"/>
        <c:noMultiLvlLbl val="0"/>
      </c:catAx>
      <c:valAx>
        <c:axId val="3823893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8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4'!$U$28:$U$38</c:f>
              <c:numCache>
                <c:formatCode>0.0000</c:formatCode>
                <c:ptCount val="11"/>
                <c:pt idx="0">
                  <c:v>5.7138453634728976E-2</c:v>
                </c:pt>
                <c:pt idx="1">
                  <c:v>-0.29973473713557108</c:v>
                </c:pt>
                <c:pt idx="2">
                  <c:v>-0.28557024396945779</c:v>
                </c:pt>
                <c:pt idx="3">
                  <c:v>-0.254300197865582</c:v>
                </c:pt>
                <c:pt idx="4">
                  <c:v>1.8617556446413552</c:v>
                </c:pt>
                <c:pt idx="5">
                  <c:v>-0.14613987031522704</c:v>
                </c:pt>
                <c:pt idx="6">
                  <c:v>0.29156169455085762</c:v>
                </c:pt>
                <c:pt idx="7">
                  <c:v>-0.19127586607884217</c:v>
                </c:pt>
                <c:pt idx="8">
                  <c:v>-1.1163886619186782</c:v>
                </c:pt>
                <c:pt idx="9">
                  <c:v>0.80754125589649051</c:v>
                </c:pt>
                <c:pt idx="10">
                  <c:v>-9.4853530390766841E-2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BF-4A02-A184-D1731F69ACC2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5BF-4A02-A184-D1731F69A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86192"/>
        <c:axId val="382389720"/>
      </c:radarChart>
      <c:catAx>
        <c:axId val="3823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89720"/>
        <c:crosses val="autoZero"/>
        <c:auto val="1"/>
        <c:lblAlgn val="ctr"/>
        <c:lblOffset val="100"/>
        <c:noMultiLvlLbl val="0"/>
      </c:catAx>
      <c:valAx>
        <c:axId val="382389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8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4'!$U$39:$U$49</c:f>
              <c:numCache>
                <c:formatCode>0.0000</c:formatCode>
                <c:ptCount val="11"/>
                <c:pt idx="0">
                  <c:v>0.17200102748522991</c:v>
                </c:pt>
                <c:pt idx="1">
                  <c:v>-4.8686190341485833E-4</c:v>
                </c:pt>
                <c:pt idx="2">
                  <c:v>2.3066978080705289</c:v>
                </c:pt>
                <c:pt idx="3">
                  <c:v>-0.39870962229731921</c:v>
                </c:pt>
                <c:pt idx="4">
                  <c:v>-0.44027778707304066</c:v>
                </c:pt>
                <c:pt idx="5">
                  <c:v>-7.3930657209988371E-2</c:v>
                </c:pt>
                <c:pt idx="6">
                  <c:v>0.19905203434922819</c:v>
                </c:pt>
                <c:pt idx="7">
                  <c:v>1.6764881092031525</c:v>
                </c:pt>
                <c:pt idx="8">
                  <c:v>-0.40644817693579621</c:v>
                </c:pt>
                <c:pt idx="9">
                  <c:v>-0.1073419188251096</c:v>
                </c:pt>
                <c:pt idx="10">
                  <c:v>-0.33399023173345027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095-4379-AB16-529C6DEC2CB3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4'!$V$39:$V$49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095-4379-AB16-529C6DEC2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0896"/>
        <c:axId val="382395600"/>
      </c:radarChart>
      <c:catAx>
        <c:axId val="3823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5600"/>
        <c:crosses val="autoZero"/>
        <c:auto val="1"/>
        <c:lblAlgn val="ctr"/>
        <c:lblOffset val="100"/>
        <c:noMultiLvlLbl val="0"/>
      </c:catAx>
      <c:valAx>
        <c:axId val="3823956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10'!$U$6:$U$16</c:f>
              <c:numCache>
                <c:formatCode>0.0000</c:formatCode>
                <c:ptCount val="11"/>
                <c:pt idx="0">
                  <c:v>-9.5891771555783892E-2</c:v>
                </c:pt>
                <c:pt idx="1">
                  <c:v>-0.12921827402842867</c:v>
                </c:pt>
                <c:pt idx="2">
                  <c:v>-0.20759060076052707</c:v>
                </c:pt>
                <c:pt idx="3">
                  <c:v>-0.38987817115845225</c:v>
                </c:pt>
                <c:pt idx="4">
                  <c:v>-0.42582670209277262</c:v>
                </c:pt>
                <c:pt idx="5">
                  <c:v>3.936064055213432E-2</c:v>
                </c:pt>
                <c:pt idx="6">
                  <c:v>-0.14047655611217874</c:v>
                </c:pt>
                <c:pt idx="7">
                  <c:v>-9.8273248614253406E-2</c:v>
                </c:pt>
                <c:pt idx="8">
                  <c:v>0.91139342673495094</c:v>
                </c:pt>
                <c:pt idx="9">
                  <c:v>-0.17830716665225216</c:v>
                </c:pt>
                <c:pt idx="10">
                  <c:v>-0.33842565565953925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714-4D12-9104-9CD083306181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714-4D12-9104-9CD083306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5208"/>
        <c:axId val="382388152"/>
      </c:radarChart>
      <c:catAx>
        <c:axId val="38239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88152"/>
        <c:crosses val="autoZero"/>
        <c:auto val="1"/>
        <c:lblAlgn val="ctr"/>
        <c:lblOffset val="100"/>
        <c:noMultiLvlLbl val="0"/>
      </c:catAx>
      <c:valAx>
        <c:axId val="3823881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10'!$U$17:$U$27</c:f>
              <c:numCache>
                <c:formatCode>0.0000</c:formatCode>
                <c:ptCount val="11"/>
                <c:pt idx="0">
                  <c:v>-0.11055398578645434</c:v>
                </c:pt>
                <c:pt idx="1">
                  <c:v>-0.19820199336637845</c:v>
                </c:pt>
                <c:pt idx="2">
                  <c:v>-0.15383092825756389</c:v>
                </c:pt>
                <c:pt idx="3">
                  <c:v>-0.33881882832521593</c:v>
                </c:pt>
                <c:pt idx="4">
                  <c:v>-0.28595693988047033</c:v>
                </c:pt>
                <c:pt idx="5">
                  <c:v>7.9359368353257798E-2</c:v>
                </c:pt>
                <c:pt idx="6">
                  <c:v>-0.16094663750274971</c:v>
                </c:pt>
                <c:pt idx="7">
                  <c:v>-0.18470874331098047</c:v>
                </c:pt>
                <c:pt idx="8">
                  <c:v>-7.0890431663060929E-2</c:v>
                </c:pt>
                <c:pt idx="9">
                  <c:v>-0.14605790882595363</c:v>
                </c:pt>
                <c:pt idx="10">
                  <c:v>2.1845301333255982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B5-4F14-8D07-C4DD1CEC7CD4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B5-4F14-8D07-C4DD1CEC7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7952"/>
        <c:axId val="382390112"/>
      </c:radarChart>
      <c:catAx>
        <c:axId val="3823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0112"/>
        <c:crosses val="autoZero"/>
        <c:auto val="1"/>
        <c:lblAlgn val="ctr"/>
        <c:lblOffset val="100"/>
        <c:noMultiLvlLbl val="0"/>
      </c:catAx>
      <c:valAx>
        <c:axId val="382390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10'!$U$28:$U$38</c:f>
              <c:numCache>
                <c:formatCode>0.0000</c:formatCode>
                <c:ptCount val="11"/>
                <c:pt idx="0">
                  <c:v>0.20234266632417156</c:v>
                </c:pt>
                <c:pt idx="1">
                  <c:v>-0.40061559844040195</c:v>
                </c:pt>
                <c:pt idx="2">
                  <c:v>-0.16905777071947353</c:v>
                </c:pt>
                <c:pt idx="3">
                  <c:v>-0.35075895026496406</c:v>
                </c:pt>
                <c:pt idx="4">
                  <c:v>-0.17912849102189143</c:v>
                </c:pt>
                <c:pt idx="5">
                  <c:v>-0.15875451729991694</c:v>
                </c:pt>
                <c:pt idx="6">
                  <c:v>1.3136732838874896</c:v>
                </c:pt>
                <c:pt idx="7">
                  <c:v>1.3748319457166846E-2</c:v>
                </c:pt>
                <c:pt idx="8">
                  <c:v>-1.2669577910199574</c:v>
                </c:pt>
                <c:pt idx="9">
                  <c:v>5.9952734293999779</c:v>
                </c:pt>
                <c:pt idx="10">
                  <c:v>-0.47339108237759747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F7-4289-8D0A-FBD5EA351140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BF7-4289-8D0A-FBD5EA35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5992"/>
        <c:axId val="382397560"/>
      </c:radarChart>
      <c:catAx>
        <c:axId val="38239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7560"/>
        <c:crosses val="autoZero"/>
        <c:auto val="1"/>
        <c:lblAlgn val="ctr"/>
        <c:lblOffset val="100"/>
        <c:noMultiLvlLbl val="0"/>
      </c:catAx>
      <c:valAx>
        <c:axId val="3823975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10'!$U$39:$U$49</c:f>
              <c:numCache>
                <c:formatCode>0.0000</c:formatCode>
                <c:ptCount val="11"/>
                <c:pt idx="0">
                  <c:v>-7.3458344036304496E-2</c:v>
                </c:pt>
                <c:pt idx="1">
                  <c:v>3.4821193559893242</c:v>
                </c:pt>
                <c:pt idx="2">
                  <c:v>-0.10551906091435566</c:v>
                </c:pt>
                <c:pt idx="3">
                  <c:v>-0.39345388195677022</c:v>
                </c:pt>
                <c:pt idx="4">
                  <c:v>-0.42651470027238836</c:v>
                </c:pt>
                <c:pt idx="5">
                  <c:v>0.17808200116883269</c:v>
                </c:pt>
                <c:pt idx="6">
                  <c:v>-8.1990312820363842E-2</c:v>
                </c:pt>
                <c:pt idx="7">
                  <c:v>-0.14870075422966358</c:v>
                </c:pt>
                <c:pt idx="8">
                  <c:v>-0.20214756408506482</c:v>
                </c:pt>
                <c:pt idx="9">
                  <c:v>-0.20741588090209143</c:v>
                </c:pt>
                <c:pt idx="10">
                  <c:v>-0.38795319644223336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FC-43A2-8510-18B5613B2BC1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10'!$V$39:$V$49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0FC-43A2-8510-18B5613B2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7168"/>
        <c:axId val="382398344"/>
      </c:radarChart>
      <c:catAx>
        <c:axId val="3823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8344"/>
        <c:crosses val="autoZero"/>
        <c:auto val="1"/>
        <c:lblAlgn val="ctr"/>
        <c:lblOffset val="100"/>
        <c:noMultiLvlLbl val="0"/>
      </c:catAx>
      <c:valAx>
        <c:axId val="3823983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10'!$T$50:$T$60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10'!$U$50:$U$60</c:f>
              <c:numCache>
                <c:formatCode>0.0000</c:formatCode>
                <c:ptCount val="11"/>
                <c:pt idx="0">
                  <c:v>-6.7522904358249855E-2</c:v>
                </c:pt>
                <c:pt idx="1">
                  <c:v>-0.25122689199660531</c:v>
                </c:pt>
                <c:pt idx="2">
                  <c:v>0.16104848418518114</c:v>
                </c:pt>
                <c:pt idx="3">
                  <c:v>-0.40287683493935667</c:v>
                </c:pt>
                <c:pt idx="4">
                  <c:v>-0.43860820913003035</c:v>
                </c:pt>
                <c:pt idx="5">
                  <c:v>-0.11251406376101745</c:v>
                </c:pt>
                <c:pt idx="6">
                  <c:v>4.5267020009379988E-2</c:v>
                </c:pt>
                <c:pt idx="7">
                  <c:v>5.2409046675738375</c:v>
                </c:pt>
                <c:pt idx="8">
                  <c:v>-0.73013563989082997</c:v>
                </c:pt>
                <c:pt idx="9">
                  <c:v>-0.12852604146586211</c:v>
                </c:pt>
                <c:pt idx="10">
                  <c:v>-0.49532254497064804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A6-4208-AC41-4C3EB7D39DCA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10'!$T$50:$T$60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10'!$V$50:$V$60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FA6-4208-AC41-4C3EB7D39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87760"/>
        <c:axId val="382391680"/>
      </c:radarChart>
      <c:catAx>
        <c:axId val="38238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1680"/>
        <c:crosses val="autoZero"/>
        <c:auto val="1"/>
        <c:lblAlgn val="ctr"/>
        <c:lblOffset val="100"/>
        <c:noMultiLvlLbl val="0"/>
      </c:catAx>
      <c:valAx>
        <c:axId val="3823916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8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10'!$T$61:$T$71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10'!$U$61:$U$71</c:f>
              <c:numCache>
                <c:formatCode>0.0000</c:formatCode>
                <c:ptCount val="11"/>
                <c:pt idx="0">
                  <c:v>-0.11878071752718555</c:v>
                </c:pt>
                <c:pt idx="1">
                  <c:v>-0.28839854207921806</c:v>
                </c:pt>
                <c:pt idx="2">
                  <c:v>-0.30095659686241816</c:v>
                </c:pt>
                <c:pt idx="3">
                  <c:v>-0.22278382948973516</c:v>
                </c:pt>
                <c:pt idx="4">
                  <c:v>2.2937613913446975</c:v>
                </c:pt>
                <c:pt idx="5">
                  <c:v>-0.14801238803655983</c:v>
                </c:pt>
                <c:pt idx="6">
                  <c:v>-0.14896632729717732</c:v>
                </c:pt>
                <c:pt idx="7">
                  <c:v>-0.23300739132829695</c:v>
                </c:pt>
                <c:pt idx="8">
                  <c:v>-1.0821879388134017</c:v>
                </c:pt>
                <c:pt idx="9">
                  <c:v>-2.3771440718322025E-2</c:v>
                </c:pt>
                <c:pt idx="10">
                  <c:v>-0.13951869350341375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E34-48BD-9E25-78AA680BBD2B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10'!$T$61:$T$71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10'!$V$61:$V$71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E34-48BD-9E25-78AA680BB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92856"/>
        <c:axId val="382393248"/>
      </c:radarChart>
      <c:catAx>
        <c:axId val="38239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3248"/>
        <c:crosses val="autoZero"/>
        <c:auto val="1"/>
        <c:lblAlgn val="ctr"/>
        <c:lblOffset val="100"/>
        <c:noMultiLvlLbl val="0"/>
      </c:catAx>
      <c:valAx>
        <c:axId val="382393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392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10'!$T$72:$T$82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10'!$U$72:$U$82</c:f>
              <c:numCache>
                <c:formatCode>0.0000</c:formatCode>
                <c:ptCount val="11"/>
                <c:pt idx="0">
                  <c:v>7.7666992036989466</c:v>
                </c:pt>
                <c:pt idx="1">
                  <c:v>3.0872169538638848E-3</c:v>
                </c:pt>
                <c:pt idx="2">
                  <c:v>6.5350375722745269E-2</c:v>
                </c:pt>
                <c:pt idx="3">
                  <c:v>-0.37670328911993967</c:v>
                </c:pt>
                <c:pt idx="4">
                  <c:v>-0.33166286304508352</c:v>
                </c:pt>
                <c:pt idx="5">
                  <c:v>-7.6675823848163072E-2</c:v>
                </c:pt>
                <c:pt idx="6">
                  <c:v>0.60940826855153007</c:v>
                </c:pt>
                <c:pt idx="7">
                  <c:v>0.1469054550573374</c:v>
                </c:pt>
                <c:pt idx="8">
                  <c:v>-0.30130404513892139</c:v>
                </c:pt>
                <c:pt idx="9">
                  <c:v>0.37613436131381156</c:v>
                </c:pt>
                <c:pt idx="10">
                  <c:v>-0.41661620575000624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0-41A5-A3A5-7813A7921379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10'!$T$72:$T$82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10'!$V$72:$V$82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0-41A5-A3A5-7813A7921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01480"/>
        <c:axId val="382401088"/>
      </c:radarChart>
      <c:catAx>
        <c:axId val="38240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401088"/>
        <c:crosses val="autoZero"/>
        <c:auto val="1"/>
        <c:lblAlgn val="ctr"/>
        <c:lblOffset val="100"/>
        <c:noMultiLvlLbl val="0"/>
      </c:catAx>
      <c:valAx>
        <c:axId val="382401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401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10'!$T$83:$T$93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10'!$U$83:$U$93</c:f>
              <c:numCache>
                <c:formatCode>0.0000</c:formatCode>
                <c:ptCount val="11"/>
                <c:pt idx="0">
                  <c:v>-0.14922424865142567</c:v>
                </c:pt>
                <c:pt idx="1">
                  <c:v>-0.3244222230422002</c:v>
                </c:pt>
                <c:pt idx="2">
                  <c:v>-0.35172399339603527</c:v>
                </c:pt>
                <c:pt idx="3">
                  <c:v>2.5209139032097605</c:v>
                </c:pt>
                <c:pt idx="4">
                  <c:v>-0.13499354165132949</c:v>
                </c:pt>
                <c:pt idx="5">
                  <c:v>-0.17064957679509249</c:v>
                </c:pt>
                <c:pt idx="6">
                  <c:v>-0.28312795461054135</c:v>
                </c:pt>
                <c:pt idx="7">
                  <c:v>-0.3245849900748517</c:v>
                </c:pt>
                <c:pt idx="8">
                  <c:v>-1.3262069881063454</c:v>
                </c:pt>
                <c:pt idx="9">
                  <c:v>-0.12639720907259808</c:v>
                </c:pt>
                <c:pt idx="10">
                  <c:v>-0.23104542932873076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36-4293-BDB9-5A2B18E7C1ED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10'!$T$83:$T$93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10'!$V$83:$V$93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36-4293-BDB9-5A2B18E7C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00696"/>
        <c:axId val="382398736"/>
      </c:radarChart>
      <c:catAx>
        <c:axId val="38240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8736"/>
        <c:crosses val="autoZero"/>
        <c:auto val="1"/>
        <c:lblAlgn val="ctr"/>
        <c:lblOffset val="100"/>
        <c:noMultiLvlLbl val="0"/>
      </c:catAx>
      <c:valAx>
        <c:axId val="3823987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400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10'!$T$94:$T$104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10'!$U$94:$U$104</c:f>
              <c:numCache>
                <c:formatCode>0.0000</c:formatCode>
                <c:ptCount val="11"/>
                <c:pt idx="0">
                  <c:v>-5.7309701173045652E-2</c:v>
                </c:pt>
                <c:pt idx="1">
                  <c:v>-4.0582758323801107E-2</c:v>
                </c:pt>
                <c:pt idx="2">
                  <c:v>3.3051970128469934</c:v>
                </c:pt>
                <c:pt idx="3">
                  <c:v>-0.3948841662760974</c:v>
                </c:pt>
                <c:pt idx="4">
                  <c:v>-0.42944650055660039</c:v>
                </c:pt>
                <c:pt idx="5">
                  <c:v>-5.1573749766432232E-2</c:v>
                </c:pt>
                <c:pt idx="6">
                  <c:v>-8.1189273544536547E-2</c:v>
                </c:pt>
                <c:pt idx="7">
                  <c:v>0.29063751481631844</c:v>
                </c:pt>
                <c:pt idx="8">
                  <c:v>-0.18427124487914695</c:v>
                </c:pt>
                <c:pt idx="9">
                  <c:v>-0.14861084047720025</c:v>
                </c:pt>
                <c:pt idx="10">
                  <c:v>-0.31228629650713763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80-49D1-9518-2D6B9A563793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10'!$T$94:$T$104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10'!$V$94:$V$104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180-49D1-9518-2D6B9A563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01872"/>
        <c:axId val="382399520"/>
      </c:radarChart>
      <c:catAx>
        <c:axId val="38240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2399520"/>
        <c:crosses val="autoZero"/>
        <c:auto val="1"/>
        <c:lblAlgn val="ctr"/>
        <c:lblOffset val="100"/>
        <c:noMultiLvlLbl val="0"/>
      </c:catAx>
      <c:valAx>
        <c:axId val="382399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240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10'!$T$105:$T$115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10'!$U$105:$U$115</c:f>
              <c:numCache>
                <c:formatCode>0.0000</c:formatCode>
                <c:ptCount val="11"/>
                <c:pt idx="0">
                  <c:v>8.4198989639523908E-2</c:v>
                </c:pt>
                <c:pt idx="1">
                  <c:v>-0.14630251446236101</c:v>
                </c:pt>
                <c:pt idx="2">
                  <c:v>6.0998186005463027E-3</c:v>
                </c:pt>
                <c:pt idx="3">
                  <c:v>-0.35460453377947904</c:v>
                </c:pt>
                <c:pt idx="4">
                  <c:v>-0.21759749429456762</c:v>
                </c:pt>
                <c:pt idx="5">
                  <c:v>0.61280825975120568</c:v>
                </c:pt>
                <c:pt idx="6">
                  <c:v>4.4758111041475575</c:v>
                </c:pt>
                <c:pt idx="7">
                  <c:v>0.20094906042609798</c:v>
                </c:pt>
                <c:pt idx="8">
                  <c:v>-0.34424847098946748</c:v>
                </c:pt>
                <c:pt idx="9">
                  <c:v>0.3118734246067183</c:v>
                </c:pt>
                <c:pt idx="10">
                  <c:v>-0.35605947982348946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26-4951-9BFF-7697887892AD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10'!$T$105:$T$115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10'!$V$105:$V$115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26-4951-9BFF-76978878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1536"/>
        <c:axId val="384255264"/>
      </c:radarChart>
      <c:catAx>
        <c:axId val="38426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55264"/>
        <c:crosses val="autoZero"/>
        <c:auto val="1"/>
        <c:lblAlgn val="ctr"/>
        <c:lblOffset val="100"/>
        <c:noMultiLvlLbl val="0"/>
      </c:catAx>
      <c:valAx>
        <c:axId val="384255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Seg'!$U$6:$U$16</c:f>
              <c:numCache>
                <c:formatCode>0.0000</c:formatCode>
                <c:ptCount val="11"/>
                <c:pt idx="0">
                  <c:v>-9.5809572737391907E-2</c:v>
                </c:pt>
                <c:pt idx="1">
                  <c:v>-0.12881750980898618</c:v>
                </c:pt>
                <c:pt idx="2">
                  <c:v>-0.20784907751741222</c:v>
                </c:pt>
                <c:pt idx="3">
                  <c:v>-0.39781210040250875</c:v>
                </c:pt>
                <c:pt idx="4">
                  <c:v>-0.42648703756996542</c:v>
                </c:pt>
                <c:pt idx="5">
                  <c:v>3.9173786342149949E-2</c:v>
                </c:pt>
                <c:pt idx="6">
                  <c:v>-0.14042260009878105</c:v>
                </c:pt>
                <c:pt idx="7">
                  <c:v>-9.7515346747754306E-2</c:v>
                </c:pt>
                <c:pt idx="8">
                  <c:v>0.91764409284317727</c:v>
                </c:pt>
                <c:pt idx="9">
                  <c:v>-0.17822484763166091</c:v>
                </c:pt>
                <c:pt idx="10">
                  <c:v>-0.33861601720143153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7D-49DD-9664-BCBC325F71A3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D7D-49DD-9664-BCBC325F7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1928"/>
        <c:axId val="384265848"/>
      </c:radarChart>
      <c:catAx>
        <c:axId val="38426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5848"/>
        <c:crosses val="autoZero"/>
        <c:auto val="1"/>
        <c:lblAlgn val="ctr"/>
        <c:lblOffset val="100"/>
        <c:noMultiLvlLbl val="0"/>
      </c:catAx>
      <c:valAx>
        <c:axId val="3842658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Seg'!$U$17:$U$27</c:f>
              <c:numCache>
                <c:formatCode>0.0000</c:formatCode>
                <c:ptCount val="11"/>
                <c:pt idx="0">
                  <c:v>-0.11031423923281104</c:v>
                </c:pt>
                <c:pt idx="1">
                  <c:v>-0.19763620858598907</c:v>
                </c:pt>
                <c:pt idx="2">
                  <c:v>-0.15164901185034424</c:v>
                </c:pt>
                <c:pt idx="3">
                  <c:v>-0.3607310962788372</c:v>
                </c:pt>
                <c:pt idx="4">
                  <c:v>-0.28985827326734442</c:v>
                </c:pt>
                <c:pt idx="5">
                  <c:v>8.1090751511730078E-2</c:v>
                </c:pt>
                <c:pt idx="6">
                  <c:v>-0.16044858199446332</c:v>
                </c:pt>
                <c:pt idx="7">
                  <c:v>-0.18256764503671177</c:v>
                </c:pt>
                <c:pt idx="8">
                  <c:v>-6.0336784319298273E-2</c:v>
                </c:pt>
                <c:pt idx="9">
                  <c:v>-0.14648930217436834</c:v>
                </c:pt>
                <c:pt idx="10">
                  <c:v>2.2053185201837628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A5-44AD-B6A4-216857036D67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4A5-44AD-B6A4-216857036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58792"/>
        <c:axId val="384266240"/>
      </c:radarChart>
      <c:catAx>
        <c:axId val="38425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6240"/>
        <c:crosses val="autoZero"/>
        <c:auto val="1"/>
        <c:lblAlgn val="ctr"/>
        <c:lblOffset val="100"/>
        <c:noMultiLvlLbl val="0"/>
      </c:catAx>
      <c:valAx>
        <c:axId val="384266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5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Seg'!$U$28:$U$38</c:f>
              <c:numCache>
                <c:formatCode>0.0000</c:formatCode>
                <c:ptCount val="11"/>
                <c:pt idx="0">
                  <c:v>0.2024214401917972</c:v>
                </c:pt>
                <c:pt idx="1">
                  <c:v>-0.40068939645523538</c:v>
                </c:pt>
                <c:pt idx="2">
                  <c:v>-0.16937562727185929</c:v>
                </c:pt>
                <c:pt idx="3">
                  <c:v>-0.35366881072392842</c:v>
                </c:pt>
                <c:pt idx="4">
                  <c:v>-0.18021269048782285</c:v>
                </c:pt>
                <c:pt idx="5">
                  <c:v>-0.15851598001057515</c:v>
                </c:pt>
                <c:pt idx="6">
                  <c:v>1.3185417764809886</c:v>
                </c:pt>
                <c:pt idx="7">
                  <c:v>1.4477659745924418E-2</c:v>
                </c:pt>
                <c:pt idx="8">
                  <c:v>-1.2685608135775761</c:v>
                </c:pt>
                <c:pt idx="9">
                  <c:v>6.0081079025217754</c:v>
                </c:pt>
                <c:pt idx="10">
                  <c:v>-0.47386064084759832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F0-41D4-B4F9-1D6A284CB015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F0-41D4-B4F9-1D6A284C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0360"/>
        <c:axId val="384262320"/>
      </c:radarChart>
      <c:catAx>
        <c:axId val="38426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2320"/>
        <c:crosses val="autoZero"/>
        <c:auto val="1"/>
        <c:lblAlgn val="ctr"/>
        <c:lblOffset val="100"/>
        <c:noMultiLvlLbl val="0"/>
      </c:catAx>
      <c:valAx>
        <c:axId val="384262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Seg'!$U$39:$U$49</c:f>
              <c:numCache>
                <c:formatCode>0.0000</c:formatCode>
                <c:ptCount val="11"/>
                <c:pt idx="0">
                  <c:v>-7.3269971744156184E-2</c:v>
                </c:pt>
                <c:pt idx="1">
                  <c:v>3.4856268116387668</c:v>
                </c:pt>
                <c:pt idx="2">
                  <c:v>-0.1049799855159871</c:v>
                </c:pt>
                <c:pt idx="3">
                  <c:v>-0.39593777893522275</c:v>
                </c:pt>
                <c:pt idx="4">
                  <c:v>-0.42672707843937741</c:v>
                </c:pt>
                <c:pt idx="5">
                  <c:v>0.17823903821764936</c:v>
                </c:pt>
                <c:pt idx="6">
                  <c:v>-8.1604319801441866E-2</c:v>
                </c:pt>
                <c:pt idx="7">
                  <c:v>-0.14826008988736533</c:v>
                </c:pt>
                <c:pt idx="8">
                  <c:v>-0.2016190403180117</c:v>
                </c:pt>
                <c:pt idx="9">
                  <c:v>-0.20744101425369471</c:v>
                </c:pt>
                <c:pt idx="10">
                  <c:v>-0.38775739599914427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BB-42F5-9669-210E9465D792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Seg'!$V$39:$V$49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BB-42F5-9669-210E9465D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59184"/>
        <c:axId val="384262712"/>
      </c:radarChart>
      <c:catAx>
        <c:axId val="38425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2712"/>
        <c:crosses val="autoZero"/>
        <c:auto val="1"/>
        <c:lblAlgn val="ctr"/>
        <c:lblOffset val="100"/>
        <c:noMultiLvlLbl val="0"/>
      </c:catAx>
      <c:valAx>
        <c:axId val="384262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5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Seg'!$U$50:$U$60</c:f>
              <c:numCache>
                <c:formatCode>0.0000</c:formatCode>
                <c:ptCount val="11"/>
                <c:pt idx="0">
                  <c:v>-6.7505779604418198E-2</c:v>
                </c:pt>
                <c:pt idx="1">
                  <c:v>-0.25092760004755876</c:v>
                </c:pt>
                <c:pt idx="2">
                  <c:v>0.16127552457974248</c:v>
                </c:pt>
                <c:pt idx="3">
                  <c:v>-0.4030694838037347</c:v>
                </c:pt>
                <c:pt idx="4">
                  <c:v>-0.43865416490986192</c:v>
                </c:pt>
                <c:pt idx="5">
                  <c:v>-0.11262140554122123</c:v>
                </c:pt>
                <c:pt idx="6">
                  <c:v>4.5337577873053904E-2</c:v>
                </c:pt>
                <c:pt idx="7">
                  <c:v>5.2411382604775083</c:v>
                </c:pt>
                <c:pt idx="8">
                  <c:v>-0.7299882390996647</c:v>
                </c:pt>
                <c:pt idx="9">
                  <c:v>-0.1285124952979167</c:v>
                </c:pt>
                <c:pt idx="10">
                  <c:v>-0.4958782193762668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BD-4526-B452-558A4444F05B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Seg'!$V$50:$V$60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4BD-4526-B452-558A4444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4672"/>
        <c:axId val="384263104"/>
      </c:radarChart>
      <c:catAx>
        <c:axId val="3842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3104"/>
        <c:crosses val="autoZero"/>
        <c:auto val="1"/>
        <c:lblAlgn val="ctr"/>
        <c:lblOffset val="100"/>
        <c:noMultiLvlLbl val="0"/>
      </c:catAx>
      <c:valAx>
        <c:axId val="384263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Seg'!$U$61:$U$71</c:f>
              <c:numCache>
                <c:formatCode>0.0000</c:formatCode>
                <c:ptCount val="11"/>
                <c:pt idx="0">
                  <c:v>-0.11817450124154466</c:v>
                </c:pt>
                <c:pt idx="1">
                  <c:v>-0.28860353656486643</c:v>
                </c:pt>
                <c:pt idx="2">
                  <c:v>-0.2990948656270157</c:v>
                </c:pt>
                <c:pt idx="3">
                  <c:v>-0.29348801654233486</c:v>
                </c:pt>
                <c:pt idx="4">
                  <c:v>2.3649089696312604</c:v>
                </c:pt>
                <c:pt idx="5">
                  <c:v>-0.14779969228689677</c:v>
                </c:pt>
                <c:pt idx="6">
                  <c:v>-0.14552766905871661</c:v>
                </c:pt>
                <c:pt idx="7">
                  <c:v>-0.22938313112416323</c:v>
                </c:pt>
                <c:pt idx="8">
                  <c:v>-1.07826015959174</c:v>
                </c:pt>
                <c:pt idx="9">
                  <c:v>-2.4961419471678629E-2</c:v>
                </c:pt>
                <c:pt idx="10">
                  <c:v>-0.14467567832162753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72-475D-936F-CEB758084215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Seg'!$V$61:$V$71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E72-475D-936F-CEB758084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5064"/>
        <c:axId val="384259576"/>
      </c:radarChart>
      <c:catAx>
        <c:axId val="38426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59576"/>
        <c:crosses val="autoZero"/>
        <c:auto val="1"/>
        <c:lblAlgn val="ctr"/>
        <c:lblOffset val="100"/>
        <c:noMultiLvlLbl val="0"/>
      </c:catAx>
      <c:valAx>
        <c:axId val="384259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5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Seg'!$U$72:$U$82</c:f>
              <c:numCache>
                <c:formatCode>0.0000</c:formatCode>
                <c:ptCount val="11"/>
                <c:pt idx="0">
                  <c:v>7.76980563404401</c:v>
                </c:pt>
                <c:pt idx="1">
                  <c:v>3.1138662369982239E-3</c:v>
                </c:pt>
                <c:pt idx="2">
                  <c:v>6.5777677388406758E-2</c:v>
                </c:pt>
                <c:pt idx="3">
                  <c:v>-0.37742253893129585</c:v>
                </c:pt>
                <c:pt idx="4">
                  <c:v>-0.33210992801004785</c:v>
                </c:pt>
                <c:pt idx="5">
                  <c:v>-7.6544628339025103E-2</c:v>
                </c:pt>
                <c:pt idx="6">
                  <c:v>0.61011384718826911</c:v>
                </c:pt>
                <c:pt idx="7">
                  <c:v>0.14734917956867943</c:v>
                </c:pt>
                <c:pt idx="8">
                  <c:v>-0.30081042388478685</c:v>
                </c:pt>
                <c:pt idx="9">
                  <c:v>0.37666161985076291</c:v>
                </c:pt>
                <c:pt idx="10">
                  <c:v>-0.41795689489504734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00-443F-B6BC-2A5C6A01D13D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Seg'!$V$72:$V$82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00-443F-B6BC-2A5C6A01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56048"/>
        <c:axId val="384258400"/>
      </c:radarChart>
      <c:catAx>
        <c:axId val="3842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58400"/>
        <c:crosses val="autoZero"/>
        <c:auto val="1"/>
        <c:lblAlgn val="ctr"/>
        <c:lblOffset val="100"/>
        <c:noMultiLvlLbl val="0"/>
      </c:catAx>
      <c:valAx>
        <c:axId val="384258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Seg'!$U$83:$U$93</c:f>
              <c:numCache>
                <c:formatCode>0.0000</c:formatCode>
                <c:ptCount val="11"/>
                <c:pt idx="0">
                  <c:v>-0.1548529497388475</c:v>
                </c:pt>
                <c:pt idx="1">
                  <c:v>-0.3438710748680861</c:v>
                </c:pt>
                <c:pt idx="2">
                  <c:v>-0.37080819394605519</c:v>
                </c:pt>
                <c:pt idx="3">
                  <c:v>2.8869048474808383</c:v>
                </c:pt>
                <c:pt idx="4">
                  <c:v>-0.29834938439332792</c:v>
                </c:pt>
                <c:pt idx="5">
                  <c:v>-0.1901917442244159</c:v>
                </c:pt>
                <c:pt idx="6">
                  <c:v>-0.30823202745946043</c:v>
                </c:pt>
                <c:pt idx="7">
                  <c:v>-0.33459786318596235</c:v>
                </c:pt>
                <c:pt idx="8">
                  <c:v>-1.4298266279996685</c:v>
                </c:pt>
                <c:pt idx="9">
                  <c:v>-0.14754277723535214</c:v>
                </c:pt>
                <c:pt idx="10">
                  <c:v>-0.32469877552204379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C2-43FA-92FB-D1D1DF8F09AE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Seg'!$V$83:$V$93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9C2-43FA-92FB-D1D1DF8F0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4280"/>
        <c:axId val="384265456"/>
      </c:radarChart>
      <c:catAx>
        <c:axId val="38426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5456"/>
        <c:crosses val="autoZero"/>
        <c:auto val="1"/>
        <c:lblAlgn val="ctr"/>
        <c:lblOffset val="100"/>
        <c:noMultiLvlLbl val="0"/>
      </c:catAx>
      <c:valAx>
        <c:axId val="384265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Seg'!$T$94:$T$104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Seg'!$U$94:$U$104</c:f>
              <c:numCache>
                <c:formatCode>0.0000</c:formatCode>
                <c:ptCount val="11"/>
                <c:pt idx="0">
                  <c:v>-5.7234352256186331E-2</c:v>
                </c:pt>
                <c:pt idx="1">
                  <c:v>-4.0680130704484091E-2</c:v>
                </c:pt>
                <c:pt idx="2">
                  <c:v>3.3047266317218513</c:v>
                </c:pt>
                <c:pt idx="3">
                  <c:v>-0.39592792057116072</c:v>
                </c:pt>
                <c:pt idx="4">
                  <c:v>-0.42981860852145087</c:v>
                </c:pt>
                <c:pt idx="5">
                  <c:v>-5.1756628354927593E-2</c:v>
                </c:pt>
                <c:pt idx="6">
                  <c:v>-8.1091737674163805E-2</c:v>
                </c:pt>
                <c:pt idx="7">
                  <c:v>0.29091905036834237</c:v>
                </c:pt>
                <c:pt idx="8">
                  <c:v>-0.18320079727311656</c:v>
                </c:pt>
                <c:pt idx="9">
                  <c:v>-0.14820966550343292</c:v>
                </c:pt>
                <c:pt idx="10">
                  <c:v>-0.31246668673016881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30-4B9C-BA64-3BCC2A3361E2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Seg'!$T$94:$T$104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Seg'!$V$94:$V$104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30-4B9C-BA64-3BCC2A33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56440"/>
        <c:axId val="384257224"/>
      </c:radarChart>
      <c:catAx>
        <c:axId val="38425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57224"/>
        <c:crosses val="autoZero"/>
        <c:auto val="1"/>
        <c:lblAlgn val="ctr"/>
        <c:lblOffset val="100"/>
        <c:noMultiLvlLbl val="0"/>
      </c:catAx>
      <c:valAx>
        <c:axId val="384257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56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Seg'!$T$105:$T$115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Seg'!$U$105:$U$115</c:f>
              <c:numCache>
                <c:formatCode>0.0000</c:formatCode>
                <c:ptCount val="11"/>
                <c:pt idx="0">
                  <c:v>8.4092816165767609E-2</c:v>
                </c:pt>
                <c:pt idx="1">
                  <c:v>-0.14599399776146024</c:v>
                </c:pt>
                <c:pt idx="2">
                  <c:v>7.336315518618494E-3</c:v>
                </c:pt>
                <c:pt idx="3">
                  <c:v>-0.35827307750604742</c:v>
                </c:pt>
                <c:pt idx="4">
                  <c:v>-0.21853624148646869</c:v>
                </c:pt>
                <c:pt idx="5">
                  <c:v>0.61339267611009296</c:v>
                </c:pt>
                <c:pt idx="6">
                  <c:v>4.483748863810872</c:v>
                </c:pt>
                <c:pt idx="7">
                  <c:v>0.20228431418551568</c:v>
                </c:pt>
                <c:pt idx="8">
                  <c:v>-0.34335908016920236</c:v>
                </c:pt>
                <c:pt idx="9">
                  <c:v>0.31336767113238667</c:v>
                </c:pt>
                <c:pt idx="10">
                  <c:v>-0.35607035762588335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C6-4B99-B265-54D668F33E50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Seg'!$T$105:$T$115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Seg'!$V$105:$V$115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C6-4B99-B265-54D668F33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58008"/>
        <c:axId val="384259968"/>
      </c:radarChart>
      <c:catAx>
        <c:axId val="38425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59968"/>
        <c:crosses val="autoZero"/>
        <c:auto val="1"/>
        <c:lblAlgn val="ctr"/>
        <c:lblOffset val="100"/>
        <c:noMultiLvlLbl val="0"/>
      </c:catAx>
      <c:valAx>
        <c:axId val="384259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5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Seg'!$T$116:$T$126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Seg'!$U$116:$U$126</c:f>
              <c:numCache>
                <c:formatCode>0.0000</c:formatCode>
                <c:ptCount val="11"/>
                <c:pt idx="0">
                  <c:v>-0.13158660844250364</c:v>
                </c:pt>
                <c:pt idx="1">
                  <c:v>-0.2717058411128741</c:v>
                </c:pt>
                <c:pt idx="2">
                  <c:v>-0.30394305128318572</c:v>
                </c:pt>
                <c:pt idx="3">
                  <c:v>1.4749472269448805</c:v>
                </c:pt>
                <c:pt idx="4">
                  <c:v>0.36617520752603971</c:v>
                </c:pt>
                <c:pt idx="5">
                  <c:v>-0.1147364361733848</c:v>
                </c:pt>
                <c:pt idx="6">
                  <c:v>-0.21172547180383258</c:v>
                </c:pt>
                <c:pt idx="7">
                  <c:v>-0.29652221988742655</c:v>
                </c:pt>
                <c:pt idx="8">
                  <c:v>-1.0431765898873708</c:v>
                </c:pt>
                <c:pt idx="9">
                  <c:v>-6.8401896046707183E-2</c:v>
                </c:pt>
                <c:pt idx="10">
                  <c:v>1.5133742580432324E-2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4D-468B-8867-DEBF58507BD0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Seg'!$T$116:$T$126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Seg'!$V$116:$V$126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24D-468B-8867-DEBF58507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9768"/>
        <c:axId val="384269376"/>
      </c:radarChart>
      <c:catAx>
        <c:axId val="38426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9376"/>
        <c:crosses val="autoZero"/>
        <c:auto val="1"/>
        <c:lblAlgn val="ctr"/>
        <c:lblOffset val="100"/>
        <c:noMultiLvlLbl val="0"/>
      </c:catAx>
      <c:valAx>
        <c:axId val="3842693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9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Seg'!$AY$6:$AY$16</c:f>
              <c:numCache>
                <c:formatCode>0.0000</c:formatCode>
                <c:ptCount val="11"/>
                <c:pt idx="0">
                  <c:v>-9.5809572737391907E-2</c:v>
                </c:pt>
                <c:pt idx="1">
                  <c:v>-0.12881750980898618</c:v>
                </c:pt>
                <c:pt idx="2">
                  <c:v>-0.20784907751741222</c:v>
                </c:pt>
                <c:pt idx="3">
                  <c:v>-0.39781210040250875</c:v>
                </c:pt>
                <c:pt idx="4">
                  <c:v>-0.42648703756996542</c:v>
                </c:pt>
                <c:pt idx="5">
                  <c:v>3.9173786342149949E-2</c:v>
                </c:pt>
                <c:pt idx="6">
                  <c:v>-0.14042260009878105</c:v>
                </c:pt>
                <c:pt idx="7">
                  <c:v>-9.7515346747754306E-2</c:v>
                </c:pt>
                <c:pt idx="8">
                  <c:v>0.91764409284317727</c:v>
                </c:pt>
                <c:pt idx="9">
                  <c:v>-0.17822484763166091</c:v>
                </c:pt>
                <c:pt idx="10">
                  <c:v>-0.33861601720143153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68-46BD-9D2C-4D5379BDD033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Seg'!$AZ$6:$AZ$16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68-46BD-9D2C-4D5379BD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8984"/>
        <c:axId val="384267808"/>
      </c:radarChart>
      <c:catAx>
        <c:axId val="38426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7808"/>
        <c:crosses val="autoZero"/>
        <c:auto val="1"/>
        <c:lblAlgn val="ctr"/>
        <c:lblOffset val="100"/>
        <c:noMultiLvlLbl val="0"/>
      </c:catAx>
      <c:valAx>
        <c:axId val="3842678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Seg'!$AY$17:$AY$27</c:f>
              <c:numCache>
                <c:formatCode>0.0000</c:formatCode>
                <c:ptCount val="11"/>
                <c:pt idx="0">
                  <c:v>-0.11031423923281104</c:v>
                </c:pt>
                <c:pt idx="1">
                  <c:v>-0.19763620858598907</c:v>
                </c:pt>
                <c:pt idx="2">
                  <c:v>-0.15164901185034424</c:v>
                </c:pt>
                <c:pt idx="3">
                  <c:v>-0.3607310962788372</c:v>
                </c:pt>
                <c:pt idx="4">
                  <c:v>-0.28985827326734442</c:v>
                </c:pt>
                <c:pt idx="5">
                  <c:v>8.1090751511730078E-2</c:v>
                </c:pt>
                <c:pt idx="6">
                  <c:v>-0.16044858199446332</c:v>
                </c:pt>
                <c:pt idx="7">
                  <c:v>-0.18256764503671177</c:v>
                </c:pt>
                <c:pt idx="8">
                  <c:v>-6.0336784319298273E-2</c:v>
                </c:pt>
                <c:pt idx="9">
                  <c:v>-0.14648930217436834</c:v>
                </c:pt>
                <c:pt idx="10">
                  <c:v>2.2053185201837628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4D-46B3-A932-BCB2B6936F5C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Seg'!$AZ$17:$AZ$27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34D-46B3-A932-BCB2B6936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67416"/>
        <c:axId val="384268200"/>
      </c:radarChart>
      <c:catAx>
        <c:axId val="38426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268200"/>
        <c:crosses val="autoZero"/>
        <c:auto val="1"/>
        <c:lblAlgn val="ctr"/>
        <c:lblOffset val="100"/>
        <c:noMultiLvlLbl val="0"/>
      </c:catAx>
      <c:valAx>
        <c:axId val="384268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26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Seg'!$AY$28:$AY$38</c:f>
              <c:numCache>
                <c:formatCode>0.0000</c:formatCode>
                <c:ptCount val="11"/>
                <c:pt idx="0">
                  <c:v>0.13845020977823441</c:v>
                </c:pt>
                <c:pt idx="1">
                  <c:v>-0.26299665039010456</c:v>
                </c:pt>
                <c:pt idx="2">
                  <c:v>-7.3841686479336949E-2</c:v>
                </c:pt>
                <c:pt idx="3">
                  <c:v>-0.35615804764958114</c:v>
                </c:pt>
                <c:pt idx="4">
                  <c:v>-0.20093116225736576</c:v>
                </c:pt>
                <c:pt idx="5">
                  <c:v>0.2587930808283605</c:v>
                </c:pt>
                <c:pt idx="6">
                  <c:v>3.0297131615318529</c:v>
                </c:pt>
                <c:pt idx="7">
                  <c:v>0.11600896833541087</c:v>
                </c:pt>
                <c:pt idx="8">
                  <c:v>-0.76837944516223122</c:v>
                </c:pt>
                <c:pt idx="9">
                  <c:v>2.9294234229915985</c:v>
                </c:pt>
                <c:pt idx="10">
                  <c:v>-0.4101810791505161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07E-4448-9D8A-D8BF69C2D179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Seg'!$AZ$28:$AZ$38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07E-4448-9D8A-D8BF69C2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24872"/>
        <c:axId val="384826440"/>
      </c:radarChart>
      <c:catAx>
        <c:axId val="38482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26440"/>
        <c:crosses val="autoZero"/>
        <c:auto val="1"/>
        <c:lblAlgn val="ctr"/>
        <c:lblOffset val="100"/>
        <c:noMultiLvlLbl val="0"/>
      </c:catAx>
      <c:valAx>
        <c:axId val="3848264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24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Seg'!$AY$39:$AY$49</c:f>
              <c:numCache>
                <c:formatCode>0.0000</c:formatCode>
                <c:ptCount val="11"/>
                <c:pt idx="0">
                  <c:v>1.3957222364928503</c:v>
                </c:pt>
                <c:pt idx="1">
                  <c:v>2.8333589576440397</c:v>
                </c:pt>
                <c:pt idx="2">
                  <c:v>-7.2997561935455285E-2</c:v>
                </c:pt>
                <c:pt idx="3">
                  <c:v>-0.39247009937641736</c:v>
                </c:pt>
                <c:pt idx="4">
                  <c:v>-0.40900554815652623</c:v>
                </c:pt>
                <c:pt idx="5">
                  <c:v>0.13051766567408651</c:v>
                </c:pt>
                <c:pt idx="6">
                  <c:v>4.7952369291557523E-2</c:v>
                </c:pt>
                <c:pt idx="7">
                  <c:v>-9.2893471435362043E-2</c:v>
                </c:pt>
                <c:pt idx="8">
                  <c:v>-0.22019746096683701</c:v>
                </c:pt>
                <c:pt idx="9">
                  <c:v>-9.803986949830204E-2</c:v>
                </c:pt>
                <c:pt idx="10">
                  <c:v>-0.39341385324394196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BF-4FBF-AF8A-77CEB7B253B7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Seg'!$AZ$39:$AZ$49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BF-4FBF-AF8A-77CEB7B2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3104"/>
        <c:axId val="384824480"/>
      </c:radarChart>
      <c:catAx>
        <c:axId val="3848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24480"/>
        <c:crosses val="autoZero"/>
        <c:auto val="1"/>
        <c:lblAlgn val="ctr"/>
        <c:lblOffset val="100"/>
        <c:noMultiLvlLbl val="0"/>
      </c:catAx>
      <c:valAx>
        <c:axId val="384824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Seg'!$AY$50:$AY$60</c:f>
              <c:numCache>
                <c:formatCode>0.0000</c:formatCode>
                <c:ptCount val="11"/>
                <c:pt idx="0">
                  <c:v>-6.0083911293775161E-2</c:v>
                </c:pt>
                <c:pt idx="1">
                  <c:v>-9.9031811044282922E-2</c:v>
                </c:pt>
                <c:pt idx="2">
                  <c:v>2.4322988829612586</c:v>
                </c:pt>
                <c:pt idx="3">
                  <c:v>-0.39791027327795941</c:v>
                </c:pt>
                <c:pt idx="4">
                  <c:v>-0.43227077323945862</c:v>
                </c:pt>
                <c:pt idx="5">
                  <c:v>-6.8649044061812964E-2</c:v>
                </c:pt>
                <c:pt idx="6">
                  <c:v>-4.6001651884102525E-2</c:v>
                </c:pt>
                <c:pt idx="7">
                  <c:v>1.6647941832306818</c:v>
                </c:pt>
                <c:pt idx="8">
                  <c:v>-0.3349553652953095</c:v>
                </c:pt>
                <c:pt idx="9">
                  <c:v>-0.14274222371808967</c:v>
                </c:pt>
                <c:pt idx="10">
                  <c:v>-0.36337026951568396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12-44DA-875B-FF502244C0AA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Seg'!$AZ$50:$AZ$60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12-44DA-875B-FF502244C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1536"/>
        <c:axId val="384828400"/>
      </c:radarChart>
      <c:catAx>
        <c:axId val="38483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28400"/>
        <c:crosses val="autoZero"/>
        <c:auto val="1"/>
        <c:lblAlgn val="ctr"/>
        <c:lblOffset val="100"/>
        <c:noMultiLvlLbl val="0"/>
      </c:catAx>
      <c:valAx>
        <c:axId val="384828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Seg'!$AY$61:$AY$71</c:f>
              <c:numCache>
                <c:formatCode>0.0000</c:formatCode>
                <c:ptCount val="11"/>
                <c:pt idx="0">
                  <c:v>-0.11817450124154466</c:v>
                </c:pt>
                <c:pt idx="1">
                  <c:v>-0.28860353656486643</c:v>
                </c:pt>
                <c:pt idx="2">
                  <c:v>-0.2990948656270157</c:v>
                </c:pt>
                <c:pt idx="3">
                  <c:v>-0.29348801654233486</c:v>
                </c:pt>
                <c:pt idx="4">
                  <c:v>2.3649089696312604</c:v>
                </c:pt>
                <c:pt idx="5">
                  <c:v>-0.14779969228689677</c:v>
                </c:pt>
                <c:pt idx="6">
                  <c:v>-0.14552766905871661</c:v>
                </c:pt>
                <c:pt idx="7">
                  <c:v>-0.22938313112416323</c:v>
                </c:pt>
                <c:pt idx="8">
                  <c:v>-1.07826015959174</c:v>
                </c:pt>
                <c:pt idx="9">
                  <c:v>-2.4961419471678629E-2</c:v>
                </c:pt>
                <c:pt idx="10">
                  <c:v>-0.14467567832162753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77-4D53-AAAE-12A02481EF68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Seg'!$AZ$61:$AZ$71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A77-4D53-AAAE-12A02481E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26048"/>
        <c:axId val="384832320"/>
      </c:radarChart>
      <c:catAx>
        <c:axId val="3848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2320"/>
        <c:crosses val="autoZero"/>
        <c:auto val="1"/>
        <c:lblAlgn val="ctr"/>
        <c:lblOffset val="100"/>
        <c:noMultiLvlLbl val="0"/>
      </c:catAx>
      <c:valAx>
        <c:axId val="384832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2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Seg'!$AY$72:$AY$82</c:f>
              <c:numCache>
                <c:formatCode>0.0000</c:formatCode>
                <c:ptCount val="11"/>
                <c:pt idx="0">
                  <c:v>-0.1548529497388475</c:v>
                </c:pt>
                <c:pt idx="1">
                  <c:v>-0.3438710748680861</c:v>
                </c:pt>
                <c:pt idx="2">
                  <c:v>-0.37080819394605519</c:v>
                </c:pt>
                <c:pt idx="3">
                  <c:v>2.8869048474808383</c:v>
                </c:pt>
                <c:pt idx="4">
                  <c:v>-0.29834938439332792</c:v>
                </c:pt>
                <c:pt idx="5">
                  <c:v>-0.1901917442244159</c:v>
                </c:pt>
                <c:pt idx="6">
                  <c:v>-0.30823202745946043</c:v>
                </c:pt>
                <c:pt idx="7">
                  <c:v>-0.33459786318596235</c:v>
                </c:pt>
                <c:pt idx="8">
                  <c:v>-1.4298266279996685</c:v>
                </c:pt>
                <c:pt idx="9">
                  <c:v>-0.14754277723535214</c:v>
                </c:pt>
                <c:pt idx="10">
                  <c:v>-0.32469877552204379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785-4133-8E0E-418B07720DD3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Seg'!$AZ$72:$AZ$82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785-4133-8E0E-418B07720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5064"/>
        <c:axId val="384835456"/>
      </c:radarChart>
      <c:catAx>
        <c:axId val="38483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5456"/>
        <c:crosses val="autoZero"/>
        <c:auto val="1"/>
        <c:lblAlgn val="ctr"/>
        <c:lblOffset val="100"/>
        <c:noMultiLvlLbl val="0"/>
      </c:catAx>
      <c:valAx>
        <c:axId val="384835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5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Seg'!$AY$83:$AY$93</c:f>
              <c:numCache>
                <c:formatCode>0.0000</c:formatCode>
                <c:ptCount val="11"/>
                <c:pt idx="0">
                  <c:v>-0.13158660844250364</c:v>
                </c:pt>
                <c:pt idx="1">
                  <c:v>-0.2717058411128741</c:v>
                </c:pt>
                <c:pt idx="2">
                  <c:v>-0.30394305128318572</c:v>
                </c:pt>
                <c:pt idx="3">
                  <c:v>1.4749472269448805</c:v>
                </c:pt>
                <c:pt idx="4">
                  <c:v>0.36617520752603971</c:v>
                </c:pt>
                <c:pt idx="5">
                  <c:v>-0.1147364361733848</c:v>
                </c:pt>
                <c:pt idx="6">
                  <c:v>-0.21172547180383258</c:v>
                </c:pt>
                <c:pt idx="7">
                  <c:v>-0.29652221988742655</c:v>
                </c:pt>
                <c:pt idx="8">
                  <c:v>-1.0431765898873708</c:v>
                </c:pt>
                <c:pt idx="9">
                  <c:v>-6.8401896046707183E-2</c:v>
                </c:pt>
                <c:pt idx="10">
                  <c:v>1.5133742580432324E-2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8D-49D4-8550-E43C3C55B1C0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Seg'!$AZ$83:$AZ$93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8D-49D4-8550-E43C3C55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1144"/>
        <c:axId val="384829968"/>
      </c:radarChart>
      <c:catAx>
        <c:axId val="3848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29968"/>
        <c:crosses val="autoZero"/>
        <c:auto val="1"/>
        <c:lblAlgn val="ctr"/>
        <c:lblOffset val="100"/>
        <c:noMultiLvlLbl val="0"/>
      </c:catAx>
      <c:valAx>
        <c:axId val="384829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3'!$U$5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3'!$T$6:$T$16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3'!$U$6:$U$16</c:f>
              <c:numCache>
                <c:formatCode>0.0000</c:formatCode>
                <c:ptCount val="11"/>
                <c:pt idx="0">
                  <c:v>7.7164140765476306E-3</c:v>
                </c:pt>
                <c:pt idx="1">
                  <c:v>0.13139224054872925</c:v>
                </c:pt>
                <c:pt idx="2">
                  <c:v>0.12592358868197812</c:v>
                </c:pt>
                <c:pt idx="3">
                  <c:v>-0.38783256061558907</c:v>
                </c:pt>
                <c:pt idx="4">
                  <c:v>-0.419351398862706</c:v>
                </c:pt>
                <c:pt idx="5">
                  <c:v>6.5947609260017581E-2</c:v>
                </c:pt>
                <c:pt idx="6">
                  <c:v>-3.7576212868924284E-2</c:v>
                </c:pt>
                <c:pt idx="7">
                  <c:v>9.6492230230797976E-2</c:v>
                </c:pt>
                <c:pt idx="8">
                  <c:v>0.51035794396775525</c:v>
                </c:pt>
                <c:pt idx="9">
                  <c:v>-0.17455175209262244</c:v>
                </c:pt>
                <c:pt idx="10">
                  <c:v>5.9471665137731132E-2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A7-45E9-A63A-22B9BE2A252E}"/>
            </c:ext>
          </c:extLst>
        </c:ser>
        <c:ser>
          <c:idx val="1"/>
          <c:order val="1"/>
          <c:tx>
            <c:strRef>
              <c:f>'Cluster 3'!$V$5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3'!$T$6:$T$16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A7-45E9-A63A-22B9BE2A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2712"/>
        <c:axId val="384833496"/>
      </c:radarChart>
      <c:catAx>
        <c:axId val="38483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3496"/>
        <c:crosses val="autoZero"/>
        <c:auto val="1"/>
        <c:lblAlgn val="ctr"/>
        <c:lblOffset val="100"/>
        <c:noMultiLvlLbl val="0"/>
      </c:catAx>
      <c:valAx>
        <c:axId val="3848334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2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3'!$U$5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3'!$T$17:$T$27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3'!$U$17:$U$27</c:f>
              <c:numCache>
                <c:formatCode>0.0000</c:formatCode>
                <c:ptCount val="11"/>
                <c:pt idx="0">
                  <c:v>-0.14419042726260811</c:v>
                </c:pt>
                <c:pt idx="1">
                  <c:v>-0.32296983711138172</c:v>
                </c:pt>
                <c:pt idx="2">
                  <c:v>-0.34933017262055843</c:v>
                </c:pt>
                <c:pt idx="3">
                  <c:v>2.4905037254347029</c:v>
                </c:pt>
                <c:pt idx="4">
                  <c:v>-0.12461333565343098</c:v>
                </c:pt>
                <c:pt idx="5">
                  <c:v>-0.17105509018697349</c:v>
                </c:pt>
                <c:pt idx="6">
                  <c:v>-0.27713883712339743</c:v>
                </c:pt>
                <c:pt idx="7">
                  <c:v>-0.32326911738604436</c:v>
                </c:pt>
                <c:pt idx="8">
                  <c:v>-1.3233786380416199</c:v>
                </c:pt>
                <c:pt idx="9">
                  <c:v>-0.13066320996247713</c:v>
                </c:pt>
                <c:pt idx="10">
                  <c:v>-0.19762066202305364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18-447C-BDB6-7FF2446A588B}"/>
            </c:ext>
          </c:extLst>
        </c:ser>
        <c:ser>
          <c:idx val="1"/>
          <c:order val="1"/>
          <c:tx>
            <c:strRef>
              <c:f>'Cluster 3'!$V$5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3'!$T$17:$T$27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218-447C-BDB6-7FF2446A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0360"/>
        <c:axId val="384829184"/>
      </c:radarChart>
      <c:catAx>
        <c:axId val="38483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29184"/>
        <c:crosses val="autoZero"/>
        <c:auto val="1"/>
        <c:lblAlgn val="ctr"/>
        <c:lblOffset val="100"/>
        <c:noMultiLvlLbl val="0"/>
      </c:catAx>
      <c:valAx>
        <c:axId val="384829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3'!$U$5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3'!$T$28:$T$38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3'!$U$28:$U$38</c:f>
              <c:numCache>
                <c:formatCode>0.0000</c:formatCode>
                <c:ptCount val="11"/>
                <c:pt idx="0">
                  <c:v>7.563661272369207E-2</c:v>
                </c:pt>
                <c:pt idx="1">
                  <c:v>-0.3003989192690717</c:v>
                </c:pt>
                <c:pt idx="2">
                  <c:v>-0.25824855218086851</c:v>
                </c:pt>
                <c:pt idx="3">
                  <c:v>-0.25831789198601263</c:v>
                </c:pt>
                <c:pt idx="4">
                  <c:v>1.8194062780949321</c:v>
                </c:pt>
                <c:pt idx="5">
                  <c:v>-0.14409838868061051</c:v>
                </c:pt>
                <c:pt idx="6">
                  <c:v>0.36115250044617475</c:v>
                </c:pt>
                <c:pt idx="7">
                  <c:v>-0.15648582427693303</c:v>
                </c:pt>
                <c:pt idx="8">
                  <c:v>-1.1155217084281466</c:v>
                </c:pt>
                <c:pt idx="9">
                  <c:v>0.81600240079776509</c:v>
                </c:pt>
                <c:pt idx="10">
                  <c:v>-9.7653658023648282E-2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27-4029-9EAD-519935844B4E}"/>
            </c:ext>
          </c:extLst>
        </c:ser>
        <c:ser>
          <c:idx val="1"/>
          <c:order val="1"/>
          <c:tx>
            <c:strRef>
              <c:f>'Cluster 3'!$V$5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3'!$T$28:$T$38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3'!$V$28:$V$38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027-4029-9EAD-519935844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27224"/>
        <c:axId val="384830752"/>
      </c:radarChart>
      <c:catAx>
        <c:axId val="38482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0752"/>
        <c:crosses val="autoZero"/>
        <c:auto val="1"/>
        <c:lblAlgn val="ctr"/>
        <c:lblOffset val="100"/>
        <c:noMultiLvlLbl val="0"/>
      </c:catAx>
      <c:valAx>
        <c:axId val="3848307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2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4'!$U$39:$U$49</c:f>
              <c:numCache>
                <c:formatCode>0.0000</c:formatCode>
                <c:ptCount val="11"/>
                <c:pt idx="0">
                  <c:v>0.17200102748522991</c:v>
                </c:pt>
                <c:pt idx="1">
                  <c:v>-4.8686190341485833E-4</c:v>
                </c:pt>
                <c:pt idx="2">
                  <c:v>2.3066978080705289</c:v>
                </c:pt>
                <c:pt idx="3">
                  <c:v>-0.39870962229731921</c:v>
                </c:pt>
                <c:pt idx="4">
                  <c:v>-0.44027778707304066</c:v>
                </c:pt>
                <c:pt idx="5">
                  <c:v>-7.3930657209988371E-2</c:v>
                </c:pt>
                <c:pt idx="6">
                  <c:v>0.19905203434922819</c:v>
                </c:pt>
                <c:pt idx="7">
                  <c:v>1.6764881092031525</c:v>
                </c:pt>
                <c:pt idx="8">
                  <c:v>-0.40644817693579621</c:v>
                </c:pt>
                <c:pt idx="9">
                  <c:v>-0.1073419188251096</c:v>
                </c:pt>
                <c:pt idx="10">
                  <c:v>-0.33399023173345027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CE-46DE-8FF6-6D4C83013E93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4'!$V$39:$V$49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4CE-46DE-8FF6-6D4C83013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4280"/>
        <c:axId val="384823696"/>
      </c:radarChart>
      <c:catAx>
        <c:axId val="38483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23696"/>
        <c:crosses val="autoZero"/>
        <c:auto val="1"/>
        <c:lblAlgn val="ctr"/>
        <c:lblOffset val="100"/>
        <c:noMultiLvlLbl val="0"/>
      </c:catAx>
      <c:valAx>
        <c:axId val="3848236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4'!$U$6:$U$16</c:f>
              <c:numCache>
                <c:formatCode>0.0000</c:formatCode>
                <c:ptCount val="11"/>
                <c:pt idx="0">
                  <c:v>-1.1381111396523697E-2</c:v>
                </c:pt>
                <c:pt idx="1">
                  <c:v>0.14800294372081391</c:v>
                </c:pt>
                <c:pt idx="2">
                  <c:v>-0.19419172455226466</c:v>
                </c:pt>
                <c:pt idx="3">
                  <c:v>-0.38583377730202045</c:v>
                </c:pt>
                <c:pt idx="4">
                  <c:v>-0.41358417158014266</c:v>
                </c:pt>
                <c:pt idx="5">
                  <c:v>8.5950948782068368E-2</c:v>
                </c:pt>
                <c:pt idx="6">
                  <c:v>-5.190360965729636E-2</c:v>
                </c:pt>
                <c:pt idx="7">
                  <c:v>-0.13140569885080447</c:v>
                </c:pt>
                <c:pt idx="8">
                  <c:v>0.63669101740201894</c:v>
                </c:pt>
                <c:pt idx="9">
                  <c:v>-0.17625648522790385</c:v>
                </c:pt>
                <c:pt idx="10">
                  <c:v>0.11659372495839244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44-4971-A533-106C869F3E17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D44-4971-A533-106C869F3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8592"/>
        <c:axId val="384837808"/>
      </c:radarChart>
      <c:catAx>
        <c:axId val="3848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7808"/>
        <c:crosses val="autoZero"/>
        <c:auto val="1"/>
        <c:lblAlgn val="ctr"/>
        <c:lblOffset val="100"/>
        <c:noMultiLvlLbl val="0"/>
      </c:catAx>
      <c:valAx>
        <c:axId val="3848378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4'!$U$17:$U$27</c:f>
              <c:numCache>
                <c:formatCode>0.0000</c:formatCode>
                <c:ptCount val="11"/>
                <c:pt idx="0">
                  <c:v>-0.14438564945628907</c:v>
                </c:pt>
                <c:pt idx="1">
                  <c:v>-0.32275049301173797</c:v>
                </c:pt>
                <c:pt idx="2">
                  <c:v>-0.35109759476898927</c:v>
                </c:pt>
                <c:pt idx="3">
                  <c:v>2.4931346763437459</c:v>
                </c:pt>
                <c:pt idx="4">
                  <c:v>-0.12604644210798716</c:v>
                </c:pt>
                <c:pt idx="5">
                  <c:v>-0.17091395562411296</c:v>
                </c:pt>
                <c:pt idx="6">
                  <c:v>-0.2759103002029577</c:v>
                </c:pt>
                <c:pt idx="7">
                  <c:v>-0.3237556842639987</c:v>
                </c:pt>
                <c:pt idx="8">
                  <c:v>-1.3236746861422688</c:v>
                </c:pt>
                <c:pt idx="9">
                  <c:v>-0.13035790017724641</c:v>
                </c:pt>
                <c:pt idx="10">
                  <c:v>-0.1988561990782875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76-4FDA-8FF4-8337256BBEBA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376-4FDA-8FF4-8337256BB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7024"/>
        <c:axId val="384838984"/>
      </c:radarChart>
      <c:catAx>
        <c:axId val="3848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8984"/>
        <c:crosses val="autoZero"/>
        <c:auto val="1"/>
        <c:lblAlgn val="ctr"/>
        <c:lblOffset val="100"/>
        <c:noMultiLvlLbl val="0"/>
      </c:catAx>
      <c:valAx>
        <c:axId val="384838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4'!$U$5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4'!$T$28:$T$38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4'!$U$28:$U$38</c:f>
              <c:numCache>
                <c:formatCode>0.0000</c:formatCode>
                <c:ptCount val="11"/>
                <c:pt idx="0">
                  <c:v>5.7138453634728976E-2</c:v>
                </c:pt>
                <c:pt idx="1">
                  <c:v>-0.29973473713557108</c:v>
                </c:pt>
                <c:pt idx="2">
                  <c:v>-0.28557024396945779</c:v>
                </c:pt>
                <c:pt idx="3">
                  <c:v>-0.254300197865582</c:v>
                </c:pt>
                <c:pt idx="4">
                  <c:v>1.8617556446413552</c:v>
                </c:pt>
                <c:pt idx="5">
                  <c:v>-0.14613987031522704</c:v>
                </c:pt>
                <c:pt idx="6">
                  <c:v>0.29156169455085762</c:v>
                </c:pt>
                <c:pt idx="7">
                  <c:v>-0.19127586607884217</c:v>
                </c:pt>
                <c:pt idx="8">
                  <c:v>-1.1163886619186782</c:v>
                </c:pt>
                <c:pt idx="9">
                  <c:v>0.80754125589649051</c:v>
                </c:pt>
                <c:pt idx="10">
                  <c:v>-9.4853530390766841E-2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67-4E7A-9F0B-078B65813314}"/>
            </c:ext>
          </c:extLst>
        </c:ser>
        <c:ser>
          <c:idx val="1"/>
          <c:order val="1"/>
          <c:tx>
            <c:strRef>
              <c:f>'Cluster 4'!$V$5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4'!$T$28:$T$38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4'!$V$28:$V$38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67-4E7A-9F0B-078B65813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36240"/>
        <c:axId val="384837416"/>
      </c:radarChart>
      <c:catAx>
        <c:axId val="3848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4837416"/>
        <c:crosses val="autoZero"/>
        <c:auto val="1"/>
        <c:lblAlgn val="ctr"/>
        <c:lblOffset val="100"/>
        <c:noMultiLvlLbl val="0"/>
      </c:catAx>
      <c:valAx>
        <c:axId val="384837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483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10'!$U$6:$U$16</c:f>
              <c:numCache>
                <c:formatCode>0.0000</c:formatCode>
                <c:ptCount val="11"/>
                <c:pt idx="0">
                  <c:v>-9.5891771555783892E-2</c:v>
                </c:pt>
                <c:pt idx="1">
                  <c:v>-0.12921827402842867</c:v>
                </c:pt>
                <c:pt idx="2">
                  <c:v>-0.20759060076052707</c:v>
                </c:pt>
                <c:pt idx="3">
                  <c:v>-0.38987817115845225</c:v>
                </c:pt>
                <c:pt idx="4">
                  <c:v>-0.42582670209277262</c:v>
                </c:pt>
                <c:pt idx="5">
                  <c:v>3.936064055213432E-2</c:v>
                </c:pt>
                <c:pt idx="6">
                  <c:v>-0.14047655611217874</c:v>
                </c:pt>
                <c:pt idx="7">
                  <c:v>-9.8273248614253406E-2</c:v>
                </c:pt>
                <c:pt idx="8">
                  <c:v>0.91139342673495094</c:v>
                </c:pt>
                <c:pt idx="9">
                  <c:v>-0.17830716665225216</c:v>
                </c:pt>
                <c:pt idx="10">
                  <c:v>-0.33842565565953925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F40-4124-8285-E3CC132AD259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10'!$T$6:$T$16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F40-4124-8285-E3CC132AD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6968"/>
        <c:axId val="385677752"/>
      </c:radarChart>
      <c:catAx>
        <c:axId val="38567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77752"/>
        <c:crosses val="autoZero"/>
        <c:auto val="1"/>
        <c:lblAlgn val="ctr"/>
        <c:lblOffset val="100"/>
        <c:noMultiLvlLbl val="0"/>
      </c:catAx>
      <c:valAx>
        <c:axId val="3856777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76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10'!$U$17:$U$27</c:f>
              <c:numCache>
                <c:formatCode>0.0000</c:formatCode>
                <c:ptCount val="11"/>
                <c:pt idx="0">
                  <c:v>-0.11055398578645434</c:v>
                </c:pt>
                <c:pt idx="1">
                  <c:v>-0.19820199336637845</c:v>
                </c:pt>
                <c:pt idx="2">
                  <c:v>-0.15383092825756389</c:v>
                </c:pt>
                <c:pt idx="3">
                  <c:v>-0.33881882832521593</c:v>
                </c:pt>
                <c:pt idx="4">
                  <c:v>-0.28595693988047033</c:v>
                </c:pt>
                <c:pt idx="5">
                  <c:v>7.9359368353257798E-2</c:v>
                </c:pt>
                <c:pt idx="6">
                  <c:v>-0.16094663750274971</c:v>
                </c:pt>
                <c:pt idx="7">
                  <c:v>-0.18470874331098047</c:v>
                </c:pt>
                <c:pt idx="8">
                  <c:v>-7.0890431663060929E-2</c:v>
                </c:pt>
                <c:pt idx="9">
                  <c:v>-0.14605790882595363</c:v>
                </c:pt>
                <c:pt idx="10">
                  <c:v>2.1845301333255982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4C-48C7-A3B4-3EE8E75F0215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10'!$T$17:$T$27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74C-48C7-A3B4-3EE8E75F0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1280"/>
        <c:axId val="385684808"/>
      </c:radarChart>
      <c:catAx>
        <c:axId val="3856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4808"/>
        <c:crosses val="autoZero"/>
        <c:auto val="1"/>
        <c:lblAlgn val="ctr"/>
        <c:lblOffset val="100"/>
        <c:noMultiLvlLbl val="0"/>
      </c:catAx>
      <c:valAx>
        <c:axId val="3856848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10'!$U$28:$U$38</c:f>
              <c:numCache>
                <c:formatCode>0.0000</c:formatCode>
                <c:ptCount val="11"/>
                <c:pt idx="0">
                  <c:v>0.20234266632417156</c:v>
                </c:pt>
                <c:pt idx="1">
                  <c:v>-0.40061559844040195</c:v>
                </c:pt>
                <c:pt idx="2">
                  <c:v>-0.16905777071947353</c:v>
                </c:pt>
                <c:pt idx="3">
                  <c:v>-0.35075895026496406</c:v>
                </c:pt>
                <c:pt idx="4">
                  <c:v>-0.17912849102189143</c:v>
                </c:pt>
                <c:pt idx="5">
                  <c:v>-0.15875451729991694</c:v>
                </c:pt>
                <c:pt idx="6">
                  <c:v>1.3136732838874896</c:v>
                </c:pt>
                <c:pt idx="7">
                  <c:v>1.3748319457166846E-2</c:v>
                </c:pt>
                <c:pt idx="8">
                  <c:v>-1.2669577910199574</c:v>
                </c:pt>
                <c:pt idx="9">
                  <c:v>5.9952734293999779</c:v>
                </c:pt>
                <c:pt idx="10">
                  <c:v>-0.47339108237759747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A94-4A9C-AFEF-22D4E1E37828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10'!$T$28:$T$38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A94-4A9C-AFEF-22D4E1E37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7360"/>
        <c:axId val="385680888"/>
      </c:radarChart>
      <c:catAx>
        <c:axId val="3856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0888"/>
        <c:crosses val="autoZero"/>
        <c:auto val="1"/>
        <c:lblAlgn val="ctr"/>
        <c:lblOffset val="100"/>
        <c:noMultiLvlLbl val="0"/>
      </c:catAx>
      <c:valAx>
        <c:axId val="385680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10'!$U$39:$U$49</c:f>
              <c:numCache>
                <c:formatCode>0.0000</c:formatCode>
                <c:ptCount val="11"/>
                <c:pt idx="0">
                  <c:v>-7.3458344036304496E-2</c:v>
                </c:pt>
                <c:pt idx="1">
                  <c:v>3.4821193559893242</c:v>
                </c:pt>
                <c:pt idx="2">
                  <c:v>-0.10551906091435566</c:v>
                </c:pt>
                <c:pt idx="3">
                  <c:v>-0.39345388195677022</c:v>
                </c:pt>
                <c:pt idx="4">
                  <c:v>-0.42651470027238836</c:v>
                </c:pt>
                <c:pt idx="5">
                  <c:v>0.17808200116883269</c:v>
                </c:pt>
                <c:pt idx="6">
                  <c:v>-8.1990312820363842E-2</c:v>
                </c:pt>
                <c:pt idx="7">
                  <c:v>-0.14870075422966358</c:v>
                </c:pt>
                <c:pt idx="8">
                  <c:v>-0.20214756408506482</c:v>
                </c:pt>
                <c:pt idx="9">
                  <c:v>-0.20741588090209143</c:v>
                </c:pt>
                <c:pt idx="10">
                  <c:v>-0.38795319644223336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83-42C7-959E-96DBF69C2A46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10'!$T$39:$T$49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10'!$V$39:$V$49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E83-42C7-959E-96DBF69C2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8536"/>
        <c:axId val="385678144"/>
      </c:radarChart>
      <c:catAx>
        <c:axId val="38567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78144"/>
        <c:crosses val="autoZero"/>
        <c:auto val="1"/>
        <c:lblAlgn val="ctr"/>
        <c:lblOffset val="100"/>
        <c:noMultiLvlLbl val="0"/>
      </c:catAx>
      <c:valAx>
        <c:axId val="3856781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78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10'!$T$50:$T$60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10'!$U$50:$U$60</c:f>
              <c:numCache>
                <c:formatCode>0.0000</c:formatCode>
                <c:ptCount val="11"/>
                <c:pt idx="0">
                  <c:v>-6.7522904358249855E-2</c:v>
                </c:pt>
                <c:pt idx="1">
                  <c:v>-0.25122689199660531</c:v>
                </c:pt>
                <c:pt idx="2">
                  <c:v>0.16104848418518114</c:v>
                </c:pt>
                <c:pt idx="3">
                  <c:v>-0.40287683493935667</c:v>
                </c:pt>
                <c:pt idx="4">
                  <c:v>-0.43860820913003035</c:v>
                </c:pt>
                <c:pt idx="5">
                  <c:v>-0.11251406376101745</c:v>
                </c:pt>
                <c:pt idx="6">
                  <c:v>4.5267020009379988E-2</c:v>
                </c:pt>
                <c:pt idx="7">
                  <c:v>5.2409046675738375</c:v>
                </c:pt>
                <c:pt idx="8">
                  <c:v>-0.73013563989082997</c:v>
                </c:pt>
                <c:pt idx="9">
                  <c:v>-0.12852604146586211</c:v>
                </c:pt>
                <c:pt idx="10">
                  <c:v>-0.49532254497064804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9A-409C-9A12-4BB2E0F40737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10'!$T$50:$T$60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10'!$V$50:$V$60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69A-409C-9A12-4BB2E0F40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8928"/>
        <c:axId val="385685200"/>
      </c:radarChart>
      <c:catAx>
        <c:axId val="38567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5200"/>
        <c:crosses val="autoZero"/>
        <c:auto val="1"/>
        <c:lblAlgn val="ctr"/>
        <c:lblOffset val="100"/>
        <c:noMultiLvlLbl val="0"/>
      </c:catAx>
      <c:valAx>
        <c:axId val="385685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7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10'!$T$61:$T$71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10'!$U$61:$U$71</c:f>
              <c:numCache>
                <c:formatCode>0.0000</c:formatCode>
                <c:ptCount val="11"/>
                <c:pt idx="0">
                  <c:v>-0.11878071752718555</c:v>
                </c:pt>
                <c:pt idx="1">
                  <c:v>-0.28839854207921806</c:v>
                </c:pt>
                <c:pt idx="2">
                  <c:v>-0.30095659686241816</c:v>
                </c:pt>
                <c:pt idx="3">
                  <c:v>-0.22278382948973516</c:v>
                </c:pt>
                <c:pt idx="4">
                  <c:v>2.2937613913446975</c:v>
                </c:pt>
                <c:pt idx="5">
                  <c:v>-0.14801238803655983</c:v>
                </c:pt>
                <c:pt idx="6">
                  <c:v>-0.14896632729717732</c:v>
                </c:pt>
                <c:pt idx="7">
                  <c:v>-0.23300739132829695</c:v>
                </c:pt>
                <c:pt idx="8">
                  <c:v>-1.0821879388134017</c:v>
                </c:pt>
                <c:pt idx="9">
                  <c:v>-2.3771440718322025E-2</c:v>
                </c:pt>
                <c:pt idx="10">
                  <c:v>-0.13951869350341375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CFC-489B-B69E-050E668AC8F0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10'!$T$61:$T$71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10'!$V$61:$V$71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CFC-489B-B69E-050E668A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7552"/>
        <c:axId val="385681672"/>
      </c:radarChart>
      <c:catAx>
        <c:axId val="3856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1672"/>
        <c:crosses val="autoZero"/>
        <c:auto val="1"/>
        <c:lblAlgn val="ctr"/>
        <c:lblOffset val="100"/>
        <c:noMultiLvlLbl val="0"/>
      </c:catAx>
      <c:valAx>
        <c:axId val="385681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10'!$T$72:$T$82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10'!$U$72:$U$82</c:f>
              <c:numCache>
                <c:formatCode>0.0000</c:formatCode>
                <c:ptCount val="11"/>
                <c:pt idx="0">
                  <c:v>7.7666992036989466</c:v>
                </c:pt>
                <c:pt idx="1">
                  <c:v>3.0872169538638848E-3</c:v>
                </c:pt>
                <c:pt idx="2">
                  <c:v>6.5350375722745269E-2</c:v>
                </c:pt>
                <c:pt idx="3">
                  <c:v>-0.37670328911993967</c:v>
                </c:pt>
                <c:pt idx="4">
                  <c:v>-0.33166286304508352</c:v>
                </c:pt>
                <c:pt idx="5">
                  <c:v>-7.6675823848163072E-2</c:v>
                </c:pt>
                <c:pt idx="6">
                  <c:v>0.60940826855153007</c:v>
                </c:pt>
                <c:pt idx="7">
                  <c:v>0.1469054550573374</c:v>
                </c:pt>
                <c:pt idx="8">
                  <c:v>-0.30130404513892139</c:v>
                </c:pt>
                <c:pt idx="9">
                  <c:v>0.37613436131381156</c:v>
                </c:pt>
                <c:pt idx="10">
                  <c:v>-0.41661620575000624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94-4FF2-8840-94BD10C53AA7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10'!$T$72:$T$82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10'!$V$72:$V$82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94-4FF2-8840-94BD10C53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5592"/>
        <c:axId val="385679712"/>
      </c:radarChart>
      <c:catAx>
        <c:axId val="38568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79712"/>
        <c:crosses val="autoZero"/>
        <c:auto val="1"/>
        <c:lblAlgn val="ctr"/>
        <c:lblOffset val="100"/>
        <c:noMultiLvlLbl val="0"/>
      </c:catAx>
      <c:valAx>
        <c:axId val="385679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10'!$T$83:$T$93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10'!$U$83:$U$93</c:f>
              <c:numCache>
                <c:formatCode>0.0000</c:formatCode>
                <c:ptCount val="11"/>
                <c:pt idx="0">
                  <c:v>-0.14922424865142567</c:v>
                </c:pt>
                <c:pt idx="1">
                  <c:v>-0.3244222230422002</c:v>
                </c:pt>
                <c:pt idx="2">
                  <c:v>-0.35172399339603527</c:v>
                </c:pt>
                <c:pt idx="3">
                  <c:v>2.5209139032097605</c:v>
                </c:pt>
                <c:pt idx="4">
                  <c:v>-0.13499354165132949</c:v>
                </c:pt>
                <c:pt idx="5">
                  <c:v>-0.17064957679509249</c:v>
                </c:pt>
                <c:pt idx="6">
                  <c:v>-0.28312795461054135</c:v>
                </c:pt>
                <c:pt idx="7">
                  <c:v>-0.3245849900748517</c:v>
                </c:pt>
                <c:pt idx="8">
                  <c:v>-1.3262069881063454</c:v>
                </c:pt>
                <c:pt idx="9">
                  <c:v>-0.12639720907259808</c:v>
                </c:pt>
                <c:pt idx="10">
                  <c:v>-0.23104542932873076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E7-4067-A300-4CFA9AADF0AF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10'!$T$83:$T$93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10'!$V$83:$V$93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8E7-4067-A300-4CFA9AADF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5400"/>
        <c:axId val="385684024"/>
      </c:radarChart>
      <c:catAx>
        <c:axId val="38567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4024"/>
        <c:crosses val="autoZero"/>
        <c:auto val="1"/>
        <c:lblAlgn val="ctr"/>
        <c:lblOffset val="100"/>
        <c:noMultiLvlLbl val="0"/>
      </c:catAx>
      <c:valAx>
        <c:axId val="385684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75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10'!$T$94:$T$104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10'!$U$94:$U$104</c:f>
              <c:numCache>
                <c:formatCode>0.0000</c:formatCode>
                <c:ptCount val="11"/>
                <c:pt idx="0">
                  <c:v>-5.7309701173045652E-2</c:v>
                </c:pt>
                <c:pt idx="1">
                  <c:v>-4.0582758323801107E-2</c:v>
                </c:pt>
                <c:pt idx="2">
                  <c:v>3.3051970128469934</c:v>
                </c:pt>
                <c:pt idx="3">
                  <c:v>-0.3948841662760974</c:v>
                </c:pt>
                <c:pt idx="4">
                  <c:v>-0.42944650055660039</c:v>
                </c:pt>
                <c:pt idx="5">
                  <c:v>-5.1573749766432232E-2</c:v>
                </c:pt>
                <c:pt idx="6">
                  <c:v>-8.1189273544536547E-2</c:v>
                </c:pt>
                <c:pt idx="7">
                  <c:v>0.29063751481631844</c:v>
                </c:pt>
                <c:pt idx="8">
                  <c:v>-0.18427124487914695</c:v>
                </c:pt>
                <c:pt idx="9">
                  <c:v>-0.14861084047720025</c:v>
                </c:pt>
                <c:pt idx="10">
                  <c:v>-0.31228629650713763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B2-4A83-9C21-E0B7C37F838D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10'!$T$94:$T$104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10'!$V$94:$V$104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B2-4A83-9C21-E0B7C37F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0104"/>
        <c:axId val="385676576"/>
      </c:radarChart>
      <c:catAx>
        <c:axId val="38568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76576"/>
        <c:crosses val="autoZero"/>
        <c:auto val="1"/>
        <c:lblAlgn val="ctr"/>
        <c:lblOffset val="100"/>
        <c:noMultiLvlLbl val="0"/>
      </c:catAx>
      <c:valAx>
        <c:axId val="385676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10'!$U$5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10'!$T$105:$T$115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10'!$U$105:$U$115</c:f>
              <c:numCache>
                <c:formatCode>0.0000</c:formatCode>
                <c:ptCount val="11"/>
                <c:pt idx="0">
                  <c:v>8.4198989639523908E-2</c:v>
                </c:pt>
                <c:pt idx="1">
                  <c:v>-0.14630251446236101</c:v>
                </c:pt>
                <c:pt idx="2">
                  <c:v>6.0998186005463027E-3</c:v>
                </c:pt>
                <c:pt idx="3">
                  <c:v>-0.35460453377947904</c:v>
                </c:pt>
                <c:pt idx="4">
                  <c:v>-0.21759749429456762</c:v>
                </c:pt>
                <c:pt idx="5">
                  <c:v>0.61280825975120568</c:v>
                </c:pt>
                <c:pt idx="6">
                  <c:v>4.4758111041475575</c:v>
                </c:pt>
                <c:pt idx="7">
                  <c:v>0.20094906042609798</c:v>
                </c:pt>
                <c:pt idx="8">
                  <c:v>-0.34424847098946748</c:v>
                </c:pt>
                <c:pt idx="9">
                  <c:v>0.3118734246067183</c:v>
                </c:pt>
                <c:pt idx="10">
                  <c:v>-0.35605947982348946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AE-46E1-B606-418EC17AA7B4}"/>
            </c:ext>
          </c:extLst>
        </c:ser>
        <c:ser>
          <c:idx val="1"/>
          <c:order val="1"/>
          <c:tx>
            <c:strRef>
              <c:f>'Cluster 10'!$V$5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10'!$T$105:$T$115</c:f>
              <c:strCache>
                <c:ptCount val="11"/>
                <c:pt idx="0">
                  <c:v>PCT_CANAL1</c:v>
                </c:pt>
                <c:pt idx="1">
                  <c:v>PCT_CANAL2</c:v>
                </c:pt>
                <c:pt idx="2">
                  <c:v>PCT_CANAL3</c:v>
                </c:pt>
                <c:pt idx="3">
                  <c:v>PCT_CANAL4</c:v>
                </c:pt>
                <c:pt idx="4">
                  <c:v>PCT_CANAL5</c:v>
                </c:pt>
                <c:pt idx="5">
                  <c:v>PCT_CANAL6</c:v>
                </c:pt>
                <c:pt idx="6">
                  <c:v>PCT_CANAL7</c:v>
                </c:pt>
                <c:pt idx="7">
                  <c:v>PCT_CANAL8</c:v>
                </c:pt>
                <c:pt idx="8">
                  <c:v>PCT_CANAL9</c:v>
                </c:pt>
                <c:pt idx="9">
                  <c:v>PCT_CANAL10</c:v>
                </c:pt>
                <c:pt idx="10">
                  <c:v>PCT_CANAL11</c:v>
                </c:pt>
              </c:strCache>
            </c:strRef>
          </c:cat>
          <c:val>
            <c:numRef>
              <c:f>'Cluster 10'!$V$105:$V$115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7AE-46E1-B606-418EC17AA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0496"/>
        <c:axId val="385682456"/>
      </c:radarChart>
      <c:catAx>
        <c:axId val="3856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2456"/>
        <c:crosses val="autoZero"/>
        <c:auto val="1"/>
        <c:lblAlgn val="ctr"/>
        <c:lblOffset val="100"/>
        <c:noMultiLvlLbl val="0"/>
      </c:catAx>
      <c:valAx>
        <c:axId val="385682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Seg'!$U$6:$U$16</c:f>
              <c:numCache>
                <c:formatCode>0.0000</c:formatCode>
                <c:ptCount val="11"/>
                <c:pt idx="0">
                  <c:v>-9.5809572737391907E-2</c:v>
                </c:pt>
                <c:pt idx="1">
                  <c:v>-0.12881750980898618</c:v>
                </c:pt>
                <c:pt idx="2">
                  <c:v>-0.20784907751741222</c:v>
                </c:pt>
                <c:pt idx="3">
                  <c:v>-0.39781210040250875</c:v>
                </c:pt>
                <c:pt idx="4">
                  <c:v>-0.42648703756996542</c:v>
                </c:pt>
                <c:pt idx="5">
                  <c:v>3.9173786342149949E-2</c:v>
                </c:pt>
                <c:pt idx="6">
                  <c:v>-0.14042260009878105</c:v>
                </c:pt>
                <c:pt idx="7">
                  <c:v>-9.7515346747754306E-2</c:v>
                </c:pt>
                <c:pt idx="8">
                  <c:v>0.91764409284317727</c:v>
                </c:pt>
                <c:pt idx="9">
                  <c:v>-0.17822484763166091</c:v>
                </c:pt>
                <c:pt idx="10">
                  <c:v>-0.33861601720143153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DC-4C65-8BA4-E3752246DE99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Seg'!$V$6:$V$16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DC-4C65-8BA4-E3752246D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2064"/>
        <c:axId val="385682848"/>
      </c:radarChart>
      <c:catAx>
        <c:axId val="3856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2848"/>
        <c:crosses val="autoZero"/>
        <c:auto val="1"/>
        <c:lblAlgn val="ctr"/>
        <c:lblOffset val="100"/>
        <c:noMultiLvlLbl val="0"/>
      </c:catAx>
      <c:valAx>
        <c:axId val="3856828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Seg'!$U$17:$U$27</c:f>
              <c:numCache>
                <c:formatCode>0.0000</c:formatCode>
                <c:ptCount val="11"/>
                <c:pt idx="0">
                  <c:v>-0.11031423923281104</c:v>
                </c:pt>
                <c:pt idx="1">
                  <c:v>-0.19763620858598907</c:v>
                </c:pt>
                <c:pt idx="2">
                  <c:v>-0.15164901185034424</c:v>
                </c:pt>
                <c:pt idx="3">
                  <c:v>-0.3607310962788372</c:v>
                </c:pt>
                <c:pt idx="4">
                  <c:v>-0.28985827326734442</c:v>
                </c:pt>
                <c:pt idx="5">
                  <c:v>8.1090751511730078E-2</c:v>
                </c:pt>
                <c:pt idx="6">
                  <c:v>-0.16044858199446332</c:v>
                </c:pt>
                <c:pt idx="7">
                  <c:v>-0.18256764503671177</c:v>
                </c:pt>
                <c:pt idx="8">
                  <c:v>-6.0336784319298273E-2</c:v>
                </c:pt>
                <c:pt idx="9">
                  <c:v>-0.14648930217436834</c:v>
                </c:pt>
                <c:pt idx="10">
                  <c:v>2.2053185201837628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49-4256-BB78-9A752DE14509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Seg'!$V$17:$V$27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49-4256-BB78-9A752DE14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90296"/>
        <c:axId val="385689120"/>
      </c:radarChart>
      <c:catAx>
        <c:axId val="38569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9120"/>
        <c:crosses val="autoZero"/>
        <c:auto val="1"/>
        <c:lblAlgn val="ctr"/>
        <c:lblOffset val="100"/>
        <c:noMultiLvlLbl val="0"/>
      </c:catAx>
      <c:valAx>
        <c:axId val="3856891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9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Seg'!$U$28:$U$38</c:f>
              <c:numCache>
                <c:formatCode>0.0000</c:formatCode>
                <c:ptCount val="11"/>
                <c:pt idx="0">
                  <c:v>0.2024214401917972</c:v>
                </c:pt>
                <c:pt idx="1">
                  <c:v>-0.40068939645523538</c:v>
                </c:pt>
                <c:pt idx="2">
                  <c:v>-0.16937562727185929</c:v>
                </c:pt>
                <c:pt idx="3">
                  <c:v>-0.35366881072392842</c:v>
                </c:pt>
                <c:pt idx="4">
                  <c:v>-0.18021269048782285</c:v>
                </c:pt>
                <c:pt idx="5">
                  <c:v>-0.15851598001057515</c:v>
                </c:pt>
                <c:pt idx="6">
                  <c:v>1.3185417764809886</c:v>
                </c:pt>
                <c:pt idx="7">
                  <c:v>1.4477659745924418E-2</c:v>
                </c:pt>
                <c:pt idx="8">
                  <c:v>-1.2685608135775761</c:v>
                </c:pt>
                <c:pt idx="9">
                  <c:v>6.0081079025217754</c:v>
                </c:pt>
                <c:pt idx="10">
                  <c:v>-0.47386064084759832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3E2-4418-A54B-22960005AEDC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Seg'!$V$28:$V$38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3E2-4418-A54B-22960005A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91080"/>
        <c:axId val="385687944"/>
      </c:radarChart>
      <c:catAx>
        <c:axId val="38569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7944"/>
        <c:crosses val="autoZero"/>
        <c:auto val="1"/>
        <c:lblAlgn val="ctr"/>
        <c:lblOffset val="100"/>
        <c:noMultiLvlLbl val="0"/>
      </c:catAx>
      <c:valAx>
        <c:axId val="3856879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9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Seg'!$U$39:$U$49</c:f>
              <c:numCache>
                <c:formatCode>0.0000</c:formatCode>
                <c:ptCount val="11"/>
                <c:pt idx="0">
                  <c:v>-7.3269971744156184E-2</c:v>
                </c:pt>
                <c:pt idx="1">
                  <c:v>3.4856268116387668</c:v>
                </c:pt>
                <c:pt idx="2">
                  <c:v>-0.1049799855159871</c:v>
                </c:pt>
                <c:pt idx="3">
                  <c:v>-0.39593777893522275</c:v>
                </c:pt>
                <c:pt idx="4">
                  <c:v>-0.42672707843937741</c:v>
                </c:pt>
                <c:pt idx="5">
                  <c:v>0.17823903821764936</c:v>
                </c:pt>
                <c:pt idx="6">
                  <c:v>-8.1604319801441866E-2</c:v>
                </c:pt>
                <c:pt idx="7">
                  <c:v>-0.14826008988736533</c:v>
                </c:pt>
                <c:pt idx="8">
                  <c:v>-0.2016190403180117</c:v>
                </c:pt>
                <c:pt idx="9">
                  <c:v>-0.20744101425369471</c:v>
                </c:pt>
                <c:pt idx="10">
                  <c:v>-0.38775739599914427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CC-4C9D-81F7-DB2E774F3210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Seg'!$V$39:$V$49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0CC-4C9D-81F7-DB2E774F3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88728"/>
        <c:axId val="385689904"/>
      </c:radarChart>
      <c:catAx>
        <c:axId val="38568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5689904"/>
        <c:crosses val="autoZero"/>
        <c:auto val="1"/>
        <c:lblAlgn val="ctr"/>
        <c:lblOffset val="100"/>
        <c:noMultiLvlLbl val="0"/>
      </c:catAx>
      <c:valAx>
        <c:axId val="3856899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5688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Seg'!$U$50:$U$60</c:f>
              <c:numCache>
                <c:formatCode>0.0000</c:formatCode>
                <c:ptCount val="11"/>
                <c:pt idx="0">
                  <c:v>-6.7505779604418198E-2</c:v>
                </c:pt>
                <c:pt idx="1">
                  <c:v>-0.25092760004755876</c:v>
                </c:pt>
                <c:pt idx="2">
                  <c:v>0.16127552457974248</c:v>
                </c:pt>
                <c:pt idx="3">
                  <c:v>-0.4030694838037347</c:v>
                </c:pt>
                <c:pt idx="4">
                  <c:v>-0.43865416490986192</c:v>
                </c:pt>
                <c:pt idx="5">
                  <c:v>-0.11262140554122123</c:v>
                </c:pt>
                <c:pt idx="6">
                  <c:v>4.5337577873053904E-2</c:v>
                </c:pt>
                <c:pt idx="7">
                  <c:v>5.2411382604775083</c:v>
                </c:pt>
                <c:pt idx="8">
                  <c:v>-0.7299882390996647</c:v>
                </c:pt>
                <c:pt idx="9">
                  <c:v>-0.1285124952979167</c:v>
                </c:pt>
                <c:pt idx="10">
                  <c:v>-0.4958782193762668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5F-4AAF-A9F0-6DB78266FB6F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Seg'!$V$50:$V$60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25F-4AAF-A9F0-6DB78266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8328"/>
        <c:axId val="386557152"/>
      </c:radarChart>
      <c:catAx>
        <c:axId val="38655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57152"/>
        <c:crosses val="autoZero"/>
        <c:auto val="1"/>
        <c:lblAlgn val="ctr"/>
        <c:lblOffset val="100"/>
        <c:noMultiLvlLbl val="0"/>
      </c:catAx>
      <c:valAx>
        <c:axId val="3865571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8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Seg'!$U$61:$U$71</c:f>
              <c:numCache>
                <c:formatCode>0.0000</c:formatCode>
                <c:ptCount val="11"/>
                <c:pt idx="0">
                  <c:v>-0.11817450124154466</c:v>
                </c:pt>
                <c:pt idx="1">
                  <c:v>-0.28860353656486643</c:v>
                </c:pt>
                <c:pt idx="2">
                  <c:v>-0.2990948656270157</c:v>
                </c:pt>
                <c:pt idx="3">
                  <c:v>-0.29348801654233486</c:v>
                </c:pt>
                <c:pt idx="4">
                  <c:v>2.3649089696312604</c:v>
                </c:pt>
                <c:pt idx="5">
                  <c:v>-0.14779969228689677</c:v>
                </c:pt>
                <c:pt idx="6">
                  <c:v>-0.14552766905871661</c:v>
                </c:pt>
                <c:pt idx="7">
                  <c:v>-0.22938313112416323</c:v>
                </c:pt>
                <c:pt idx="8">
                  <c:v>-1.07826015959174</c:v>
                </c:pt>
                <c:pt idx="9">
                  <c:v>-2.4961419471678629E-2</c:v>
                </c:pt>
                <c:pt idx="10">
                  <c:v>-0.14467567832162753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DD-46B5-BA8D-D6659363164F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Seg'!$V$61:$V$71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EDD-46B5-BA8D-D66593631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4408"/>
        <c:axId val="386559504"/>
      </c:radarChart>
      <c:catAx>
        <c:axId val="38655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59504"/>
        <c:crosses val="autoZero"/>
        <c:auto val="1"/>
        <c:lblAlgn val="ctr"/>
        <c:lblOffset val="100"/>
        <c:noMultiLvlLbl val="0"/>
      </c:catAx>
      <c:valAx>
        <c:axId val="3865595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Seg'!$U$72:$U$82</c:f>
              <c:numCache>
                <c:formatCode>0.0000</c:formatCode>
                <c:ptCount val="11"/>
                <c:pt idx="0">
                  <c:v>7.76980563404401</c:v>
                </c:pt>
                <c:pt idx="1">
                  <c:v>3.1138662369982239E-3</c:v>
                </c:pt>
                <c:pt idx="2">
                  <c:v>6.5777677388406758E-2</c:v>
                </c:pt>
                <c:pt idx="3">
                  <c:v>-0.37742253893129585</c:v>
                </c:pt>
                <c:pt idx="4">
                  <c:v>-0.33210992801004785</c:v>
                </c:pt>
                <c:pt idx="5">
                  <c:v>-7.6544628339025103E-2</c:v>
                </c:pt>
                <c:pt idx="6">
                  <c:v>0.61011384718826911</c:v>
                </c:pt>
                <c:pt idx="7">
                  <c:v>0.14734917956867943</c:v>
                </c:pt>
                <c:pt idx="8">
                  <c:v>-0.30081042388478685</c:v>
                </c:pt>
                <c:pt idx="9">
                  <c:v>0.37666161985076291</c:v>
                </c:pt>
                <c:pt idx="10">
                  <c:v>-0.41795689489504734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5E-4CAC-94E1-D4F8BB87B216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Seg'!$V$72:$V$82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95E-4CAC-94E1-D4F8BB87B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60680"/>
        <c:axId val="386561072"/>
      </c:radarChart>
      <c:catAx>
        <c:axId val="38656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1072"/>
        <c:crosses val="autoZero"/>
        <c:auto val="1"/>
        <c:lblAlgn val="ctr"/>
        <c:lblOffset val="100"/>
        <c:noMultiLvlLbl val="0"/>
      </c:catAx>
      <c:valAx>
        <c:axId val="3865610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6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Seg'!$U$83:$U$93</c:f>
              <c:numCache>
                <c:formatCode>0.0000</c:formatCode>
                <c:ptCount val="11"/>
                <c:pt idx="0">
                  <c:v>-0.1548529497388475</c:v>
                </c:pt>
                <c:pt idx="1">
                  <c:v>-0.3438710748680861</c:v>
                </c:pt>
                <c:pt idx="2">
                  <c:v>-0.37080819394605519</c:v>
                </c:pt>
                <c:pt idx="3">
                  <c:v>2.8869048474808383</c:v>
                </c:pt>
                <c:pt idx="4">
                  <c:v>-0.29834938439332792</c:v>
                </c:pt>
                <c:pt idx="5">
                  <c:v>-0.1901917442244159</c:v>
                </c:pt>
                <c:pt idx="6">
                  <c:v>-0.30823202745946043</c:v>
                </c:pt>
                <c:pt idx="7">
                  <c:v>-0.33459786318596235</c:v>
                </c:pt>
                <c:pt idx="8">
                  <c:v>-1.4298266279996685</c:v>
                </c:pt>
                <c:pt idx="9">
                  <c:v>-0.14754277723535214</c:v>
                </c:pt>
                <c:pt idx="10">
                  <c:v>-0.32469877552204379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8F-4158-B10B-C62BE6230A64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Seg'!$V$83:$V$93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68F-4158-B10B-C62BE623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61464"/>
        <c:axId val="386557544"/>
      </c:radarChart>
      <c:catAx>
        <c:axId val="38656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57544"/>
        <c:crosses val="autoZero"/>
        <c:auto val="1"/>
        <c:lblAlgn val="ctr"/>
        <c:lblOffset val="100"/>
        <c:noMultiLvlLbl val="0"/>
      </c:catAx>
      <c:valAx>
        <c:axId val="386557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61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Seg'!$T$94:$T$104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Seg'!$U$94:$U$104</c:f>
              <c:numCache>
                <c:formatCode>0.0000</c:formatCode>
                <c:ptCount val="11"/>
                <c:pt idx="0">
                  <c:v>-5.7234352256186331E-2</c:v>
                </c:pt>
                <c:pt idx="1">
                  <c:v>-4.0680130704484091E-2</c:v>
                </c:pt>
                <c:pt idx="2">
                  <c:v>3.3047266317218513</c:v>
                </c:pt>
                <c:pt idx="3">
                  <c:v>-0.39592792057116072</c:v>
                </c:pt>
                <c:pt idx="4">
                  <c:v>-0.42981860852145087</c:v>
                </c:pt>
                <c:pt idx="5">
                  <c:v>-5.1756628354927593E-2</c:v>
                </c:pt>
                <c:pt idx="6">
                  <c:v>-8.1091737674163805E-2</c:v>
                </c:pt>
                <c:pt idx="7">
                  <c:v>0.29091905036834237</c:v>
                </c:pt>
                <c:pt idx="8">
                  <c:v>-0.18320079727311656</c:v>
                </c:pt>
                <c:pt idx="9">
                  <c:v>-0.14820966550343292</c:v>
                </c:pt>
                <c:pt idx="10">
                  <c:v>-0.31246668673016881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10-47BD-B687-7465B50FACBB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Seg'!$T$94:$T$104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Seg'!$V$94:$V$104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710-47BD-B687-7465B50F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9112"/>
        <c:axId val="386561856"/>
      </c:radarChart>
      <c:catAx>
        <c:axId val="38655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1856"/>
        <c:crosses val="autoZero"/>
        <c:auto val="1"/>
        <c:lblAlgn val="ctr"/>
        <c:lblOffset val="100"/>
        <c:noMultiLvlLbl val="0"/>
      </c:catAx>
      <c:valAx>
        <c:axId val="3865618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Seg'!$T$105:$T$115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Seg'!$U$105:$U$115</c:f>
              <c:numCache>
                <c:formatCode>0.0000</c:formatCode>
                <c:ptCount val="11"/>
                <c:pt idx="0">
                  <c:v>8.4092816165767609E-2</c:v>
                </c:pt>
                <c:pt idx="1">
                  <c:v>-0.14599399776146024</c:v>
                </c:pt>
                <c:pt idx="2">
                  <c:v>7.336315518618494E-3</c:v>
                </c:pt>
                <c:pt idx="3">
                  <c:v>-0.35827307750604742</c:v>
                </c:pt>
                <c:pt idx="4">
                  <c:v>-0.21853624148646869</c:v>
                </c:pt>
                <c:pt idx="5">
                  <c:v>0.61339267611009296</c:v>
                </c:pt>
                <c:pt idx="6">
                  <c:v>4.483748863810872</c:v>
                </c:pt>
                <c:pt idx="7">
                  <c:v>0.20228431418551568</c:v>
                </c:pt>
                <c:pt idx="8">
                  <c:v>-0.34335908016920236</c:v>
                </c:pt>
                <c:pt idx="9">
                  <c:v>0.31336767113238667</c:v>
                </c:pt>
                <c:pt idx="10">
                  <c:v>-0.35607035762588335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C9-4948-826F-1A494DE1FFAC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Seg'!$T$105:$T$115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Seg'!$V$105:$V$115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0C9-4948-826F-1A494DE1F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3232"/>
        <c:axId val="386562248"/>
      </c:radarChart>
      <c:catAx>
        <c:axId val="3865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2248"/>
        <c:crosses val="autoZero"/>
        <c:auto val="1"/>
        <c:lblAlgn val="ctr"/>
        <c:lblOffset val="100"/>
        <c:noMultiLvlLbl val="0"/>
      </c:catAx>
      <c:valAx>
        <c:axId val="386562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Seg'!$U$5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Seg'!$T$116:$T$126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Seg'!$U$116:$U$126</c:f>
              <c:numCache>
                <c:formatCode>0.0000</c:formatCode>
                <c:ptCount val="11"/>
                <c:pt idx="0">
                  <c:v>-0.13158660844250364</c:v>
                </c:pt>
                <c:pt idx="1">
                  <c:v>-0.2717058411128741</c:v>
                </c:pt>
                <c:pt idx="2">
                  <c:v>-0.30394305128318572</c:v>
                </c:pt>
                <c:pt idx="3">
                  <c:v>1.4749472269448805</c:v>
                </c:pt>
                <c:pt idx="4">
                  <c:v>0.36617520752603971</c:v>
                </c:pt>
                <c:pt idx="5">
                  <c:v>-0.1147364361733848</c:v>
                </c:pt>
                <c:pt idx="6">
                  <c:v>-0.21172547180383258</c:v>
                </c:pt>
                <c:pt idx="7">
                  <c:v>-0.29652221988742655</c:v>
                </c:pt>
                <c:pt idx="8">
                  <c:v>-1.0431765898873708</c:v>
                </c:pt>
                <c:pt idx="9">
                  <c:v>-6.8401896046707183E-2</c:v>
                </c:pt>
                <c:pt idx="10">
                  <c:v>1.5133742580432324E-2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C53-4438-9216-2706E4959DBF}"/>
            </c:ext>
          </c:extLst>
        </c:ser>
        <c:ser>
          <c:idx val="1"/>
          <c:order val="1"/>
          <c:tx>
            <c:strRef>
              <c:f>'Cluster 11 y Correlación Seg'!$V$5</c:f>
              <c:strCache>
                <c:ptCount val="1"/>
                <c:pt idx="0">
                  <c:v>Referencia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Seg'!$T$116:$T$126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Seg'!$V$116:$V$126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C53-4438-9216-2706E4959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63032"/>
        <c:axId val="386562640"/>
      </c:radarChart>
      <c:catAx>
        <c:axId val="38656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2640"/>
        <c:crosses val="autoZero"/>
        <c:auto val="1"/>
        <c:lblAlgn val="ctr"/>
        <c:lblOffset val="100"/>
        <c:noMultiLvlLbl val="0"/>
      </c:catAx>
      <c:valAx>
        <c:axId val="386562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6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Seg'!$AY$6:$AY$16</c:f>
              <c:numCache>
                <c:formatCode>0.0000</c:formatCode>
                <c:ptCount val="11"/>
                <c:pt idx="0">
                  <c:v>-9.5809572737391907E-2</c:v>
                </c:pt>
                <c:pt idx="1">
                  <c:v>-0.12881750980898618</c:v>
                </c:pt>
                <c:pt idx="2">
                  <c:v>-0.20784907751741222</c:v>
                </c:pt>
                <c:pt idx="3">
                  <c:v>-0.39781210040250875</c:v>
                </c:pt>
                <c:pt idx="4">
                  <c:v>-0.42648703756996542</c:v>
                </c:pt>
                <c:pt idx="5">
                  <c:v>3.9173786342149949E-2</c:v>
                </c:pt>
                <c:pt idx="6">
                  <c:v>-0.14042260009878105</c:v>
                </c:pt>
                <c:pt idx="7">
                  <c:v>-9.7515346747754306E-2</c:v>
                </c:pt>
                <c:pt idx="8">
                  <c:v>0.91764409284317727</c:v>
                </c:pt>
                <c:pt idx="9">
                  <c:v>-0.17822484763166091</c:v>
                </c:pt>
                <c:pt idx="10">
                  <c:v>-0.33861601720143153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26-42A2-A236-45051EDDFC8D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Seg'!$T$6:$T$16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Seg'!$AZ$6:$AZ$16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626-42A2-A236-45051EDD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5976"/>
        <c:axId val="386563424"/>
      </c:radarChart>
      <c:catAx>
        <c:axId val="38655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3424"/>
        <c:crosses val="autoZero"/>
        <c:auto val="1"/>
        <c:lblAlgn val="ctr"/>
        <c:lblOffset val="100"/>
        <c:noMultiLvlLbl val="0"/>
      </c:catAx>
      <c:valAx>
        <c:axId val="3865634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Seg'!$AY$17:$AY$27</c:f>
              <c:numCache>
                <c:formatCode>0.0000</c:formatCode>
                <c:ptCount val="11"/>
                <c:pt idx="0">
                  <c:v>-0.11031423923281104</c:v>
                </c:pt>
                <c:pt idx="1">
                  <c:v>-0.19763620858598907</c:v>
                </c:pt>
                <c:pt idx="2">
                  <c:v>-0.15164901185034424</c:v>
                </c:pt>
                <c:pt idx="3">
                  <c:v>-0.3607310962788372</c:v>
                </c:pt>
                <c:pt idx="4">
                  <c:v>-0.28985827326734442</c:v>
                </c:pt>
                <c:pt idx="5">
                  <c:v>8.1090751511730078E-2</c:v>
                </c:pt>
                <c:pt idx="6">
                  <c:v>-0.16044858199446332</c:v>
                </c:pt>
                <c:pt idx="7">
                  <c:v>-0.18256764503671177</c:v>
                </c:pt>
                <c:pt idx="8">
                  <c:v>-6.0336784319298273E-2</c:v>
                </c:pt>
                <c:pt idx="9">
                  <c:v>-0.14648930217436834</c:v>
                </c:pt>
                <c:pt idx="10">
                  <c:v>2.2053185201837628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DA-4C1C-9865-4238BDE670E1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Seg'!$T$17:$T$27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Seg'!$AZ$17:$AZ$27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DA-4C1C-9865-4238BDE67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4016"/>
        <c:axId val="386557936"/>
      </c:radarChart>
      <c:catAx>
        <c:axId val="3865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57936"/>
        <c:crosses val="autoZero"/>
        <c:auto val="1"/>
        <c:lblAlgn val="ctr"/>
        <c:lblOffset val="100"/>
        <c:noMultiLvlLbl val="0"/>
      </c:catAx>
      <c:valAx>
        <c:axId val="386557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Seg'!$AY$28:$AY$38</c:f>
              <c:numCache>
                <c:formatCode>0.0000</c:formatCode>
                <c:ptCount val="11"/>
                <c:pt idx="0">
                  <c:v>0.13845020977823441</c:v>
                </c:pt>
                <c:pt idx="1">
                  <c:v>-0.26299665039010456</c:v>
                </c:pt>
                <c:pt idx="2">
                  <c:v>-7.3841686479336949E-2</c:v>
                </c:pt>
                <c:pt idx="3">
                  <c:v>-0.35615804764958114</c:v>
                </c:pt>
                <c:pt idx="4">
                  <c:v>-0.20093116225736576</c:v>
                </c:pt>
                <c:pt idx="5">
                  <c:v>0.2587930808283605</c:v>
                </c:pt>
                <c:pt idx="6">
                  <c:v>3.0297131615318529</c:v>
                </c:pt>
                <c:pt idx="7">
                  <c:v>0.11600896833541087</c:v>
                </c:pt>
                <c:pt idx="8">
                  <c:v>-0.76837944516223122</c:v>
                </c:pt>
                <c:pt idx="9">
                  <c:v>2.9294234229915985</c:v>
                </c:pt>
                <c:pt idx="10">
                  <c:v>-0.4101810791505161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429-44FF-999F-A9623C13F257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Seg'!$T$28:$T$38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Seg'!$AZ$28:$AZ$38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429-44FF-999F-A9623C13F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64208"/>
        <c:axId val="386552448"/>
      </c:radarChart>
      <c:catAx>
        <c:axId val="38656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52448"/>
        <c:crosses val="autoZero"/>
        <c:auto val="1"/>
        <c:lblAlgn val="ctr"/>
        <c:lblOffset val="100"/>
        <c:noMultiLvlLbl val="0"/>
      </c:catAx>
      <c:valAx>
        <c:axId val="386552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6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Seg'!$AY$39:$AY$49</c:f>
              <c:numCache>
                <c:formatCode>0.0000</c:formatCode>
                <c:ptCount val="11"/>
                <c:pt idx="0">
                  <c:v>1.3957222364928503</c:v>
                </c:pt>
                <c:pt idx="1">
                  <c:v>2.8333589576440397</c:v>
                </c:pt>
                <c:pt idx="2">
                  <c:v>-7.2997561935455285E-2</c:v>
                </c:pt>
                <c:pt idx="3">
                  <c:v>-0.39247009937641736</c:v>
                </c:pt>
                <c:pt idx="4">
                  <c:v>-0.40900554815652623</c:v>
                </c:pt>
                <c:pt idx="5">
                  <c:v>0.13051766567408651</c:v>
                </c:pt>
                <c:pt idx="6">
                  <c:v>4.7952369291557523E-2</c:v>
                </c:pt>
                <c:pt idx="7">
                  <c:v>-9.2893471435362043E-2</c:v>
                </c:pt>
                <c:pt idx="8">
                  <c:v>-0.22019746096683701</c:v>
                </c:pt>
                <c:pt idx="9">
                  <c:v>-9.803986949830204E-2</c:v>
                </c:pt>
                <c:pt idx="10">
                  <c:v>-0.39341385324394196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CF-441D-B0E1-F16465E7ADAD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Seg'!$T$39:$T$49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Seg'!$AZ$39:$AZ$49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5CF-441D-B0E1-F16465E7A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5192"/>
        <c:axId val="386555584"/>
      </c:radarChart>
      <c:catAx>
        <c:axId val="38655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55584"/>
        <c:crosses val="autoZero"/>
        <c:auto val="1"/>
        <c:lblAlgn val="ctr"/>
        <c:lblOffset val="100"/>
        <c:noMultiLvlLbl val="0"/>
      </c:catAx>
      <c:valAx>
        <c:axId val="386555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55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Seg'!$AY$50:$AY$60</c:f>
              <c:numCache>
                <c:formatCode>0.0000</c:formatCode>
                <c:ptCount val="11"/>
                <c:pt idx="0">
                  <c:v>-6.0083911293775161E-2</c:v>
                </c:pt>
                <c:pt idx="1">
                  <c:v>-9.9031811044282922E-2</c:v>
                </c:pt>
                <c:pt idx="2">
                  <c:v>2.4322988829612586</c:v>
                </c:pt>
                <c:pt idx="3">
                  <c:v>-0.39791027327795941</c:v>
                </c:pt>
                <c:pt idx="4">
                  <c:v>-0.43227077323945862</c:v>
                </c:pt>
                <c:pt idx="5">
                  <c:v>-6.8649044061812964E-2</c:v>
                </c:pt>
                <c:pt idx="6">
                  <c:v>-4.6001651884102525E-2</c:v>
                </c:pt>
                <c:pt idx="7">
                  <c:v>1.6647941832306818</c:v>
                </c:pt>
                <c:pt idx="8">
                  <c:v>-0.3349553652953095</c:v>
                </c:pt>
                <c:pt idx="9">
                  <c:v>-0.14274222371808967</c:v>
                </c:pt>
                <c:pt idx="10">
                  <c:v>-0.36337026951568396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EA-4D65-ADA3-AA937EE2E4A5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Seg'!$T$50:$T$60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Seg'!$AZ$50:$AZ$60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6EA-4D65-ADA3-AA937EE2E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71656"/>
        <c:axId val="386566168"/>
      </c:radarChart>
      <c:catAx>
        <c:axId val="38657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6168"/>
        <c:crosses val="autoZero"/>
        <c:auto val="1"/>
        <c:lblAlgn val="ctr"/>
        <c:lblOffset val="100"/>
        <c:noMultiLvlLbl val="0"/>
      </c:catAx>
      <c:valAx>
        <c:axId val="386566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71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Seg'!$AY$61:$AY$71</c:f>
              <c:numCache>
                <c:formatCode>0.0000</c:formatCode>
                <c:ptCount val="11"/>
                <c:pt idx="0">
                  <c:v>-0.11817450124154466</c:v>
                </c:pt>
                <c:pt idx="1">
                  <c:v>-0.28860353656486643</c:v>
                </c:pt>
                <c:pt idx="2">
                  <c:v>-0.2990948656270157</c:v>
                </c:pt>
                <c:pt idx="3">
                  <c:v>-0.29348801654233486</c:v>
                </c:pt>
                <c:pt idx="4">
                  <c:v>2.3649089696312604</c:v>
                </c:pt>
                <c:pt idx="5">
                  <c:v>-0.14779969228689677</c:v>
                </c:pt>
                <c:pt idx="6">
                  <c:v>-0.14552766905871661</c:v>
                </c:pt>
                <c:pt idx="7">
                  <c:v>-0.22938313112416323</c:v>
                </c:pt>
                <c:pt idx="8">
                  <c:v>-1.07826015959174</c:v>
                </c:pt>
                <c:pt idx="9">
                  <c:v>-2.4961419471678629E-2</c:v>
                </c:pt>
                <c:pt idx="10">
                  <c:v>-0.14467567832162753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48-4AC2-83CC-2BDFA6E2366B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Seg'!$T$61:$T$71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Seg'!$AZ$61:$AZ$71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C48-4AC2-83CC-2BDFA6E23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74400"/>
        <c:axId val="386572832"/>
      </c:radarChart>
      <c:catAx>
        <c:axId val="3865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72832"/>
        <c:crosses val="autoZero"/>
        <c:auto val="1"/>
        <c:lblAlgn val="ctr"/>
        <c:lblOffset val="100"/>
        <c:noMultiLvlLbl val="0"/>
      </c:catAx>
      <c:valAx>
        <c:axId val="3865728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Seg'!$AY$72:$AY$82</c:f>
              <c:numCache>
                <c:formatCode>0.0000</c:formatCode>
                <c:ptCount val="11"/>
                <c:pt idx="0">
                  <c:v>-0.1548529497388475</c:v>
                </c:pt>
                <c:pt idx="1">
                  <c:v>-0.3438710748680861</c:v>
                </c:pt>
                <c:pt idx="2">
                  <c:v>-0.37080819394605519</c:v>
                </c:pt>
                <c:pt idx="3">
                  <c:v>2.8869048474808383</c:v>
                </c:pt>
                <c:pt idx="4">
                  <c:v>-0.29834938439332792</c:v>
                </c:pt>
                <c:pt idx="5">
                  <c:v>-0.1901917442244159</c:v>
                </c:pt>
                <c:pt idx="6">
                  <c:v>-0.30823202745946043</c:v>
                </c:pt>
                <c:pt idx="7">
                  <c:v>-0.33459786318596235</c:v>
                </c:pt>
                <c:pt idx="8">
                  <c:v>-1.4298266279996685</c:v>
                </c:pt>
                <c:pt idx="9">
                  <c:v>-0.14754277723535214</c:v>
                </c:pt>
                <c:pt idx="10">
                  <c:v>-0.32469877552204379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8F-408D-948D-C8259A729036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Seg'!$T$72:$T$82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Seg'!$AZ$72:$AZ$82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08F-408D-948D-C8259A729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70088"/>
        <c:axId val="386575576"/>
      </c:radarChart>
      <c:catAx>
        <c:axId val="38657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75576"/>
        <c:crosses val="autoZero"/>
        <c:auto val="1"/>
        <c:lblAlgn val="ctr"/>
        <c:lblOffset val="100"/>
        <c:noMultiLvlLbl val="0"/>
      </c:catAx>
      <c:valAx>
        <c:axId val="386575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70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'Cluster 11 y Correlación Seg'!$AY$5</c:f>
              <c:strCache>
                <c:ptCount val="1"/>
                <c:pt idx="0">
                  <c:v>Var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Seg'!$AY$83:$AY$93</c:f>
              <c:numCache>
                <c:formatCode>0.0000</c:formatCode>
                <c:ptCount val="11"/>
                <c:pt idx="0">
                  <c:v>-0.13158660844250364</c:v>
                </c:pt>
                <c:pt idx="1">
                  <c:v>-0.2717058411128741</c:v>
                </c:pt>
                <c:pt idx="2">
                  <c:v>-0.30394305128318572</c:v>
                </c:pt>
                <c:pt idx="3">
                  <c:v>1.4749472269448805</c:v>
                </c:pt>
                <c:pt idx="4">
                  <c:v>0.36617520752603971</c:v>
                </c:pt>
                <c:pt idx="5">
                  <c:v>-0.1147364361733848</c:v>
                </c:pt>
                <c:pt idx="6">
                  <c:v>-0.21172547180383258</c:v>
                </c:pt>
                <c:pt idx="7">
                  <c:v>-0.29652221988742655</c:v>
                </c:pt>
                <c:pt idx="8">
                  <c:v>-1.0431765898873708</c:v>
                </c:pt>
                <c:pt idx="9">
                  <c:v>-6.8401896046707183E-2</c:v>
                </c:pt>
                <c:pt idx="10">
                  <c:v>1.5133742580432324E-2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C3-4B27-AD60-E2927B47E1CF}"/>
            </c:ext>
          </c:extLst>
        </c:ser>
        <c:ser>
          <c:idx val="1"/>
          <c:order val="1"/>
          <c:tx>
            <c:strRef>
              <c:f>'Cluster 11 y Correlación Seg'!$AZ$5</c:f>
              <c:strCache>
                <c:ptCount val="1"/>
                <c:pt idx="0">
                  <c:v>Referencia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11 y Correlación Seg'!$T$83:$T$93</c:f>
              <c:strCache>
                <c:ptCount val="11"/>
                <c:pt idx="0">
                  <c:v>CANAL1</c:v>
                </c:pt>
                <c:pt idx="1">
                  <c:v>CANAL2</c:v>
                </c:pt>
                <c:pt idx="2">
                  <c:v>CANAL3</c:v>
                </c:pt>
                <c:pt idx="3">
                  <c:v>CANAL4</c:v>
                </c:pt>
                <c:pt idx="4">
                  <c:v>CANAL5</c:v>
                </c:pt>
                <c:pt idx="5">
                  <c:v>CANAL6</c:v>
                </c:pt>
                <c:pt idx="6">
                  <c:v>CANAL7</c:v>
                </c:pt>
                <c:pt idx="7">
                  <c:v>CANAL8</c:v>
                </c:pt>
                <c:pt idx="8">
                  <c:v>CANAL9</c:v>
                </c:pt>
                <c:pt idx="9">
                  <c:v>CANAL10</c:v>
                </c:pt>
                <c:pt idx="10">
                  <c:v>CANAL11</c:v>
                </c:pt>
              </c:strCache>
            </c:strRef>
          </c:cat>
          <c:val>
            <c:numRef>
              <c:f>'Cluster 11 y Correlación Seg'!$AZ$83:$AZ$93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8C3-4B27-AD60-E2927B47E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72048"/>
        <c:axId val="386565384"/>
      </c:radarChart>
      <c:catAx>
        <c:axId val="38657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6565384"/>
        <c:crosses val="autoZero"/>
        <c:auto val="1"/>
        <c:lblAlgn val="ctr"/>
        <c:lblOffset val="100"/>
        <c:noMultiLvlLbl val="0"/>
      </c:catAx>
      <c:valAx>
        <c:axId val="386565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crossAx val="38657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314-4152-8604-B916C180CAAA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8314-4152-8604-B916C180CAAA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8314-4152-8604-B916C180CAAA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8314-4152-8604-B916C180CAA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Perfil!$B$17:$B$18</c:f>
              <c:numCache>
                <c:formatCode>0%</c:formatCode>
                <c:ptCount val="2"/>
                <c:pt idx="0">
                  <c:v>0.42</c:v>
                </c:pt>
                <c:pt idx="1">
                  <c:v>0.58000000000000007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14-4152-8604-B916C180C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49-4B14-88CA-3DCA886F281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49-4B14-88CA-3DCA886F2819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49-4B14-88CA-3DCA886F2819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49-4B14-88CA-3DCA886F281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Perfil!$B$44:$B$45</c:f>
              <c:numCache>
                <c:formatCode>0%</c:formatCode>
                <c:ptCount val="2"/>
                <c:pt idx="0">
                  <c:v>0.12</c:v>
                </c:pt>
                <c:pt idx="1">
                  <c:v>0.88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249-4B14-88CA-3DCA886F2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F03-4B8D-BB4B-B48FA91F4D52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F03-4B8D-BB4B-B48FA91F4D52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BF03-4B8D-BB4B-B48FA91F4D52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F03-4B8D-BB4B-B48FA91F4D5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Perfil!$B$74:$B$75</c:f>
              <c:numCache>
                <c:formatCode>0%</c:formatCode>
                <c:ptCount val="2"/>
                <c:pt idx="0">
                  <c:v>0.05</c:v>
                </c:pt>
                <c:pt idx="1">
                  <c:v>0.95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F03-4B8D-BB4B-B48FA91F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F6F-4424-9F7B-8DB712640F23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F6F-4424-9F7B-8DB712640F23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F6F-4424-9F7B-8DB712640F23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F6F-4424-9F7B-8DB712640F2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Perfil!$B$102:$B$103</c:f>
              <c:numCache>
                <c:formatCode>0%</c:formatCode>
                <c:ptCount val="2"/>
                <c:pt idx="0">
                  <c:v>0.06</c:v>
                </c:pt>
                <c:pt idx="1">
                  <c:v>0.94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F6F-4424-9F7B-8DB71264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AD9-40DF-9C30-B96DFC15AFD3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AD9-40DF-9C30-B96DFC15AFD3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AD9-40DF-9C30-B96DFC15AFD3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AD9-40DF-9C30-B96DFC15AFD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Perfil!$B$127:$B$128</c:f>
              <c:numCache>
                <c:formatCode>0%</c:formatCode>
                <c:ptCount val="2"/>
                <c:pt idx="0">
                  <c:v>0.08</c:v>
                </c:pt>
                <c:pt idx="1">
                  <c:v>0.92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AD9-40DF-9C30-B96DFC15A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tx>
            <c:strRef>
              <c:f>Perfil!$B$153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EA9-4048-83A7-3AF35522409F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EA9-4048-83A7-3AF35522409F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EA9-4048-83A7-3AF35522409F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EA9-4048-83A7-3AF35522409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Perfil!$B$156:$B$157</c:f>
              <c:numCache>
                <c:formatCode>0%</c:formatCode>
                <c:ptCount val="2"/>
                <c:pt idx="0">
                  <c:v>0.13</c:v>
                </c:pt>
                <c:pt idx="1">
                  <c:v>0.87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EA9-4048-83A7-3AF355224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tx>
            <c:strRef>
              <c:f>Perfil!$B$153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143-4E49-A8AE-5B4A93A6130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143-4E49-A8AE-5B4A93A61301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143-4E49-A8AE-5B4A93A61301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143-4E49-A8AE-5B4A93A61301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Perfil!$B$182:$B$183</c:f>
              <c:numCache>
                <c:formatCode>0%</c:formatCode>
                <c:ptCount val="2"/>
                <c:pt idx="0">
                  <c:v>0.09</c:v>
                </c:pt>
                <c:pt idx="1">
                  <c:v>0.91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143-4E49-A8AE-5B4A93A6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78800893689982E-2"/>
          <c:y val="0.34261121771543268"/>
          <c:w val="0.5575085139150997"/>
          <c:h val="0.5668784049052692"/>
        </c:manualLayout>
      </c:layout>
      <c:pieChart>
        <c:varyColors val="1"/>
        <c:ser>
          <c:idx val="0"/>
          <c:order val="0"/>
          <c:tx>
            <c:strRef>
              <c:f>Perfil!$B$153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C3B-4FED-A43B-AD66F8188E4B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C3B-4FED-A43B-AD66F8188E4B}"/>
              </c:ext>
            </c:extLst>
          </c:dPt>
          <c:dLbls>
            <c:dLbl>
              <c:idx val="0"/>
              <c:layout>
                <c:manualLayout>
                  <c:x val="-4.1322314049586806E-2"/>
                  <c:y val="-3.8895321908290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C3B-4FED-A43B-AD66F8188E4B}"/>
                </c:ext>
                <c:ext xmlns:c15="http://schemas.microsoft.com/office/drawing/2012/chart" uri="{CE6537A1-D6FC-4f65-9D91-7224C49458BB}">
                  <c15:layout>
                    <c:manualLayout>
                      <c:w val="0.38405349124747834"/>
                      <c:h val="0.46684090959218327"/>
                    </c:manualLayout>
                  </c15:layout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C3B-4FED-A43B-AD66F8188E4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Perfil!$B$210:$B$211</c:f>
              <c:numCache>
                <c:formatCode>0%</c:formatCode>
                <c:ptCount val="2"/>
                <c:pt idx="0">
                  <c:v>0.05</c:v>
                </c:pt>
                <c:pt idx="1">
                  <c:v>0.95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C3B-4FED-A43B-AD66F8188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'Kohonen Mapa'!$Z$39:$Z$46</c:f>
              <c:strCache>
                <c:ptCount val="8"/>
                <c:pt idx="0">
                  <c:v>Segmento [Nombre1]</c:v>
                </c:pt>
                <c:pt idx="1">
                  <c:v>Segmento [Nombre2]</c:v>
                </c:pt>
                <c:pt idx="2">
                  <c:v>Segmento [Nombre3]</c:v>
                </c:pt>
                <c:pt idx="3">
                  <c:v>Segmento [Nombre4]</c:v>
                </c:pt>
                <c:pt idx="4">
                  <c:v>Segmento [Nombre5]</c:v>
                </c:pt>
                <c:pt idx="5">
                  <c:v>Segmento [Nombre6]</c:v>
                </c:pt>
                <c:pt idx="6">
                  <c:v>Segmento [Nombre7]</c:v>
                </c:pt>
                <c:pt idx="7">
                  <c:v>Segmento [Nombre8]</c:v>
                </c:pt>
              </c:strCache>
            </c:strRef>
          </c:cat>
          <c:val>
            <c:numRef>
              <c:f>'Kohonen Mapa'!$AA$39:$AA$46</c:f>
              <c:numCache>
                <c:formatCode>0.00%</c:formatCode>
                <c:ptCount val="8"/>
                <c:pt idx="0">
                  <c:v>0.42899999999999999</c:v>
                </c:pt>
                <c:pt idx="1">
                  <c:v>0.11940000000000001</c:v>
                </c:pt>
                <c:pt idx="2">
                  <c:v>4.48E-2</c:v>
                </c:pt>
                <c:pt idx="3" formatCode="0%">
                  <c:v>0.06</c:v>
                </c:pt>
                <c:pt idx="4" formatCode="0%">
                  <c:v>0.08</c:v>
                </c:pt>
                <c:pt idx="5" formatCode="0%">
                  <c:v>0.13</c:v>
                </c:pt>
                <c:pt idx="6" formatCode="0%">
                  <c:v>0.09</c:v>
                </c:pt>
                <c:pt idx="7" formatCode="0%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1B-465D-BBEA-9C6EA8AD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19" Type="http://schemas.openxmlformats.org/officeDocument/2006/relationships/chart" Target="../charts/chart37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13" Type="http://schemas.openxmlformats.org/officeDocument/2006/relationships/chart" Target="../charts/chart50.xml"/><Relationship Id="rId18" Type="http://schemas.openxmlformats.org/officeDocument/2006/relationships/chart" Target="../charts/chart55.xml"/><Relationship Id="rId26" Type="http://schemas.openxmlformats.org/officeDocument/2006/relationships/chart" Target="../charts/chart63.xml"/><Relationship Id="rId3" Type="http://schemas.openxmlformats.org/officeDocument/2006/relationships/chart" Target="../charts/chart40.xml"/><Relationship Id="rId21" Type="http://schemas.openxmlformats.org/officeDocument/2006/relationships/chart" Target="../charts/chart58.xml"/><Relationship Id="rId7" Type="http://schemas.openxmlformats.org/officeDocument/2006/relationships/chart" Target="../charts/chart44.xml"/><Relationship Id="rId12" Type="http://schemas.openxmlformats.org/officeDocument/2006/relationships/chart" Target="../charts/chart49.xml"/><Relationship Id="rId17" Type="http://schemas.openxmlformats.org/officeDocument/2006/relationships/chart" Target="../charts/chart54.xml"/><Relationship Id="rId25" Type="http://schemas.openxmlformats.org/officeDocument/2006/relationships/chart" Target="../charts/chart62.xml"/><Relationship Id="rId2" Type="http://schemas.openxmlformats.org/officeDocument/2006/relationships/chart" Target="../charts/chart39.xml"/><Relationship Id="rId16" Type="http://schemas.openxmlformats.org/officeDocument/2006/relationships/chart" Target="../charts/chart53.xml"/><Relationship Id="rId20" Type="http://schemas.openxmlformats.org/officeDocument/2006/relationships/chart" Target="../charts/chart57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11" Type="http://schemas.openxmlformats.org/officeDocument/2006/relationships/chart" Target="../charts/chart48.xml"/><Relationship Id="rId24" Type="http://schemas.openxmlformats.org/officeDocument/2006/relationships/chart" Target="../charts/chart61.xml"/><Relationship Id="rId5" Type="http://schemas.openxmlformats.org/officeDocument/2006/relationships/chart" Target="../charts/chart42.xml"/><Relationship Id="rId15" Type="http://schemas.openxmlformats.org/officeDocument/2006/relationships/chart" Target="../charts/chart52.xml"/><Relationship Id="rId23" Type="http://schemas.openxmlformats.org/officeDocument/2006/relationships/chart" Target="../charts/chart60.xml"/><Relationship Id="rId28" Type="http://schemas.openxmlformats.org/officeDocument/2006/relationships/chart" Target="../charts/chart65.xml"/><Relationship Id="rId10" Type="http://schemas.openxmlformats.org/officeDocument/2006/relationships/chart" Target="../charts/chart47.xml"/><Relationship Id="rId19" Type="http://schemas.openxmlformats.org/officeDocument/2006/relationships/chart" Target="../charts/chart56.xml"/><Relationship Id="rId4" Type="http://schemas.openxmlformats.org/officeDocument/2006/relationships/chart" Target="../charts/chart41.xml"/><Relationship Id="rId9" Type="http://schemas.openxmlformats.org/officeDocument/2006/relationships/chart" Target="../charts/chart46.xml"/><Relationship Id="rId14" Type="http://schemas.openxmlformats.org/officeDocument/2006/relationships/chart" Target="../charts/chart51.xml"/><Relationship Id="rId22" Type="http://schemas.openxmlformats.org/officeDocument/2006/relationships/chart" Target="../charts/chart59.xml"/><Relationship Id="rId27" Type="http://schemas.openxmlformats.org/officeDocument/2006/relationships/chart" Target="../charts/chart6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6" Type="http://schemas.openxmlformats.org/officeDocument/2006/relationships/chart" Target="../charts/chart81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5" Type="http://schemas.openxmlformats.org/officeDocument/2006/relationships/chart" Target="../charts/chart8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Relationship Id="rId14" Type="http://schemas.openxmlformats.org/officeDocument/2006/relationships/chart" Target="../charts/chart7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3</xdr:row>
      <xdr:rowOff>47625</xdr:rowOff>
    </xdr:from>
    <xdr:to>
      <xdr:col>21</xdr:col>
      <xdr:colOff>200025</xdr:colOff>
      <xdr:row>18</xdr:row>
      <xdr:rowOff>66675</xdr:rowOff>
    </xdr:to>
    <xdr:graphicFrame macro="">
      <xdr:nvGraphicFramePr>
        <xdr:cNvPr id="10" name="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53340</xdr:rowOff>
    </xdr:from>
    <xdr:to>
      <xdr:col>2</xdr:col>
      <xdr:colOff>236220</xdr:colOff>
      <xdr:row>18</xdr:row>
      <xdr:rowOff>144780</xdr:rowOff>
    </xdr:to>
    <xdr:sp macro="" textlink="">
      <xdr:nvSpPr>
        <xdr:cNvPr id="2" name="Rectángulo 1"/>
        <xdr:cNvSpPr/>
      </xdr:nvSpPr>
      <xdr:spPr>
        <a:xfrm>
          <a:off x="571500" y="975360"/>
          <a:ext cx="990600" cy="2286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525780</xdr:colOff>
      <xdr:row>19</xdr:row>
      <xdr:rowOff>0</xdr:rowOff>
    </xdr:from>
    <xdr:to>
      <xdr:col>8</xdr:col>
      <xdr:colOff>137160</xdr:colOff>
      <xdr:row>19</xdr:row>
      <xdr:rowOff>0</xdr:rowOff>
    </xdr:to>
    <xdr:cxnSp macro="">
      <xdr:nvCxnSpPr>
        <xdr:cNvPr id="4" name="Conector recto 3"/>
        <xdr:cNvCxnSpPr/>
      </xdr:nvCxnSpPr>
      <xdr:spPr>
        <a:xfrm>
          <a:off x="525780" y="3299460"/>
          <a:ext cx="56921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426720</xdr:colOff>
      <xdr:row>6</xdr:row>
      <xdr:rowOff>53339</xdr:rowOff>
    </xdr:from>
    <xdr:to>
      <xdr:col>3</xdr:col>
      <xdr:colOff>624840</xdr:colOff>
      <xdr:row>10</xdr:row>
      <xdr:rowOff>161924</xdr:rowOff>
    </xdr:to>
    <xdr:sp macro="" textlink="">
      <xdr:nvSpPr>
        <xdr:cNvPr id="10" name="Rectángulo 9"/>
        <xdr:cNvSpPr/>
      </xdr:nvSpPr>
      <xdr:spPr>
        <a:xfrm>
          <a:off x="1703070" y="1377314"/>
          <a:ext cx="960120" cy="87058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0</xdr:colOff>
      <xdr:row>11</xdr:row>
      <xdr:rowOff>38099</xdr:rowOff>
    </xdr:from>
    <xdr:to>
      <xdr:col>5</xdr:col>
      <xdr:colOff>198120</xdr:colOff>
      <xdr:row>13</xdr:row>
      <xdr:rowOff>76200</xdr:rowOff>
    </xdr:to>
    <xdr:sp macro="" textlink="">
      <xdr:nvSpPr>
        <xdr:cNvPr id="11" name="Rectángulo 10"/>
        <xdr:cNvSpPr/>
      </xdr:nvSpPr>
      <xdr:spPr>
        <a:xfrm>
          <a:off x="2800350" y="2314574"/>
          <a:ext cx="960120" cy="41910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30480</xdr:colOff>
      <xdr:row>19</xdr:row>
      <xdr:rowOff>38100</xdr:rowOff>
    </xdr:from>
    <xdr:to>
      <xdr:col>2</xdr:col>
      <xdr:colOff>213360</xdr:colOff>
      <xdr:row>21</xdr:row>
      <xdr:rowOff>99060</xdr:rowOff>
    </xdr:to>
    <xdr:sp macro="" textlink="">
      <xdr:nvSpPr>
        <xdr:cNvPr id="12" name="CuadroTexto 11"/>
        <xdr:cNvSpPr txBox="1"/>
      </xdr:nvSpPr>
      <xdr:spPr>
        <a:xfrm>
          <a:off x="563880" y="3337560"/>
          <a:ext cx="975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900" b="1">
              <a:solidFill>
                <a:schemeClr val="tx1">
                  <a:lumMod val="50000"/>
                  <a:lumOff val="50000"/>
                </a:schemeClr>
              </a:solidFill>
            </a:rPr>
            <a:t>Población</a:t>
          </a:r>
        </a:p>
        <a:p>
          <a:pPr algn="ctr"/>
          <a:r>
            <a:rPr lang="es-PE" sz="900" b="1">
              <a:solidFill>
                <a:schemeClr val="tx1">
                  <a:lumMod val="50000"/>
                  <a:lumOff val="50000"/>
                </a:schemeClr>
              </a:solidFill>
            </a:rPr>
            <a:t>an</a:t>
          </a:r>
          <a:r>
            <a:rPr lang="es-PE" sz="900" b="1" baseline="0">
              <a:solidFill>
                <a:schemeClr val="tx1">
                  <a:lumMod val="50000"/>
                  <a:lumOff val="50000"/>
                </a:schemeClr>
              </a:solidFill>
            </a:rPr>
            <a:t> Bruto</a:t>
          </a:r>
          <a:endParaRPr lang="es-PE" sz="9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2</xdr:col>
      <xdr:colOff>396240</xdr:colOff>
      <xdr:row>19</xdr:row>
      <xdr:rowOff>38100</xdr:rowOff>
    </xdr:from>
    <xdr:to>
      <xdr:col>3</xdr:col>
      <xdr:colOff>579120</xdr:colOff>
      <xdr:row>21</xdr:row>
      <xdr:rowOff>99060</xdr:rowOff>
    </xdr:to>
    <xdr:sp macro="" textlink="">
      <xdr:nvSpPr>
        <xdr:cNvPr id="13" name="CuadroTexto 12"/>
        <xdr:cNvSpPr txBox="1"/>
      </xdr:nvSpPr>
      <xdr:spPr>
        <a:xfrm>
          <a:off x="1722120" y="3337560"/>
          <a:ext cx="975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900" b="1">
              <a:solidFill>
                <a:schemeClr val="tx1">
                  <a:lumMod val="50000"/>
                  <a:lumOff val="50000"/>
                </a:schemeClr>
              </a:solidFill>
            </a:rPr>
            <a:t>1er filtro</a:t>
          </a:r>
        </a:p>
      </xdr:txBody>
    </xdr:sp>
    <xdr:clientData/>
  </xdr:twoCellAnchor>
  <xdr:twoCellAnchor>
    <xdr:from>
      <xdr:col>3</xdr:col>
      <xdr:colOff>769620</xdr:colOff>
      <xdr:row>19</xdr:row>
      <xdr:rowOff>45720</xdr:rowOff>
    </xdr:from>
    <xdr:to>
      <xdr:col>5</xdr:col>
      <xdr:colOff>160020</xdr:colOff>
      <xdr:row>21</xdr:row>
      <xdr:rowOff>106680</xdr:rowOff>
    </xdr:to>
    <xdr:sp macro="" textlink="">
      <xdr:nvSpPr>
        <xdr:cNvPr id="14" name="CuadroTexto 13"/>
        <xdr:cNvSpPr txBox="1"/>
      </xdr:nvSpPr>
      <xdr:spPr>
        <a:xfrm>
          <a:off x="2887980" y="3345180"/>
          <a:ext cx="975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900" b="1">
              <a:solidFill>
                <a:schemeClr val="tx1">
                  <a:lumMod val="50000"/>
                  <a:lumOff val="50000"/>
                </a:schemeClr>
              </a:solidFill>
            </a:rPr>
            <a:t>2do Filtro</a:t>
          </a:r>
        </a:p>
      </xdr:txBody>
    </xdr:sp>
    <xdr:clientData/>
  </xdr:twoCellAnchor>
  <xdr:twoCellAnchor>
    <xdr:from>
      <xdr:col>5</xdr:col>
      <xdr:colOff>365760</xdr:colOff>
      <xdr:row>13</xdr:row>
      <xdr:rowOff>171450</xdr:rowOff>
    </xdr:from>
    <xdr:to>
      <xdr:col>6</xdr:col>
      <xdr:colOff>563880</xdr:colOff>
      <xdr:row>15</xdr:row>
      <xdr:rowOff>142875</xdr:rowOff>
    </xdr:to>
    <xdr:sp macro="" textlink="">
      <xdr:nvSpPr>
        <xdr:cNvPr id="15" name="Rectángulo 14"/>
        <xdr:cNvSpPr/>
      </xdr:nvSpPr>
      <xdr:spPr>
        <a:xfrm>
          <a:off x="3928110" y="2828925"/>
          <a:ext cx="960120" cy="3524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388620</xdr:colOff>
      <xdr:row>19</xdr:row>
      <xdr:rowOff>38100</xdr:rowOff>
    </xdr:from>
    <xdr:to>
      <xdr:col>6</xdr:col>
      <xdr:colOff>571500</xdr:colOff>
      <xdr:row>21</xdr:row>
      <xdr:rowOff>99060</xdr:rowOff>
    </xdr:to>
    <xdr:sp macro="" textlink="">
      <xdr:nvSpPr>
        <xdr:cNvPr id="16" name="CuadroTexto 15"/>
        <xdr:cNvSpPr txBox="1"/>
      </xdr:nvSpPr>
      <xdr:spPr>
        <a:xfrm>
          <a:off x="4091940" y="3337560"/>
          <a:ext cx="975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900" b="1">
              <a:solidFill>
                <a:schemeClr val="tx1">
                  <a:lumMod val="50000"/>
                  <a:lumOff val="50000"/>
                </a:schemeClr>
              </a:solidFill>
            </a:rPr>
            <a:t>3er Filtro</a:t>
          </a:r>
        </a:p>
      </xdr:txBody>
    </xdr:sp>
    <xdr:clientData/>
  </xdr:twoCellAnchor>
  <xdr:twoCellAnchor>
    <xdr:from>
      <xdr:col>6</xdr:col>
      <xdr:colOff>708660</xdr:colOff>
      <xdr:row>15</xdr:row>
      <xdr:rowOff>171450</xdr:rowOff>
    </xdr:from>
    <xdr:to>
      <xdr:col>8</xdr:col>
      <xdr:colOff>114300</xdr:colOff>
      <xdr:row>18</xdr:row>
      <xdr:rowOff>129539</xdr:rowOff>
    </xdr:to>
    <xdr:sp macro="" textlink="">
      <xdr:nvSpPr>
        <xdr:cNvPr id="17" name="Rectángulo 16"/>
        <xdr:cNvSpPr/>
      </xdr:nvSpPr>
      <xdr:spPr>
        <a:xfrm>
          <a:off x="5033010" y="3209925"/>
          <a:ext cx="929640" cy="52958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723900</xdr:colOff>
      <xdr:row>19</xdr:row>
      <xdr:rowOff>45720</xdr:rowOff>
    </xdr:from>
    <xdr:to>
      <xdr:col>8</xdr:col>
      <xdr:colOff>114300</xdr:colOff>
      <xdr:row>21</xdr:row>
      <xdr:rowOff>106680</xdr:rowOff>
    </xdr:to>
    <xdr:sp macro="" textlink="">
      <xdr:nvSpPr>
        <xdr:cNvPr id="19" name="CuadroTexto 18"/>
        <xdr:cNvSpPr txBox="1"/>
      </xdr:nvSpPr>
      <xdr:spPr>
        <a:xfrm>
          <a:off x="5219700" y="3345180"/>
          <a:ext cx="975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900" b="1">
              <a:solidFill>
                <a:schemeClr val="tx1">
                  <a:lumMod val="50000"/>
                  <a:lumOff val="50000"/>
                </a:schemeClr>
              </a:solidFill>
            </a:rPr>
            <a:t>Base a Segmentar</a:t>
          </a:r>
        </a:p>
      </xdr:txBody>
    </xdr:sp>
    <xdr:clientData/>
  </xdr:twoCellAnchor>
  <xdr:twoCellAnchor>
    <xdr:from>
      <xdr:col>1</xdr:col>
      <xdr:colOff>217170</xdr:colOff>
      <xdr:row>4</xdr:row>
      <xdr:rowOff>135255</xdr:rowOff>
    </xdr:from>
    <xdr:to>
      <xdr:col>2</xdr:col>
      <xdr:colOff>72390</xdr:colOff>
      <xdr:row>6</xdr:row>
      <xdr:rowOff>28575</xdr:rowOff>
    </xdr:to>
    <xdr:sp macro="" textlink="">
      <xdr:nvSpPr>
        <xdr:cNvPr id="20" name="CuadroTexto 19"/>
        <xdr:cNvSpPr txBox="1"/>
      </xdr:nvSpPr>
      <xdr:spPr>
        <a:xfrm>
          <a:off x="731520" y="1078230"/>
          <a:ext cx="617220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1">
              <a:solidFill>
                <a:schemeClr val="tx1">
                  <a:lumMod val="50000"/>
                  <a:lumOff val="50000"/>
                </a:schemeClr>
              </a:solidFill>
            </a:rPr>
            <a:t>4.0 M</a:t>
          </a:r>
        </a:p>
      </xdr:txBody>
    </xdr:sp>
    <xdr:clientData/>
  </xdr:twoCellAnchor>
  <xdr:twoCellAnchor>
    <xdr:from>
      <xdr:col>2</xdr:col>
      <xdr:colOff>590549</xdr:colOff>
      <xdr:row>4</xdr:row>
      <xdr:rowOff>142875</xdr:rowOff>
    </xdr:from>
    <xdr:to>
      <xdr:col>3</xdr:col>
      <xdr:colOff>542924</xdr:colOff>
      <xdr:row>6</xdr:row>
      <xdr:rowOff>36195</xdr:rowOff>
    </xdr:to>
    <xdr:sp macro="" textlink="">
      <xdr:nvSpPr>
        <xdr:cNvPr id="21" name="CuadroTexto 19"/>
        <xdr:cNvSpPr txBox="1"/>
      </xdr:nvSpPr>
      <xdr:spPr>
        <a:xfrm>
          <a:off x="1866899" y="1085850"/>
          <a:ext cx="714375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1">
              <a:solidFill>
                <a:schemeClr val="tx1">
                  <a:lumMod val="50000"/>
                  <a:lumOff val="50000"/>
                </a:schemeClr>
              </a:solidFill>
            </a:rPr>
            <a:t>2.0</a:t>
          </a:r>
          <a:r>
            <a:rPr lang="es-PE" sz="1000" b="1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PE" sz="1000" b="1">
              <a:solidFill>
                <a:schemeClr val="tx1">
                  <a:lumMod val="50000"/>
                  <a:lumOff val="50000"/>
                </a:schemeClr>
              </a:solidFill>
            </a:rPr>
            <a:t>M</a:t>
          </a:r>
        </a:p>
      </xdr:txBody>
    </xdr:sp>
    <xdr:clientData/>
  </xdr:twoCellAnchor>
  <xdr:twoCellAnchor>
    <xdr:from>
      <xdr:col>4</xdr:col>
      <xdr:colOff>200025</xdr:colOff>
      <xdr:row>9</xdr:row>
      <xdr:rowOff>85725</xdr:rowOff>
    </xdr:from>
    <xdr:to>
      <xdr:col>5</xdr:col>
      <xdr:colOff>55245</xdr:colOff>
      <xdr:row>10</xdr:row>
      <xdr:rowOff>169545</xdr:rowOff>
    </xdr:to>
    <xdr:sp macro="" textlink="">
      <xdr:nvSpPr>
        <xdr:cNvPr id="22" name="CuadroTexto 19"/>
        <xdr:cNvSpPr txBox="1"/>
      </xdr:nvSpPr>
      <xdr:spPr>
        <a:xfrm>
          <a:off x="3000375" y="1981200"/>
          <a:ext cx="617220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1">
              <a:solidFill>
                <a:schemeClr val="tx1">
                  <a:lumMod val="50000"/>
                  <a:lumOff val="50000"/>
                </a:schemeClr>
              </a:solidFill>
            </a:rPr>
            <a:t>0.6 M </a:t>
          </a:r>
        </a:p>
      </xdr:txBody>
    </xdr:sp>
    <xdr:clientData/>
  </xdr:twoCellAnchor>
  <xdr:twoCellAnchor>
    <xdr:from>
      <xdr:col>5</xdr:col>
      <xdr:colOff>552450</xdr:colOff>
      <xdr:row>12</xdr:row>
      <xdr:rowOff>38100</xdr:rowOff>
    </xdr:from>
    <xdr:to>
      <xdr:col>6</xdr:col>
      <xdr:colOff>407670</xdr:colOff>
      <xdr:row>13</xdr:row>
      <xdr:rowOff>121920</xdr:rowOff>
    </xdr:to>
    <xdr:sp macro="" textlink="">
      <xdr:nvSpPr>
        <xdr:cNvPr id="23" name="CuadroTexto 19"/>
        <xdr:cNvSpPr txBox="1"/>
      </xdr:nvSpPr>
      <xdr:spPr>
        <a:xfrm>
          <a:off x="4114800" y="2505075"/>
          <a:ext cx="617220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1">
              <a:solidFill>
                <a:schemeClr val="tx1">
                  <a:lumMod val="50000"/>
                  <a:lumOff val="50000"/>
                </a:schemeClr>
              </a:solidFill>
            </a:rPr>
            <a:t>0.4M</a:t>
          </a:r>
        </a:p>
      </xdr:txBody>
    </xdr:sp>
    <xdr:clientData/>
  </xdr:twoCellAnchor>
  <xdr:twoCellAnchor>
    <xdr:from>
      <xdr:col>7</xdr:col>
      <xdr:colOff>114300</xdr:colOff>
      <xdr:row>14</xdr:row>
      <xdr:rowOff>57150</xdr:rowOff>
    </xdr:from>
    <xdr:to>
      <xdr:col>7</xdr:col>
      <xdr:colOff>731520</xdr:colOff>
      <xdr:row>15</xdr:row>
      <xdr:rowOff>140970</xdr:rowOff>
    </xdr:to>
    <xdr:sp macro="" textlink="">
      <xdr:nvSpPr>
        <xdr:cNvPr id="24" name="CuadroTexto 19"/>
        <xdr:cNvSpPr txBox="1"/>
      </xdr:nvSpPr>
      <xdr:spPr>
        <a:xfrm>
          <a:off x="5200650" y="2905125"/>
          <a:ext cx="617220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1">
              <a:solidFill>
                <a:schemeClr val="tx1">
                  <a:lumMod val="50000"/>
                  <a:lumOff val="50000"/>
                </a:schemeClr>
              </a:solidFill>
            </a:rPr>
            <a:t>1.0 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121920</xdr:colOff>
      <xdr:row>5</xdr:row>
      <xdr:rowOff>99060</xdr:rowOff>
    </xdr:from>
    <xdr:to>
      <xdr:col>27</xdr:col>
      <xdr:colOff>731520</xdr:colOff>
      <xdr:row>15</xdr:row>
      <xdr:rowOff>106680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129540</xdr:colOff>
      <xdr:row>16</xdr:row>
      <xdr:rowOff>129540</xdr:rowOff>
    </xdr:from>
    <xdr:to>
      <xdr:col>27</xdr:col>
      <xdr:colOff>739140</xdr:colOff>
      <xdr:row>26</xdr:row>
      <xdr:rowOff>137160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129540</xdr:colOff>
      <xdr:row>27</xdr:row>
      <xdr:rowOff>160020</xdr:rowOff>
    </xdr:from>
    <xdr:to>
      <xdr:col>27</xdr:col>
      <xdr:colOff>739140</xdr:colOff>
      <xdr:row>37</xdr:row>
      <xdr:rowOff>167640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121920</xdr:colOff>
      <xdr:row>5</xdr:row>
      <xdr:rowOff>99060</xdr:rowOff>
    </xdr:from>
    <xdr:to>
      <xdr:col>27</xdr:col>
      <xdr:colOff>731520</xdr:colOff>
      <xdr:row>15</xdr:row>
      <xdr:rowOff>106680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129540</xdr:colOff>
      <xdr:row>16</xdr:row>
      <xdr:rowOff>129540</xdr:rowOff>
    </xdr:from>
    <xdr:to>
      <xdr:col>27</xdr:col>
      <xdr:colOff>739140</xdr:colOff>
      <xdr:row>26</xdr:row>
      <xdr:rowOff>137160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129540</xdr:colOff>
      <xdr:row>27</xdr:row>
      <xdr:rowOff>160020</xdr:rowOff>
    </xdr:from>
    <xdr:to>
      <xdr:col>27</xdr:col>
      <xdr:colOff>739140</xdr:colOff>
      <xdr:row>37</xdr:row>
      <xdr:rowOff>167640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160020</xdr:colOff>
      <xdr:row>38</xdr:row>
      <xdr:rowOff>274320</xdr:rowOff>
    </xdr:from>
    <xdr:to>
      <xdr:col>27</xdr:col>
      <xdr:colOff>769620</xdr:colOff>
      <xdr:row>47</xdr:row>
      <xdr:rowOff>259080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121920</xdr:colOff>
      <xdr:row>5</xdr:row>
      <xdr:rowOff>99060</xdr:rowOff>
    </xdr:from>
    <xdr:to>
      <xdr:col>27</xdr:col>
      <xdr:colOff>731520</xdr:colOff>
      <xdr:row>15</xdr:row>
      <xdr:rowOff>106680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129540</xdr:colOff>
      <xdr:row>16</xdr:row>
      <xdr:rowOff>129540</xdr:rowOff>
    </xdr:from>
    <xdr:to>
      <xdr:col>27</xdr:col>
      <xdr:colOff>739140</xdr:colOff>
      <xdr:row>26</xdr:row>
      <xdr:rowOff>137160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129540</xdr:colOff>
      <xdr:row>27</xdr:row>
      <xdr:rowOff>160020</xdr:rowOff>
    </xdr:from>
    <xdr:to>
      <xdr:col>27</xdr:col>
      <xdr:colOff>739140</xdr:colOff>
      <xdr:row>37</xdr:row>
      <xdr:rowOff>167640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160020</xdr:colOff>
      <xdr:row>38</xdr:row>
      <xdr:rowOff>274320</xdr:rowOff>
    </xdr:from>
    <xdr:to>
      <xdr:col>27</xdr:col>
      <xdr:colOff>769620</xdr:colOff>
      <xdr:row>47</xdr:row>
      <xdr:rowOff>259080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205740</xdr:colOff>
      <xdr:row>50</xdr:row>
      <xdr:rowOff>15240</xdr:rowOff>
    </xdr:from>
    <xdr:to>
      <xdr:col>28</xdr:col>
      <xdr:colOff>22860</xdr:colOff>
      <xdr:row>58</xdr:row>
      <xdr:rowOff>160020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243840</xdr:colOff>
      <xdr:row>60</xdr:row>
      <xdr:rowOff>114300</xdr:rowOff>
    </xdr:from>
    <xdr:to>
      <xdr:col>28</xdr:col>
      <xdr:colOff>60960</xdr:colOff>
      <xdr:row>69</xdr:row>
      <xdr:rowOff>167640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251460</xdr:colOff>
      <xdr:row>71</xdr:row>
      <xdr:rowOff>106680</xdr:rowOff>
    </xdr:from>
    <xdr:to>
      <xdr:col>28</xdr:col>
      <xdr:colOff>68580</xdr:colOff>
      <xdr:row>80</xdr:row>
      <xdr:rowOff>228600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243840</xdr:colOff>
      <xdr:row>82</xdr:row>
      <xdr:rowOff>205740</xdr:rowOff>
    </xdr:from>
    <xdr:to>
      <xdr:col>28</xdr:col>
      <xdr:colOff>60960</xdr:colOff>
      <xdr:row>91</xdr:row>
      <xdr:rowOff>121920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243840</xdr:colOff>
      <xdr:row>94</xdr:row>
      <xdr:rowOff>22860</xdr:rowOff>
    </xdr:from>
    <xdr:to>
      <xdr:col>28</xdr:col>
      <xdr:colOff>60960</xdr:colOff>
      <xdr:row>103</xdr:row>
      <xdr:rowOff>76200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243840</xdr:colOff>
      <xdr:row>104</xdr:row>
      <xdr:rowOff>175260</xdr:rowOff>
    </xdr:from>
    <xdr:to>
      <xdr:col>28</xdr:col>
      <xdr:colOff>60960</xdr:colOff>
      <xdr:row>113</xdr:row>
      <xdr:rowOff>22860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121920</xdr:colOff>
      <xdr:row>5</xdr:row>
      <xdr:rowOff>99060</xdr:rowOff>
    </xdr:from>
    <xdr:to>
      <xdr:col>27</xdr:col>
      <xdr:colOff>731520</xdr:colOff>
      <xdr:row>15</xdr:row>
      <xdr:rowOff>106680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129540</xdr:colOff>
      <xdr:row>16</xdr:row>
      <xdr:rowOff>129540</xdr:rowOff>
    </xdr:from>
    <xdr:to>
      <xdr:col>27</xdr:col>
      <xdr:colOff>739140</xdr:colOff>
      <xdr:row>26</xdr:row>
      <xdr:rowOff>137160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129540</xdr:colOff>
      <xdr:row>27</xdr:row>
      <xdr:rowOff>160020</xdr:rowOff>
    </xdr:from>
    <xdr:to>
      <xdr:col>27</xdr:col>
      <xdr:colOff>739140</xdr:colOff>
      <xdr:row>37</xdr:row>
      <xdr:rowOff>167640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160020</xdr:colOff>
      <xdr:row>38</xdr:row>
      <xdr:rowOff>274320</xdr:rowOff>
    </xdr:from>
    <xdr:to>
      <xdr:col>27</xdr:col>
      <xdr:colOff>769620</xdr:colOff>
      <xdr:row>47</xdr:row>
      <xdr:rowOff>259080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205740</xdr:colOff>
      <xdr:row>50</xdr:row>
      <xdr:rowOff>15240</xdr:rowOff>
    </xdr:from>
    <xdr:to>
      <xdr:col>28</xdr:col>
      <xdr:colOff>22860</xdr:colOff>
      <xdr:row>58</xdr:row>
      <xdr:rowOff>160020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243840</xdr:colOff>
      <xdr:row>60</xdr:row>
      <xdr:rowOff>114300</xdr:rowOff>
    </xdr:from>
    <xdr:to>
      <xdr:col>28</xdr:col>
      <xdr:colOff>60960</xdr:colOff>
      <xdr:row>69</xdr:row>
      <xdr:rowOff>167640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251460</xdr:colOff>
      <xdr:row>71</xdr:row>
      <xdr:rowOff>106680</xdr:rowOff>
    </xdr:from>
    <xdr:to>
      <xdr:col>28</xdr:col>
      <xdr:colOff>68580</xdr:colOff>
      <xdr:row>80</xdr:row>
      <xdr:rowOff>228600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243840</xdr:colOff>
      <xdr:row>82</xdr:row>
      <xdr:rowOff>205740</xdr:rowOff>
    </xdr:from>
    <xdr:to>
      <xdr:col>28</xdr:col>
      <xdr:colOff>60960</xdr:colOff>
      <xdr:row>91</xdr:row>
      <xdr:rowOff>121920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243840</xdr:colOff>
      <xdr:row>94</xdr:row>
      <xdr:rowOff>22860</xdr:rowOff>
    </xdr:from>
    <xdr:to>
      <xdr:col>28</xdr:col>
      <xdr:colOff>60960</xdr:colOff>
      <xdr:row>103</xdr:row>
      <xdr:rowOff>76200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243840</xdr:colOff>
      <xdr:row>104</xdr:row>
      <xdr:rowOff>175260</xdr:rowOff>
    </xdr:from>
    <xdr:to>
      <xdr:col>28</xdr:col>
      <xdr:colOff>60960</xdr:colOff>
      <xdr:row>113</xdr:row>
      <xdr:rowOff>22860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205740</xdr:colOff>
      <xdr:row>115</xdr:row>
      <xdr:rowOff>213360</xdr:rowOff>
    </xdr:from>
    <xdr:to>
      <xdr:col>28</xdr:col>
      <xdr:colOff>22860</xdr:colOff>
      <xdr:row>125</xdr:row>
      <xdr:rowOff>68580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54</xdr:col>
      <xdr:colOff>274320</xdr:colOff>
      <xdr:row>4</xdr:row>
      <xdr:rowOff>335280</xdr:rowOff>
    </xdr:from>
    <xdr:to>
      <xdr:col>59</xdr:col>
      <xdr:colOff>91440</xdr:colOff>
      <xdr:row>14</xdr:row>
      <xdr:rowOff>243840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54</xdr:col>
      <xdr:colOff>297180</xdr:colOff>
      <xdr:row>16</xdr:row>
      <xdr:rowOff>83820</xdr:rowOff>
    </xdr:from>
    <xdr:to>
      <xdr:col>59</xdr:col>
      <xdr:colOff>114300</xdr:colOff>
      <xdr:row>26</xdr:row>
      <xdr:rowOff>91440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54</xdr:col>
      <xdr:colOff>289560</xdr:colOff>
      <xdr:row>27</xdr:row>
      <xdr:rowOff>76200</xdr:rowOff>
    </xdr:from>
    <xdr:to>
      <xdr:col>59</xdr:col>
      <xdr:colOff>106680</xdr:colOff>
      <xdr:row>37</xdr:row>
      <xdr:rowOff>83820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54</xdr:col>
      <xdr:colOff>312420</xdr:colOff>
      <xdr:row>39</xdr:row>
      <xdr:rowOff>137160</xdr:rowOff>
    </xdr:from>
    <xdr:to>
      <xdr:col>59</xdr:col>
      <xdr:colOff>129540</xdr:colOff>
      <xdr:row>48</xdr:row>
      <xdr:rowOff>121920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54</xdr:col>
      <xdr:colOff>320040</xdr:colOff>
      <xdr:row>50</xdr:row>
      <xdr:rowOff>76200</xdr:rowOff>
    </xdr:from>
    <xdr:to>
      <xdr:col>59</xdr:col>
      <xdr:colOff>137160</xdr:colOff>
      <xdr:row>58</xdr:row>
      <xdr:rowOff>220980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54</xdr:col>
      <xdr:colOff>320040</xdr:colOff>
      <xdr:row>61</xdr:row>
      <xdr:rowOff>22860</xdr:rowOff>
    </xdr:from>
    <xdr:to>
      <xdr:col>59</xdr:col>
      <xdr:colOff>137160</xdr:colOff>
      <xdr:row>70</xdr:row>
      <xdr:rowOff>76200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54</xdr:col>
      <xdr:colOff>327660</xdr:colOff>
      <xdr:row>71</xdr:row>
      <xdr:rowOff>243840</xdr:rowOff>
    </xdr:from>
    <xdr:to>
      <xdr:col>59</xdr:col>
      <xdr:colOff>144780</xdr:colOff>
      <xdr:row>81</xdr:row>
      <xdr:rowOff>99060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54</xdr:col>
      <xdr:colOff>358140</xdr:colOff>
      <xdr:row>83</xdr:row>
      <xdr:rowOff>76200</xdr:rowOff>
    </xdr:from>
    <xdr:to>
      <xdr:col>59</xdr:col>
      <xdr:colOff>175260</xdr:colOff>
      <xdr:row>91</xdr:row>
      <xdr:rowOff>281940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56</xdr:col>
      <xdr:colOff>716280</xdr:colOff>
      <xdr:row>6</xdr:row>
      <xdr:rowOff>129540</xdr:rowOff>
    </xdr:from>
    <xdr:to>
      <xdr:col>57</xdr:col>
      <xdr:colOff>350520</xdr:colOff>
      <xdr:row>9</xdr:row>
      <xdr:rowOff>15240</xdr:rowOff>
    </xdr:to>
    <xdr:cxnSp macro="">
      <xdr:nvCxnSpPr>
        <xdr:cNvPr id="22" name="Conector recto 21"/>
        <xdr:cNvCxnSpPr/>
      </xdr:nvCxnSpPr>
      <xdr:spPr>
        <a:xfrm flipH="1">
          <a:off x="43113960" y="1470660"/>
          <a:ext cx="426720" cy="640080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571500</xdr:colOff>
      <xdr:row>5</xdr:row>
      <xdr:rowOff>220980</xdr:rowOff>
    </xdr:from>
    <xdr:to>
      <xdr:col>56</xdr:col>
      <xdr:colOff>586740</xdr:colOff>
      <xdr:row>8</xdr:row>
      <xdr:rowOff>228600</xdr:rowOff>
    </xdr:to>
    <xdr:cxnSp macro="">
      <xdr:nvCxnSpPr>
        <xdr:cNvPr id="26" name="Conector recto 25"/>
        <xdr:cNvCxnSpPr/>
      </xdr:nvCxnSpPr>
      <xdr:spPr>
        <a:xfrm flipH="1">
          <a:off x="42969180" y="1310640"/>
          <a:ext cx="15240" cy="762000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30480</xdr:colOff>
      <xdr:row>6</xdr:row>
      <xdr:rowOff>129540</xdr:rowOff>
    </xdr:from>
    <xdr:to>
      <xdr:col>56</xdr:col>
      <xdr:colOff>426720</xdr:colOff>
      <xdr:row>9</xdr:row>
      <xdr:rowOff>22860</xdr:rowOff>
    </xdr:to>
    <xdr:cxnSp macro="">
      <xdr:nvCxnSpPr>
        <xdr:cNvPr id="28" name="Conector recto 27"/>
        <xdr:cNvCxnSpPr/>
      </xdr:nvCxnSpPr>
      <xdr:spPr>
        <a:xfrm>
          <a:off x="42428160" y="1470660"/>
          <a:ext cx="396240" cy="647700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441960</xdr:colOff>
      <xdr:row>8</xdr:row>
      <xdr:rowOff>60960</xdr:rowOff>
    </xdr:from>
    <xdr:to>
      <xdr:col>56</xdr:col>
      <xdr:colOff>350520</xdr:colOff>
      <xdr:row>9</xdr:row>
      <xdr:rowOff>137160</xdr:rowOff>
    </xdr:to>
    <xdr:cxnSp macro="">
      <xdr:nvCxnSpPr>
        <xdr:cNvPr id="30" name="Conector recto 29"/>
        <xdr:cNvCxnSpPr/>
      </xdr:nvCxnSpPr>
      <xdr:spPr>
        <a:xfrm>
          <a:off x="42047160" y="1905000"/>
          <a:ext cx="701040" cy="327660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339969</xdr:colOff>
      <xdr:row>10</xdr:row>
      <xdr:rowOff>41034</xdr:rowOff>
    </xdr:from>
    <xdr:to>
      <xdr:col>56</xdr:col>
      <xdr:colOff>332935</xdr:colOff>
      <xdr:row>10</xdr:row>
      <xdr:rowOff>134815</xdr:rowOff>
    </xdr:to>
    <xdr:cxnSp macro="">
      <xdr:nvCxnSpPr>
        <xdr:cNvPr id="33" name="Conector recto 32"/>
        <xdr:cNvCxnSpPr/>
      </xdr:nvCxnSpPr>
      <xdr:spPr>
        <a:xfrm flipV="1">
          <a:off x="41880692" y="2391511"/>
          <a:ext cx="784274" cy="93781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597877</xdr:colOff>
      <xdr:row>10</xdr:row>
      <xdr:rowOff>164130</xdr:rowOff>
    </xdr:from>
    <xdr:to>
      <xdr:col>56</xdr:col>
      <xdr:colOff>385689</xdr:colOff>
      <xdr:row>12</xdr:row>
      <xdr:rowOff>169985</xdr:rowOff>
    </xdr:to>
    <xdr:cxnSp macro="">
      <xdr:nvCxnSpPr>
        <xdr:cNvPr id="35" name="Conector recto 34"/>
        <xdr:cNvCxnSpPr/>
      </xdr:nvCxnSpPr>
      <xdr:spPr>
        <a:xfrm flipV="1">
          <a:off x="42138600" y="2514607"/>
          <a:ext cx="579120" cy="509947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281354</xdr:colOff>
      <xdr:row>10</xdr:row>
      <xdr:rowOff>228608</xdr:rowOff>
    </xdr:from>
    <xdr:to>
      <xdr:col>56</xdr:col>
      <xdr:colOff>514643</xdr:colOff>
      <xdr:row>13</xdr:row>
      <xdr:rowOff>222739</xdr:rowOff>
    </xdr:to>
    <xdr:cxnSp macro="">
      <xdr:nvCxnSpPr>
        <xdr:cNvPr id="38" name="Conector recto 37"/>
        <xdr:cNvCxnSpPr/>
      </xdr:nvCxnSpPr>
      <xdr:spPr>
        <a:xfrm flipV="1">
          <a:off x="42613385" y="2579085"/>
          <a:ext cx="233289" cy="750269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661181</xdr:colOff>
      <xdr:row>10</xdr:row>
      <xdr:rowOff>216886</xdr:rowOff>
    </xdr:from>
    <xdr:to>
      <xdr:col>57</xdr:col>
      <xdr:colOff>82062</xdr:colOff>
      <xdr:row>13</xdr:row>
      <xdr:rowOff>228600</xdr:rowOff>
    </xdr:to>
    <xdr:cxnSp macro="">
      <xdr:nvCxnSpPr>
        <xdr:cNvPr id="41" name="Conector recto 40"/>
        <xdr:cNvCxnSpPr/>
      </xdr:nvCxnSpPr>
      <xdr:spPr>
        <a:xfrm flipH="1" flipV="1">
          <a:off x="42993212" y="2567363"/>
          <a:ext cx="212188" cy="767852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778412</xdr:colOff>
      <xdr:row>10</xdr:row>
      <xdr:rowOff>152409</xdr:rowOff>
    </xdr:from>
    <xdr:to>
      <xdr:col>57</xdr:col>
      <xdr:colOff>580293</xdr:colOff>
      <xdr:row>12</xdr:row>
      <xdr:rowOff>164123</xdr:rowOff>
    </xdr:to>
    <xdr:cxnSp macro="">
      <xdr:nvCxnSpPr>
        <xdr:cNvPr id="43" name="Conector recto 42"/>
        <xdr:cNvCxnSpPr/>
      </xdr:nvCxnSpPr>
      <xdr:spPr>
        <a:xfrm flipH="1" flipV="1">
          <a:off x="43110443" y="2502886"/>
          <a:ext cx="593188" cy="515806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51583</xdr:colOff>
      <xdr:row>10</xdr:row>
      <xdr:rowOff>23454</xdr:rowOff>
    </xdr:from>
    <xdr:to>
      <xdr:col>58</xdr:col>
      <xdr:colOff>11723</xdr:colOff>
      <xdr:row>10</xdr:row>
      <xdr:rowOff>140677</xdr:rowOff>
    </xdr:to>
    <xdr:cxnSp macro="">
      <xdr:nvCxnSpPr>
        <xdr:cNvPr id="45" name="Conector recto 44"/>
        <xdr:cNvCxnSpPr/>
      </xdr:nvCxnSpPr>
      <xdr:spPr>
        <a:xfrm flipH="1" flipV="1">
          <a:off x="43174921" y="2373931"/>
          <a:ext cx="751448" cy="117223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16414</xdr:colOff>
      <xdr:row>8</xdr:row>
      <xdr:rowOff>46892</xdr:rowOff>
    </xdr:from>
    <xdr:to>
      <xdr:col>57</xdr:col>
      <xdr:colOff>732693</xdr:colOff>
      <xdr:row>9</xdr:row>
      <xdr:rowOff>128960</xdr:rowOff>
    </xdr:to>
    <xdr:cxnSp macro="">
      <xdr:nvCxnSpPr>
        <xdr:cNvPr id="48" name="Conector recto 47"/>
        <xdr:cNvCxnSpPr/>
      </xdr:nvCxnSpPr>
      <xdr:spPr>
        <a:xfrm flipH="1">
          <a:off x="43139752" y="1893277"/>
          <a:ext cx="716279" cy="334114"/>
        </a:xfrm>
        <a:prstGeom prst="line">
          <a:avLst/>
        </a:prstGeom>
        <a:ln>
          <a:solidFill>
            <a:schemeClr val="bg1">
              <a:lumMod val="6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5</xdr:col>
      <xdr:colOff>533400</xdr:colOff>
      <xdr:row>16</xdr:row>
      <xdr:rowOff>114300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632460</xdr:colOff>
      <xdr:row>7</xdr:row>
      <xdr:rowOff>7620</xdr:rowOff>
    </xdr:from>
    <xdr:to>
      <xdr:col>8</xdr:col>
      <xdr:colOff>373380</xdr:colOff>
      <xdr:row>16</xdr:row>
      <xdr:rowOff>121920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464820</xdr:colOff>
      <xdr:row>7</xdr:row>
      <xdr:rowOff>7620</xdr:rowOff>
    </xdr:from>
    <xdr:to>
      <xdr:col>11</xdr:col>
      <xdr:colOff>205740</xdr:colOff>
      <xdr:row>16</xdr:row>
      <xdr:rowOff>121920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358140</xdr:colOff>
      <xdr:row>18</xdr:row>
      <xdr:rowOff>175260</xdr:rowOff>
    </xdr:from>
    <xdr:to>
      <xdr:col>14</xdr:col>
      <xdr:colOff>114300</xdr:colOff>
      <xdr:row>29</xdr:row>
      <xdr:rowOff>83820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19</xdr:row>
      <xdr:rowOff>0</xdr:rowOff>
    </xdr:from>
    <xdr:to>
      <xdr:col>5</xdr:col>
      <xdr:colOff>556260</xdr:colOff>
      <xdr:row>29</xdr:row>
      <xdr:rowOff>99060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640080</xdr:colOff>
      <xdr:row>18</xdr:row>
      <xdr:rowOff>175260</xdr:rowOff>
    </xdr:from>
    <xdr:to>
      <xdr:col>8</xdr:col>
      <xdr:colOff>411480</xdr:colOff>
      <xdr:row>29</xdr:row>
      <xdr:rowOff>91440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472440</xdr:colOff>
      <xdr:row>18</xdr:row>
      <xdr:rowOff>175260</xdr:rowOff>
    </xdr:from>
    <xdr:to>
      <xdr:col>11</xdr:col>
      <xdr:colOff>243840</xdr:colOff>
      <xdr:row>29</xdr:row>
      <xdr:rowOff>91440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31</xdr:row>
      <xdr:rowOff>175260</xdr:rowOff>
    </xdr:from>
    <xdr:to>
      <xdr:col>5</xdr:col>
      <xdr:colOff>556260</xdr:colOff>
      <xdr:row>43</xdr:row>
      <xdr:rowOff>160020</xdr:rowOff>
    </xdr:to>
    <xdr:graphicFrame macro="">
      <xdr:nvGraphicFramePr>
        <xdr:cNvPr id="52" name="Gráfico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640080</xdr:colOff>
      <xdr:row>32</xdr:row>
      <xdr:rowOff>22860</xdr:rowOff>
    </xdr:from>
    <xdr:to>
      <xdr:col>8</xdr:col>
      <xdr:colOff>403860</xdr:colOff>
      <xdr:row>44</xdr:row>
      <xdr:rowOff>7620</xdr:rowOff>
    </xdr:to>
    <xdr:graphicFrame macro="">
      <xdr:nvGraphicFramePr>
        <xdr:cNvPr id="53" name="Gráfico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541020</xdr:colOff>
      <xdr:row>32</xdr:row>
      <xdr:rowOff>15240</xdr:rowOff>
    </xdr:from>
    <xdr:to>
      <xdr:col>11</xdr:col>
      <xdr:colOff>304800</xdr:colOff>
      <xdr:row>44</xdr:row>
      <xdr:rowOff>0</xdr:rowOff>
    </xdr:to>
    <xdr:graphicFrame macro="">
      <xdr:nvGraphicFramePr>
        <xdr:cNvPr id="54" name="Gráfico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396240</xdr:colOff>
      <xdr:row>32</xdr:row>
      <xdr:rowOff>7620</xdr:rowOff>
    </xdr:from>
    <xdr:to>
      <xdr:col>14</xdr:col>
      <xdr:colOff>160020</xdr:colOff>
      <xdr:row>43</xdr:row>
      <xdr:rowOff>175260</xdr:rowOff>
    </xdr:to>
    <xdr:graphicFrame macro="">
      <xdr:nvGraphicFramePr>
        <xdr:cNvPr id="55" name="Gráfico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281940</xdr:colOff>
      <xdr:row>32</xdr:row>
      <xdr:rowOff>0</xdr:rowOff>
    </xdr:from>
    <xdr:to>
      <xdr:col>17</xdr:col>
      <xdr:colOff>45720</xdr:colOff>
      <xdr:row>43</xdr:row>
      <xdr:rowOff>167640</xdr:rowOff>
    </xdr:to>
    <xdr:graphicFrame macro="">
      <xdr:nvGraphicFramePr>
        <xdr:cNvPr id="56" name="Gráfico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152400</xdr:colOff>
      <xdr:row>32</xdr:row>
      <xdr:rowOff>0</xdr:rowOff>
    </xdr:from>
    <xdr:to>
      <xdr:col>19</xdr:col>
      <xdr:colOff>708660</xdr:colOff>
      <xdr:row>43</xdr:row>
      <xdr:rowOff>167640</xdr:rowOff>
    </xdr:to>
    <xdr:graphicFrame macro="">
      <xdr:nvGraphicFramePr>
        <xdr:cNvPr id="57" name="Gráfico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7620</xdr:colOff>
      <xdr:row>31</xdr:row>
      <xdr:rowOff>175260</xdr:rowOff>
    </xdr:from>
    <xdr:to>
      <xdr:col>22</xdr:col>
      <xdr:colOff>563880</xdr:colOff>
      <xdr:row>43</xdr:row>
      <xdr:rowOff>160020</xdr:rowOff>
    </xdr:to>
    <xdr:graphicFrame macro="">
      <xdr:nvGraphicFramePr>
        <xdr:cNvPr id="58" name="Gráfico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678180</xdr:colOff>
      <xdr:row>32</xdr:row>
      <xdr:rowOff>0</xdr:rowOff>
    </xdr:from>
    <xdr:to>
      <xdr:col>25</xdr:col>
      <xdr:colOff>441960</xdr:colOff>
      <xdr:row>43</xdr:row>
      <xdr:rowOff>167640</xdr:rowOff>
    </xdr:to>
    <xdr:graphicFrame macro="">
      <xdr:nvGraphicFramePr>
        <xdr:cNvPr id="59" name="Gráfico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541020</xdr:colOff>
      <xdr:row>32</xdr:row>
      <xdr:rowOff>0</xdr:rowOff>
    </xdr:from>
    <xdr:to>
      <xdr:col>28</xdr:col>
      <xdr:colOff>304800</xdr:colOff>
      <xdr:row>43</xdr:row>
      <xdr:rowOff>167640</xdr:rowOff>
    </xdr:to>
    <xdr:graphicFrame macro="">
      <xdr:nvGraphicFramePr>
        <xdr:cNvPr id="60" name="Gráfico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434340</xdr:colOff>
      <xdr:row>32</xdr:row>
      <xdr:rowOff>0</xdr:rowOff>
    </xdr:from>
    <xdr:to>
      <xdr:col>31</xdr:col>
      <xdr:colOff>198120</xdr:colOff>
      <xdr:row>43</xdr:row>
      <xdr:rowOff>167640</xdr:rowOff>
    </xdr:to>
    <xdr:graphicFrame macro="">
      <xdr:nvGraphicFramePr>
        <xdr:cNvPr id="61" name="Gráfico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15240</xdr:colOff>
      <xdr:row>47</xdr:row>
      <xdr:rowOff>7620</xdr:rowOff>
    </xdr:from>
    <xdr:to>
      <xdr:col>5</xdr:col>
      <xdr:colOff>609600</xdr:colOff>
      <xdr:row>59</xdr:row>
      <xdr:rowOff>22860</xdr:rowOff>
    </xdr:to>
    <xdr:graphicFrame macro="">
      <xdr:nvGraphicFramePr>
        <xdr:cNvPr id="62" name="Gráfico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662940</xdr:colOff>
      <xdr:row>47</xdr:row>
      <xdr:rowOff>0</xdr:rowOff>
    </xdr:from>
    <xdr:to>
      <xdr:col>8</xdr:col>
      <xdr:colOff>464820</xdr:colOff>
      <xdr:row>59</xdr:row>
      <xdr:rowOff>15240</xdr:rowOff>
    </xdr:to>
    <xdr:graphicFrame macro="">
      <xdr:nvGraphicFramePr>
        <xdr:cNvPr id="63" name="Gráfico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541020</xdr:colOff>
      <xdr:row>47</xdr:row>
      <xdr:rowOff>0</xdr:rowOff>
    </xdr:from>
    <xdr:to>
      <xdr:col>11</xdr:col>
      <xdr:colOff>342900</xdr:colOff>
      <xdr:row>59</xdr:row>
      <xdr:rowOff>15240</xdr:rowOff>
    </xdr:to>
    <xdr:graphicFrame macro="">
      <xdr:nvGraphicFramePr>
        <xdr:cNvPr id="64" name="Gráfico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419100</xdr:colOff>
      <xdr:row>47</xdr:row>
      <xdr:rowOff>0</xdr:rowOff>
    </xdr:from>
    <xdr:to>
      <xdr:col>14</xdr:col>
      <xdr:colOff>220980</xdr:colOff>
      <xdr:row>59</xdr:row>
      <xdr:rowOff>15240</xdr:rowOff>
    </xdr:to>
    <xdr:graphicFrame macro="">
      <xdr:nvGraphicFramePr>
        <xdr:cNvPr id="65" name="Gráfico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320040</xdr:colOff>
      <xdr:row>46</xdr:row>
      <xdr:rowOff>175260</xdr:rowOff>
    </xdr:from>
    <xdr:to>
      <xdr:col>17</xdr:col>
      <xdr:colOff>121920</xdr:colOff>
      <xdr:row>59</xdr:row>
      <xdr:rowOff>7620</xdr:rowOff>
    </xdr:to>
    <xdr:graphicFrame macro="">
      <xdr:nvGraphicFramePr>
        <xdr:cNvPr id="66" name="Gráfico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175260</xdr:colOff>
      <xdr:row>46</xdr:row>
      <xdr:rowOff>175260</xdr:rowOff>
    </xdr:from>
    <xdr:to>
      <xdr:col>19</xdr:col>
      <xdr:colOff>769620</xdr:colOff>
      <xdr:row>59</xdr:row>
      <xdr:rowOff>7620</xdr:rowOff>
    </xdr:to>
    <xdr:graphicFrame macro="">
      <xdr:nvGraphicFramePr>
        <xdr:cNvPr id="67" name="Gráfico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15240</xdr:colOff>
      <xdr:row>46</xdr:row>
      <xdr:rowOff>167640</xdr:rowOff>
    </xdr:from>
    <xdr:to>
      <xdr:col>22</xdr:col>
      <xdr:colOff>609600</xdr:colOff>
      <xdr:row>59</xdr:row>
      <xdr:rowOff>0</xdr:rowOff>
    </xdr:to>
    <xdr:graphicFrame macro="">
      <xdr:nvGraphicFramePr>
        <xdr:cNvPr id="68" name="Gráfico 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22</xdr:col>
      <xdr:colOff>685800</xdr:colOff>
      <xdr:row>46</xdr:row>
      <xdr:rowOff>175260</xdr:rowOff>
    </xdr:from>
    <xdr:to>
      <xdr:col>25</xdr:col>
      <xdr:colOff>487680</xdr:colOff>
      <xdr:row>59</xdr:row>
      <xdr:rowOff>7620</xdr:rowOff>
    </xdr:to>
    <xdr:graphicFrame macro="">
      <xdr:nvGraphicFramePr>
        <xdr:cNvPr id="69" name="Gráfico 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563880</xdr:colOff>
      <xdr:row>47</xdr:row>
      <xdr:rowOff>0</xdr:rowOff>
    </xdr:from>
    <xdr:to>
      <xdr:col>28</xdr:col>
      <xdr:colOff>365760</xdr:colOff>
      <xdr:row>59</xdr:row>
      <xdr:rowOff>15240</xdr:rowOff>
    </xdr:to>
    <xdr:graphicFrame macro="">
      <xdr:nvGraphicFramePr>
        <xdr:cNvPr id="70" name="Gráfico 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28</xdr:col>
      <xdr:colOff>434340</xdr:colOff>
      <xdr:row>47</xdr:row>
      <xdr:rowOff>0</xdr:rowOff>
    </xdr:from>
    <xdr:to>
      <xdr:col>31</xdr:col>
      <xdr:colOff>236220</xdr:colOff>
      <xdr:row>59</xdr:row>
      <xdr:rowOff>15240</xdr:rowOff>
    </xdr:to>
    <xdr:graphicFrame macro="">
      <xdr:nvGraphicFramePr>
        <xdr:cNvPr id="71" name="Gráfico 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31</xdr:col>
      <xdr:colOff>327660</xdr:colOff>
      <xdr:row>47</xdr:row>
      <xdr:rowOff>0</xdr:rowOff>
    </xdr:from>
    <xdr:to>
      <xdr:col>34</xdr:col>
      <xdr:colOff>129540</xdr:colOff>
      <xdr:row>59</xdr:row>
      <xdr:rowOff>15240</xdr:rowOff>
    </xdr:to>
    <xdr:graphicFrame macro="">
      <xdr:nvGraphicFramePr>
        <xdr:cNvPr id="72" name="Gráfico 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68580</xdr:colOff>
      <xdr:row>22</xdr:row>
      <xdr:rowOff>0</xdr:rowOff>
    </xdr:from>
    <xdr:to>
      <xdr:col>17</xdr:col>
      <xdr:colOff>22860</xdr:colOff>
      <xdr:row>25</xdr:row>
      <xdr:rowOff>0</xdr:rowOff>
    </xdr:to>
    <xdr:sp macro="" textlink="">
      <xdr:nvSpPr>
        <xdr:cNvPr id="5" name="Flecha: hacia la izquierda 4"/>
        <xdr:cNvSpPr/>
      </xdr:nvSpPr>
      <xdr:spPr>
        <a:xfrm>
          <a:off x="11216640" y="4114800"/>
          <a:ext cx="746760" cy="54864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35</xdr:col>
      <xdr:colOff>586740</xdr:colOff>
      <xdr:row>50</xdr:row>
      <xdr:rowOff>175260</xdr:rowOff>
    </xdr:from>
    <xdr:to>
      <xdr:col>36</xdr:col>
      <xdr:colOff>541020</xdr:colOff>
      <xdr:row>53</xdr:row>
      <xdr:rowOff>175260</xdr:rowOff>
    </xdr:to>
    <xdr:sp macro="" textlink="">
      <xdr:nvSpPr>
        <xdr:cNvPr id="98" name="Flecha: hacia la izquierda 97"/>
        <xdr:cNvSpPr/>
      </xdr:nvSpPr>
      <xdr:spPr>
        <a:xfrm>
          <a:off x="26791920" y="22715220"/>
          <a:ext cx="746760" cy="54864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891540</xdr:colOff>
      <xdr:row>27</xdr:row>
      <xdr:rowOff>152400</xdr:rowOff>
    </xdr:from>
    <xdr:to>
      <xdr:col>4</xdr:col>
      <xdr:colOff>38100</xdr:colOff>
      <xdr:row>31</xdr:row>
      <xdr:rowOff>30480</xdr:rowOff>
    </xdr:to>
    <xdr:sp macro="" textlink="">
      <xdr:nvSpPr>
        <xdr:cNvPr id="2" name="Rectángulo 1"/>
        <xdr:cNvSpPr/>
      </xdr:nvSpPr>
      <xdr:spPr>
        <a:xfrm>
          <a:off x="2621280" y="5151120"/>
          <a:ext cx="876300" cy="6248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8</xdr:row>
      <xdr:rowOff>15240</xdr:rowOff>
    </xdr:from>
    <xdr:to>
      <xdr:col>7</xdr:col>
      <xdr:colOff>640080</xdr:colOff>
      <xdr:row>21</xdr:row>
      <xdr:rowOff>160020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</xdr:colOff>
      <xdr:row>33</xdr:row>
      <xdr:rowOff>137160</xdr:rowOff>
    </xdr:from>
    <xdr:to>
      <xdr:col>7</xdr:col>
      <xdr:colOff>662940</xdr:colOff>
      <xdr:row>47</xdr:row>
      <xdr:rowOff>99060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45720</xdr:colOff>
      <xdr:row>62</xdr:row>
      <xdr:rowOff>152400</xdr:rowOff>
    </xdr:from>
    <xdr:to>
      <xdr:col>7</xdr:col>
      <xdr:colOff>655320</xdr:colOff>
      <xdr:row>76</xdr:row>
      <xdr:rowOff>114300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</xdr:colOff>
      <xdr:row>90</xdr:row>
      <xdr:rowOff>152400</xdr:rowOff>
    </xdr:from>
    <xdr:to>
      <xdr:col>7</xdr:col>
      <xdr:colOff>678180</xdr:colOff>
      <xdr:row>104</xdr:row>
      <xdr:rowOff>114300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</xdr:colOff>
      <xdr:row>117</xdr:row>
      <xdr:rowOff>99060</xdr:rowOff>
    </xdr:from>
    <xdr:to>
      <xdr:col>7</xdr:col>
      <xdr:colOff>685800</xdr:colOff>
      <xdr:row>131</xdr:row>
      <xdr:rowOff>60960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76200</xdr:colOff>
      <xdr:row>145</xdr:row>
      <xdr:rowOff>0</xdr:rowOff>
    </xdr:from>
    <xdr:to>
      <xdr:col>7</xdr:col>
      <xdr:colOff>685800</xdr:colOff>
      <xdr:row>158</xdr:row>
      <xdr:rowOff>144780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83820</xdr:colOff>
      <xdr:row>172</xdr:row>
      <xdr:rowOff>38100</xdr:rowOff>
    </xdr:from>
    <xdr:to>
      <xdr:col>7</xdr:col>
      <xdr:colOff>693420</xdr:colOff>
      <xdr:row>186</xdr:row>
      <xdr:rowOff>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114300</xdr:colOff>
      <xdr:row>198</xdr:row>
      <xdr:rowOff>167640</xdr:rowOff>
    </xdr:from>
    <xdr:to>
      <xdr:col>7</xdr:col>
      <xdr:colOff>723900</xdr:colOff>
      <xdr:row>212</xdr:row>
      <xdr:rowOff>129540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544827</xdr:colOff>
      <xdr:row>35</xdr:row>
      <xdr:rowOff>152389</xdr:rowOff>
    </xdr:from>
    <xdr:to>
      <xdr:col>6</xdr:col>
      <xdr:colOff>212492</xdr:colOff>
      <xdr:row>39</xdr:row>
      <xdr:rowOff>144780</xdr:rowOff>
    </xdr:to>
    <xdr:cxnSp macro="">
      <xdr:nvCxnSpPr>
        <xdr:cNvPr id="10" name="Conector recto 9"/>
        <xdr:cNvCxnSpPr/>
      </xdr:nvCxnSpPr>
      <xdr:spPr>
        <a:xfrm flipH="1">
          <a:off x="4164327" y="6978639"/>
          <a:ext cx="429665" cy="76497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424601</xdr:colOff>
      <xdr:row>34</xdr:row>
      <xdr:rowOff>175260</xdr:rowOff>
    </xdr:from>
    <xdr:to>
      <xdr:col>5</xdr:col>
      <xdr:colOff>427536</xdr:colOff>
      <xdr:row>39</xdr:row>
      <xdr:rowOff>106680</xdr:rowOff>
    </xdr:to>
    <xdr:cxnSp macro="">
      <xdr:nvCxnSpPr>
        <xdr:cNvPr id="11" name="Conector recto 10"/>
        <xdr:cNvCxnSpPr/>
      </xdr:nvCxnSpPr>
      <xdr:spPr>
        <a:xfrm flipH="1">
          <a:off x="4044101" y="6811010"/>
          <a:ext cx="2935" cy="89450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589703</xdr:colOff>
      <xdr:row>35</xdr:row>
      <xdr:rowOff>152389</xdr:rowOff>
    </xdr:from>
    <xdr:to>
      <xdr:col>5</xdr:col>
      <xdr:colOff>274320</xdr:colOff>
      <xdr:row>39</xdr:row>
      <xdr:rowOff>167640</xdr:rowOff>
    </xdr:to>
    <xdr:cxnSp macro="">
      <xdr:nvCxnSpPr>
        <xdr:cNvPr id="12" name="Conector recto 11"/>
        <xdr:cNvCxnSpPr/>
      </xdr:nvCxnSpPr>
      <xdr:spPr>
        <a:xfrm>
          <a:off x="2273723" y="5737849"/>
          <a:ext cx="477097" cy="74677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208690</xdr:colOff>
      <xdr:row>38</xdr:row>
      <xdr:rowOff>38101</xdr:rowOff>
    </xdr:from>
    <xdr:to>
      <xdr:col>5</xdr:col>
      <xdr:colOff>254000</xdr:colOff>
      <xdr:row>40</xdr:row>
      <xdr:rowOff>52916</xdr:rowOff>
    </xdr:to>
    <xdr:cxnSp macro="">
      <xdr:nvCxnSpPr>
        <xdr:cNvPr id="13" name="Conector recto 12"/>
        <xdr:cNvCxnSpPr/>
      </xdr:nvCxnSpPr>
      <xdr:spPr>
        <a:xfrm>
          <a:off x="3066190" y="7446434"/>
          <a:ext cx="807310" cy="40639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40</xdr:row>
      <xdr:rowOff>116416</xdr:rowOff>
    </xdr:from>
    <xdr:to>
      <xdr:col>5</xdr:col>
      <xdr:colOff>264583</xdr:colOff>
      <xdr:row>41</xdr:row>
      <xdr:rowOff>66218</xdr:rowOff>
    </xdr:to>
    <xdr:cxnSp macro="">
      <xdr:nvCxnSpPr>
        <xdr:cNvPr id="14" name="Conector recto 13"/>
        <xdr:cNvCxnSpPr/>
      </xdr:nvCxnSpPr>
      <xdr:spPr>
        <a:xfrm flipV="1">
          <a:off x="2964180" y="7916333"/>
          <a:ext cx="919903" cy="14030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385761</xdr:colOff>
      <xdr:row>41</xdr:row>
      <xdr:rowOff>10583</xdr:rowOff>
    </xdr:from>
    <xdr:to>
      <xdr:col>5</xdr:col>
      <xdr:colOff>254000</xdr:colOff>
      <xdr:row>44</xdr:row>
      <xdr:rowOff>45086</xdr:rowOff>
    </xdr:to>
    <xdr:cxnSp macro="">
      <xdr:nvCxnSpPr>
        <xdr:cNvPr id="15" name="Conector recto 14"/>
        <xdr:cNvCxnSpPr/>
      </xdr:nvCxnSpPr>
      <xdr:spPr>
        <a:xfrm flipV="1">
          <a:off x="3243261" y="8001000"/>
          <a:ext cx="630239" cy="61658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90402</xdr:colOff>
      <xdr:row>41</xdr:row>
      <xdr:rowOff>114300</xdr:rowOff>
    </xdr:from>
    <xdr:to>
      <xdr:col>5</xdr:col>
      <xdr:colOff>347132</xdr:colOff>
      <xdr:row>45</xdr:row>
      <xdr:rowOff>177019</xdr:rowOff>
    </xdr:to>
    <xdr:cxnSp macro="">
      <xdr:nvCxnSpPr>
        <xdr:cNvPr id="16" name="Conector recto 15"/>
        <xdr:cNvCxnSpPr/>
      </xdr:nvCxnSpPr>
      <xdr:spPr>
        <a:xfrm flipV="1">
          <a:off x="3709902" y="8104717"/>
          <a:ext cx="256730" cy="83530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508000</xdr:colOff>
      <xdr:row>41</xdr:row>
      <xdr:rowOff>116416</xdr:rowOff>
    </xdr:from>
    <xdr:to>
      <xdr:col>5</xdr:col>
      <xdr:colOff>736512</xdr:colOff>
      <xdr:row>45</xdr:row>
      <xdr:rowOff>182870</xdr:rowOff>
    </xdr:to>
    <xdr:cxnSp macro="">
      <xdr:nvCxnSpPr>
        <xdr:cNvPr id="17" name="Conector recto 16"/>
        <xdr:cNvCxnSpPr/>
      </xdr:nvCxnSpPr>
      <xdr:spPr>
        <a:xfrm flipH="1" flipV="1">
          <a:off x="4127500" y="8106833"/>
          <a:ext cx="228512" cy="83903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582083</xdr:colOff>
      <xdr:row>41</xdr:row>
      <xdr:rowOff>10583</xdr:rowOff>
    </xdr:from>
    <xdr:to>
      <xdr:col>6</xdr:col>
      <xdr:colOff>474036</xdr:colOff>
      <xdr:row>44</xdr:row>
      <xdr:rowOff>39234</xdr:rowOff>
    </xdr:to>
    <xdr:cxnSp macro="">
      <xdr:nvCxnSpPr>
        <xdr:cNvPr id="18" name="Conector recto 17"/>
        <xdr:cNvCxnSpPr/>
      </xdr:nvCxnSpPr>
      <xdr:spPr>
        <a:xfrm flipH="1" flipV="1">
          <a:off x="4201583" y="8001000"/>
          <a:ext cx="653953" cy="61073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40</xdr:row>
      <xdr:rowOff>127000</xdr:rowOff>
    </xdr:from>
    <xdr:to>
      <xdr:col>6</xdr:col>
      <xdr:colOff>740266</xdr:colOff>
      <xdr:row>41</xdr:row>
      <xdr:rowOff>72096</xdr:rowOff>
    </xdr:to>
    <xdr:cxnSp macro="">
      <xdr:nvCxnSpPr>
        <xdr:cNvPr id="19" name="Conector recto 18"/>
        <xdr:cNvCxnSpPr/>
      </xdr:nvCxnSpPr>
      <xdr:spPr>
        <a:xfrm flipH="1" flipV="1">
          <a:off x="4222750" y="7926917"/>
          <a:ext cx="899016" cy="13559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38</xdr:row>
      <xdr:rowOff>66359</xdr:rowOff>
    </xdr:from>
    <xdr:to>
      <xdr:col>6</xdr:col>
      <xdr:colOff>647595</xdr:colOff>
      <xdr:row>40</xdr:row>
      <xdr:rowOff>42333</xdr:rowOff>
    </xdr:to>
    <xdr:cxnSp macro="">
      <xdr:nvCxnSpPr>
        <xdr:cNvPr id="20" name="Conector recto 19"/>
        <xdr:cNvCxnSpPr/>
      </xdr:nvCxnSpPr>
      <xdr:spPr>
        <a:xfrm flipH="1">
          <a:off x="4222750" y="7474692"/>
          <a:ext cx="806345" cy="367558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539750</xdr:colOff>
      <xdr:row>64</xdr:row>
      <xdr:rowOff>182869</xdr:rowOff>
    </xdr:from>
    <xdr:to>
      <xdr:col>6</xdr:col>
      <xdr:colOff>230696</xdr:colOff>
      <xdr:row>68</xdr:row>
      <xdr:rowOff>137583</xdr:rowOff>
    </xdr:to>
    <xdr:cxnSp macro="">
      <xdr:nvCxnSpPr>
        <xdr:cNvPr id="21" name="Conector recto 20"/>
        <xdr:cNvCxnSpPr/>
      </xdr:nvCxnSpPr>
      <xdr:spPr>
        <a:xfrm flipH="1">
          <a:off x="4159250" y="12650036"/>
          <a:ext cx="452946" cy="72729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413991</xdr:colOff>
      <xdr:row>64</xdr:row>
      <xdr:rowOff>1694</xdr:rowOff>
    </xdr:from>
    <xdr:to>
      <xdr:col>5</xdr:col>
      <xdr:colOff>423334</xdr:colOff>
      <xdr:row>68</xdr:row>
      <xdr:rowOff>105833</xdr:rowOff>
    </xdr:to>
    <xdr:cxnSp macro="">
      <xdr:nvCxnSpPr>
        <xdr:cNvPr id="22" name="Conector recto 21"/>
        <xdr:cNvCxnSpPr/>
      </xdr:nvCxnSpPr>
      <xdr:spPr>
        <a:xfrm>
          <a:off x="4033491" y="12468861"/>
          <a:ext cx="9343" cy="87672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597323</xdr:colOff>
      <xdr:row>64</xdr:row>
      <xdr:rowOff>182869</xdr:rowOff>
    </xdr:from>
    <xdr:to>
      <xdr:col>5</xdr:col>
      <xdr:colOff>296333</xdr:colOff>
      <xdr:row>68</xdr:row>
      <xdr:rowOff>179917</xdr:rowOff>
    </xdr:to>
    <xdr:cxnSp macro="">
      <xdr:nvCxnSpPr>
        <xdr:cNvPr id="23" name="Conector recto 22"/>
        <xdr:cNvCxnSpPr/>
      </xdr:nvCxnSpPr>
      <xdr:spPr>
        <a:xfrm>
          <a:off x="3454823" y="12650036"/>
          <a:ext cx="461010" cy="76963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216310</xdr:colOff>
      <xdr:row>67</xdr:row>
      <xdr:rowOff>68581</xdr:rowOff>
    </xdr:from>
    <xdr:to>
      <xdr:col>5</xdr:col>
      <xdr:colOff>124855</xdr:colOff>
      <xdr:row>69</xdr:row>
      <xdr:rowOff>30482</xdr:rowOff>
    </xdr:to>
    <xdr:cxnSp macro="">
      <xdr:nvCxnSpPr>
        <xdr:cNvPr id="24" name="Conector recto 23"/>
        <xdr:cNvCxnSpPr/>
      </xdr:nvCxnSpPr>
      <xdr:spPr>
        <a:xfrm>
          <a:off x="1900330" y="11148061"/>
          <a:ext cx="701025" cy="32766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69</xdr:row>
      <xdr:rowOff>148167</xdr:rowOff>
    </xdr:from>
    <xdr:to>
      <xdr:col>5</xdr:col>
      <xdr:colOff>190500</xdr:colOff>
      <xdr:row>70</xdr:row>
      <xdr:rowOff>86115</xdr:rowOff>
    </xdr:to>
    <xdr:cxnSp macro="">
      <xdr:nvCxnSpPr>
        <xdr:cNvPr id="25" name="Conector recto 24"/>
        <xdr:cNvCxnSpPr/>
      </xdr:nvCxnSpPr>
      <xdr:spPr>
        <a:xfrm flipV="1">
          <a:off x="2971800" y="13589000"/>
          <a:ext cx="838200" cy="128448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361632</xdr:colOff>
      <xdr:row>70</xdr:row>
      <xdr:rowOff>42334</xdr:rowOff>
    </xdr:from>
    <xdr:to>
      <xdr:col>5</xdr:col>
      <xdr:colOff>222250</xdr:colOff>
      <xdr:row>73</xdr:row>
      <xdr:rowOff>54400</xdr:rowOff>
    </xdr:to>
    <xdr:cxnSp macro="">
      <xdr:nvCxnSpPr>
        <xdr:cNvPr id="26" name="Conector recto 25"/>
        <xdr:cNvCxnSpPr/>
      </xdr:nvCxnSpPr>
      <xdr:spPr>
        <a:xfrm flipV="1">
          <a:off x="3219132" y="13673667"/>
          <a:ext cx="622618" cy="59415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87439</xdr:colOff>
      <xdr:row>70</xdr:row>
      <xdr:rowOff>116417</xdr:rowOff>
    </xdr:from>
    <xdr:to>
      <xdr:col>5</xdr:col>
      <xdr:colOff>359833</xdr:colOff>
      <xdr:row>75</xdr:row>
      <xdr:rowOff>24620</xdr:rowOff>
    </xdr:to>
    <xdr:cxnSp macro="">
      <xdr:nvCxnSpPr>
        <xdr:cNvPr id="27" name="Conector recto 26"/>
        <xdr:cNvCxnSpPr/>
      </xdr:nvCxnSpPr>
      <xdr:spPr>
        <a:xfrm flipV="1">
          <a:off x="3706939" y="13747750"/>
          <a:ext cx="272394" cy="87128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520195</xdr:colOff>
      <xdr:row>70</xdr:row>
      <xdr:rowOff>178771</xdr:rowOff>
    </xdr:from>
    <xdr:to>
      <xdr:col>5</xdr:col>
      <xdr:colOff>733549</xdr:colOff>
      <xdr:row>75</xdr:row>
      <xdr:rowOff>30470</xdr:rowOff>
    </xdr:to>
    <xdr:cxnSp macro="">
      <xdr:nvCxnSpPr>
        <xdr:cNvPr id="28" name="Conector recto 27"/>
        <xdr:cNvCxnSpPr/>
      </xdr:nvCxnSpPr>
      <xdr:spPr>
        <a:xfrm flipH="1" flipV="1">
          <a:off x="4139695" y="13810104"/>
          <a:ext cx="213354" cy="81478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592667</xdr:colOff>
      <xdr:row>70</xdr:row>
      <xdr:rowOff>42334</xdr:rowOff>
    </xdr:from>
    <xdr:to>
      <xdr:col>6</xdr:col>
      <xdr:colOff>481656</xdr:colOff>
      <xdr:row>73</xdr:row>
      <xdr:rowOff>80296</xdr:rowOff>
    </xdr:to>
    <xdr:cxnSp macro="">
      <xdr:nvCxnSpPr>
        <xdr:cNvPr id="29" name="Conector recto 28"/>
        <xdr:cNvCxnSpPr/>
      </xdr:nvCxnSpPr>
      <xdr:spPr>
        <a:xfrm flipH="1" flipV="1">
          <a:off x="4212167" y="13673667"/>
          <a:ext cx="650989" cy="62004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624417</xdr:colOff>
      <xdr:row>69</xdr:row>
      <xdr:rowOff>179917</xdr:rowOff>
    </xdr:from>
    <xdr:to>
      <xdr:col>6</xdr:col>
      <xdr:colOff>705554</xdr:colOff>
      <xdr:row>70</xdr:row>
      <xdr:rowOff>81410</xdr:rowOff>
    </xdr:to>
    <xdr:cxnSp macro="">
      <xdr:nvCxnSpPr>
        <xdr:cNvPr id="30" name="Conector recto 29"/>
        <xdr:cNvCxnSpPr/>
      </xdr:nvCxnSpPr>
      <xdr:spPr>
        <a:xfrm flipH="1" flipV="1">
          <a:off x="4243917" y="13620750"/>
          <a:ext cx="843137" cy="9199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67</xdr:row>
      <xdr:rowOff>75673</xdr:rowOff>
    </xdr:from>
    <xdr:to>
      <xdr:col>6</xdr:col>
      <xdr:colOff>634048</xdr:colOff>
      <xdr:row>69</xdr:row>
      <xdr:rowOff>21167</xdr:rowOff>
    </xdr:to>
    <xdr:cxnSp macro="">
      <xdr:nvCxnSpPr>
        <xdr:cNvPr id="31" name="Conector recto 30"/>
        <xdr:cNvCxnSpPr/>
      </xdr:nvCxnSpPr>
      <xdr:spPr>
        <a:xfrm flipH="1">
          <a:off x="4254500" y="13124923"/>
          <a:ext cx="761048" cy="33707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565993</xdr:colOff>
      <xdr:row>92</xdr:row>
      <xdr:rowOff>164666</xdr:rowOff>
    </xdr:from>
    <xdr:to>
      <xdr:col>6</xdr:col>
      <xdr:colOff>256518</xdr:colOff>
      <xdr:row>97</xdr:row>
      <xdr:rowOff>4657</xdr:rowOff>
    </xdr:to>
    <xdr:cxnSp macro="">
      <xdr:nvCxnSpPr>
        <xdr:cNvPr id="32" name="Conector recto 31"/>
        <xdr:cNvCxnSpPr/>
      </xdr:nvCxnSpPr>
      <xdr:spPr>
        <a:xfrm flipH="1">
          <a:off x="4185493" y="18092833"/>
          <a:ext cx="452525" cy="80307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447461</xdr:colOff>
      <xdr:row>92</xdr:row>
      <xdr:rowOff>4657</xdr:rowOff>
    </xdr:from>
    <xdr:to>
      <xdr:col>5</xdr:col>
      <xdr:colOff>450396</xdr:colOff>
      <xdr:row>96</xdr:row>
      <xdr:rowOff>157057</xdr:rowOff>
    </xdr:to>
    <xdr:cxnSp macro="">
      <xdr:nvCxnSpPr>
        <xdr:cNvPr id="33" name="Conector recto 32"/>
        <xdr:cNvCxnSpPr/>
      </xdr:nvCxnSpPr>
      <xdr:spPr>
        <a:xfrm flipH="1">
          <a:off x="4066961" y="17932824"/>
          <a:ext cx="2935" cy="92498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633729</xdr:colOff>
      <xdr:row>92</xdr:row>
      <xdr:rowOff>175249</xdr:rowOff>
    </xdr:from>
    <xdr:to>
      <xdr:col>5</xdr:col>
      <xdr:colOff>310726</xdr:colOff>
      <xdr:row>97</xdr:row>
      <xdr:rowOff>22860</xdr:rowOff>
    </xdr:to>
    <xdr:cxnSp macro="">
      <xdr:nvCxnSpPr>
        <xdr:cNvPr id="34" name="Conector recto 33"/>
        <xdr:cNvCxnSpPr/>
      </xdr:nvCxnSpPr>
      <xdr:spPr>
        <a:xfrm>
          <a:off x="3491229" y="18103416"/>
          <a:ext cx="438997" cy="81069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220967</xdr:colOff>
      <xdr:row>95</xdr:row>
      <xdr:rowOff>71544</xdr:rowOff>
    </xdr:from>
    <xdr:to>
      <xdr:col>5</xdr:col>
      <xdr:colOff>296333</xdr:colOff>
      <xdr:row>97</xdr:row>
      <xdr:rowOff>105833</xdr:rowOff>
    </xdr:to>
    <xdr:cxnSp macro="">
      <xdr:nvCxnSpPr>
        <xdr:cNvPr id="35" name="Conector recto 34"/>
        <xdr:cNvCxnSpPr/>
      </xdr:nvCxnSpPr>
      <xdr:spPr>
        <a:xfrm>
          <a:off x="3078467" y="18571211"/>
          <a:ext cx="837366" cy="42587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97</xdr:row>
      <xdr:rowOff>148167</xdr:rowOff>
    </xdr:from>
    <xdr:to>
      <xdr:col>5</xdr:col>
      <xdr:colOff>306917</xdr:colOff>
      <xdr:row>98</xdr:row>
      <xdr:rowOff>78494</xdr:rowOff>
    </xdr:to>
    <xdr:cxnSp macro="">
      <xdr:nvCxnSpPr>
        <xdr:cNvPr id="36" name="Conector recto 35"/>
        <xdr:cNvCxnSpPr/>
      </xdr:nvCxnSpPr>
      <xdr:spPr>
        <a:xfrm flipV="1">
          <a:off x="2987040" y="19039417"/>
          <a:ext cx="939377" cy="13141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376872</xdr:colOff>
      <xdr:row>98</xdr:row>
      <xdr:rowOff>0</xdr:rowOff>
    </xdr:from>
    <xdr:to>
      <xdr:col>5</xdr:col>
      <xdr:colOff>306917</xdr:colOff>
      <xdr:row>101</xdr:row>
      <xdr:rowOff>57364</xdr:rowOff>
    </xdr:to>
    <xdr:cxnSp macro="">
      <xdr:nvCxnSpPr>
        <xdr:cNvPr id="37" name="Conector recto 36"/>
        <xdr:cNvCxnSpPr/>
      </xdr:nvCxnSpPr>
      <xdr:spPr>
        <a:xfrm flipV="1">
          <a:off x="3234372" y="19092333"/>
          <a:ext cx="692045" cy="62886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123845</xdr:colOff>
      <xdr:row>98</xdr:row>
      <xdr:rowOff>63500</xdr:rowOff>
    </xdr:from>
    <xdr:to>
      <xdr:col>5</xdr:col>
      <xdr:colOff>391583</xdr:colOff>
      <xdr:row>103</xdr:row>
      <xdr:rowOff>6417</xdr:rowOff>
    </xdr:to>
    <xdr:cxnSp macro="">
      <xdr:nvCxnSpPr>
        <xdr:cNvPr id="38" name="Conector recto 37"/>
        <xdr:cNvCxnSpPr/>
      </xdr:nvCxnSpPr>
      <xdr:spPr>
        <a:xfrm flipV="1">
          <a:off x="3743345" y="19155833"/>
          <a:ext cx="267738" cy="89541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503764</xdr:colOff>
      <xdr:row>98</xdr:row>
      <xdr:rowOff>106680</xdr:rowOff>
    </xdr:from>
    <xdr:to>
      <xdr:col>5</xdr:col>
      <xdr:colOff>748789</xdr:colOff>
      <xdr:row>103</xdr:row>
      <xdr:rowOff>22851</xdr:rowOff>
    </xdr:to>
    <xdr:cxnSp macro="">
      <xdr:nvCxnSpPr>
        <xdr:cNvPr id="39" name="Conector recto 38"/>
        <xdr:cNvCxnSpPr/>
      </xdr:nvCxnSpPr>
      <xdr:spPr>
        <a:xfrm flipH="1" flipV="1">
          <a:off x="4123264" y="19199013"/>
          <a:ext cx="245025" cy="86867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550333</xdr:colOff>
      <xdr:row>98</xdr:row>
      <xdr:rowOff>0</xdr:rowOff>
    </xdr:from>
    <xdr:to>
      <xdr:col>6</xdr:col>
      <xdr:colOff>496897</xdr:colOff>
      <xdr:row>101</xdr:row>
      <xdr:rowOff>72677</xdr:rowOff>
    </xdr:to>
    <xdr:cxnSp macro="">
      <xdr:nvCxnSpPr>
        <xdr:cNvPr id="40" name="Conector recto 39"/>
        <xdr:cNvCxnSpPr/>
      </xdr:nvCxnSpPr>
      <xdr:spPr>
        <a:xfrm flipH="1" flipV="1">
          <a:off x="4169833" y="19092333"/>
          <a:ext cx="708564" cy="64417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97</xdr:row>
      <xdr:rowOff>148167</xdr:rowOff>
    </xdr:from>
    <xdr:to>
      <xdr:col>6</xdr:col>
      <xdr:colOff>741960</xdr:colOff>
      <xdr:row>98</xdr:row>
      <xdr:rowOff>84374</xdr:rowOff>
    </xdr:to>
    <xdr:cxnSp macro="">
      <xdr:nvCxnSpPr>
        <xdr:cNvPr id="41" name="Conector recto 40"/>
        <xdr:cNvCxnSpPr/>
      </xdr:nvCxnSpPr>
      <xdr:spPr>
        <a:xfrm flipH="1" flipV="1">
          <a:off x="4222750" y="19039417"/>
          <a:ext cx="900710" cy="13729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637536</xdr:colOff>
      <xdr:row>95</xdr:row>
      <xdr:rowOff>57470</xdr:rowOff>
    </xdr:from>
    <xdr:to>
      <xdr:col>6</xdr:col>
      <xdr:colOff>649288</xdr:colOff>
      <xdr:row>97</xdr:row>
      <xdr:rowOff>79163</xdr:rowOff>
    </xdr:to>
    <xdr:cxnSp macro="">
      <xdr:nvCxnSpPr>
        <xdr:cNvPr id="42" name="Conector recto 41"/>
        <xdr:cNvCxnSpPr/>
      </xdr:nvCxnSpPr>
      <xdr:spPr>
        <a:xfrm flipH="1">
          <a:off x="4257036" y="18557137"/>
          <a:ext cx="773752" cy="41327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585890</xdr:colOff>
      <xdr:row>119</xdr:row>
      <xdr:rowOff>126566</xdr:rowOff>
    </xdr:from>
    <xdr:to>
      <xdr:col>6</xdr:col>
      <xdr:colOff>268795</xdr:colOff>
      <xdr:row>123</xdr:row>
      <xdr:rowOff>134197</xdr:rowOff>
    </xdr:to>
    <xdr:cxnSp macro="">
      <xdr:nvCxnSpPr>
        <xdr:cNvPr id="43" name="Conector recto 42"/>
        <xdr:cNvCxnSpPr/>
      </xdr:nvCxnSpPr>
      <xdr:spPr>
        <a:xfrm flipH="1">
          <a:off x="4205390" y="23314649"/>
          <a:ext cx="444905" cy="780215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438572</xdr:colOff>
      <xdr:row>118</xdr:row>
      <xdr:rowOff>149437</xdr:rowOff>
    </xdr:from>
    <xdr:to>
      <xdr:col>5</xdr:col>
      <xdr:colOff>441507</xdr:colOff>
      <xdr:row>123</xdr:row>
      <xdr:rowOff>73237</xdr:rowOff>
    </xdr:to>
    <xdr:cxnSp macro="">
      <xdr:nvCxnSpPr>
        <xdr:cNvPr id="44" name="Conector recto 43"/>
        <xdr:cNvCxnSpPr/>
      </xdr:nvCxnSpPr>
      <xdr:spPr>
        <a:xfrm flipH="1">
          <a:off x="4058072" y="23136437"/>
          <a:ext cx="2935" cy="89746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614257</xdr:colOff>
      <xdr:row>119</xdr:row>
      <xdr:rowOff>115983</xdr:rowOff>
    </xdr:from>
    <xdr:to>
      <xdr:col>5</xdr:col>
      <xdr:colOff>296333</xdr:colOff>
      <xdr:row>123</xdr:row>
      <xdr:rowOff>179916</xdr:rowOff>
    </xdr:to>
    <xdr:cxnSp macro="">
      <xdr:nvCxnSpPr>
        <xdr:cNvPr id="45" name="Conector recto 44"/>
        <xdr:cNvCxnSpPr/>
      </xdr:nvCxnSpPr>
      <xdr:spPr>
        <a:xfrm>
          <a:off x="3471757" y="23304066"/>
          <a:ext cx="444076" cy="83651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222661</xdr:colOff>
      <xdr:row>122</xdr:row>
      <xdr:rowOff>1695</xdr:rowOff>
    </xdr:from>
    <xdr:to>
      <xdr:col>5</xdr:col>
      <xdr:colOff>264583</xdr:colOff>
      <xdr:row>124</xdr:row>
      <xdr:rowOff>0</xdr:rowOff>
    </xdr:to>
    <xdr:cxnSp macro="">
      <xdr:nvCxnSpPr>
        <xdr:cNvPr id="46" name="Conector recto 45"/>
        <xdr:cNvCxnSpPr/>
      </xdr:nvCxnSpPr>
      <xdr:spPr>
        <a:xfrm>
          <a:off x="3080161" y="23761278"/>
          <a:ext cx="803922" cy="38988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141817</xdr:colOff>
      <xdr:row>124</xdr:row>
      <xdr:rowOff>74083</xdr:rowOff>
    </xdr:from>
    <xdr:to>
      <xdr:col>5</xdr:col>
      <xdr:colOff>285750</xdr:colOff>
      <xdr:row>125</xdr:row>
      <xdr:rowOff>19228</xdr:rowOff>
    </xdr:to>
    <xdr:cxnSp macro="">
      <xdr:nvCxnSpPr>
        <xdr:cNvPr id="47" name="Conector recto 46"/>
        <xdr:cNvCxnSpPr/>
      </xdr:nvCxnSpPr>
      <xdr:spPr>
        <a:xfrm flipV="1">
          <a:off x="2999317" y="24225250"/>
          <a:ext cx="905933" cy="146228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124</xdr:row>
      <xdr:rowOff>169333</xdr:rowOff>
    </xdr:from>
    <xdr:to>
      <xdr:col>5</xdr:col>
      <xdr:colOff>296333</xdr:colOff>
      <xdr:row>128</xdr:row>
      <xdr:rowOff>1</xdr:rowOff>
    </xdr:to>
    <xdr:cxnSp macro="">
      <xdr:nvCxnSpPr>
        <xdr:cNvPr id="48" name="Conector recto 47"/>
        <xdr:cNvCxnSpPr/>
      </xdr:nvCxnSpPr>
      <xdr:spPr>
        <a:xfrm flipV="1">
          <a:off x="3261360" y="24320500"/>
          <a:ext cx="654473" cy="60325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93790</xdr:colOff>
      <xdr:row>125</xdr:row>
      <xdr:rowOff>76200</xdr:rowOff>
    </xdr:from>
    <xdr:to>
      <xdr:col>5</xdr:col>
      <xdr:colOff>342900</xdr:colOff>
      <xdr:row>129</xdr:row>
      <xdr:rowOff>161779</xdr:rowOff>
    </xdr:to>
    <xdr:cxnSp macro="">
      <xdr:nvCxnSpPr>
        <xdr:cNvPr id="49" name="Conector recto 48"/>
        <xdr:cNvCxnSpPr/>
      </xdr:nvCxnSpPr>
      <xdr:spPr>
        <a:xfrm flipV="1">
          <a:off x="2570290" y="21777960"/>
          <a:ext cx="249110" cy="81709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516041</xdr:colOff>
      <xdr:row>125</xdr:row>
      <xdr:rowOff>50377</xdr:rowOff>
    </xdr:from>
    <xdr:to>
      <xdr:col>5</xdr:col>
      <xdr:colOff>761066</xdr:colOff>
      <xdr:row>129</xdr:row>
      <xdr:rowOff>157048</xdr:rowOff>
    </xdr:to>
    <xdr:cxnSp macro="">
      <xdr:nvCxnSpPr>
        <xdr:cNvPr id="50" name="Conector recto 49"/>
        <xdr:cNvCxnSpPr/>
      </xdr:nvCxnSpPr>
      <xdr:spPr>
        <a:xfrm flipH="1" flipV="1">
          <a:off x="4135541" y="24402627"/>
          <a:ext cx="245025" cy="86867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124</xdr:row>
      <xdr:rowOff>169333</xdr:rowOff>
    </xdr:from>
    <xdr:to>
      <xdr:col>6</xdr:col>
      <xdr:colOff>519756</xdr:colOff>
      <xdr:row>128</xdr:row>
      <xdr:rowOff>34576</xdr:rowOff>
    </xdr:to>
    <xdr:cxnSp macro="">
      <xdr:nvCxnSpPr>
        <xdr:cNvPr id="51" name="Conector recto 50"/>
        <xdr:cNvCxnSpPr/>
      </xdr:nvCxnSpPr>
      <xdr:spPr>
        <a:xfrm flipH="1" flipV="1">
          <a:off x="4222750" y="24320500"/>
          <a:ext cx="678506" cy="63782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124</xdr:row>
      <xdr:rowOff>63500</xdr:rowOff>
    </xdr:from>
    <xdr:to>
      <xdr:col>6</xdr:col>
      <xdr:colOff>754237</xdr:colOff>
      <xdr:row>125</xdr:row>
      <xdr:rowOff>14525</xdr:rowOff>
    </xdr:to>
    <xdr:cxnSp macro="">
      <xdr:nvCxnSpPr>
        <xdr:cNvPr id="52" name="Conector recto 51"/>
        <xdr:cNvCxnSpPr/>
      </xdr:nvCxnSpPr>
      <xdr:spPr>
        <a:xfrm flipH="1" flipV="1">
          <a:off x="4254500" y="24214667"/>
          <a:ext cx="881237" cy="152108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122</xdr:row>
      <xdr:rowOff>29953</xdr:rowOff>
    </xdr:from>
    <xdr:to>
      <xdr:col>6</xdr:col>
      <xdr:colOff>661565</xdr:colOff>
      <xdr:row>124</xdr:row>
      <xdr:rowOff>0</xdr:rowOff>
    </xdr:to>
    <xdr:cxnSp macro="">
      <xdr:nvCxnSpPr>
        <xdr:cNvPr id="53" name="Conector recto 52"/>
        <xdr:cNvCxnSpPr/>
      </xdr:nvCxnSpPr>
      <xdr:spPr>
        <a:xfrm flipH="1">
          <a:off x="4286250" y="23789536"/>
          <a:ext cx="756815" cy="36163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447433</xdr:colOff>
      <xdr:row>146</xdr:row>
      <xdr:rowOff>35137</xdr:rowOff>
    </xdr:from>
    <xdr:to>
      <xdr:col>5</xdr:col>
      <xdr:colOff>465667</xdr:colOff>
      <xdr:row>150</xdr:row>
      <xdr:rowOff>74083</xdr:rowOff>
    </xdr:to>
    <xdr:cxnSp macro="">
      <xdr:nvCxnSpPr>
        <xdr:cNvPr id="54" name="Conector recto 53"/>
        <xdr:cNvCxnSpPr/>
      </xdr:nvCxnSpPr>
      <xdr:spPr>
        <a:xfrm>
          <a:off x="4066933" y="28472554"/>
          <a:ext cx="18234" cy="81152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620183</xdr:colOff>
      <xdr:row>147</xdr:row>
      <xdr:rowOff>22849</xdr:rowOff>
    </xdr:from>
    <xdr:to>
      <xdr:col>5</xdr:col>
      <xdr:colOff>254000</xdr:colOff>
      <xdr:row>150</xdr:row>
      <xdr:rowOff>148167</xdr:rowOff>
    </xdr:to>
    <xdr:cxnSp macro="">
      <xdr:nvCxnSpPr>
        <xdr:cNvPr id="55" name="Conector recto 54"/>
        <xdr:cNvCxnSpPr/>
      </xdr:nvCxnSpPr>
      <xdr:spPr>
        <a:xfrm>
          <a:off x="3477683" y="28650766"/>
          <a:ext cx="395817" cy="70740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239170</xdr:colOff>
      <xdr:row>149</xdr:row>
      <xdr:rowOff>91441</xdr:rowOff>
    </xdr:from>
    <xdr:to>
      <xdr:col>5</xdr:col>
      <xdr:colOff>147715</xdr:colOff>
      <xdr:row>151</xdr:row>
      <xdr:rowOff>53342</xdr:rowOff>
    </xdr:to>
    <xdr:cxnSp macro="">
      <xdr:nvCxnSpPr>
        <xdr:cNvPr id="56" name="Conector recto 55"/>
        <xdr:cNvCxnSpPr/>
      </xdr:nvCxnSpPr>
      <xdr:spPr>
        <a:xfrm>
          <a:off x="1923190" y="26189941"/>
          <a:ext cx="701025" cy="32766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152</xdr:row>
      <xdr:rowOff>25781</xdr:rowOff>
    </xdr:from>
    <xdr:to>
      <xdr:col>5</xdr:col>
      <xdr:colOff>130140</xdr:colOff>
      <xdr:row>152</xdr:row>
      <xdr:rowOff>119557</xdr:rowOff>
    </xdr:to>
    <xdr:cxnSp macro="">
      <xdr:nvCxnSpPr>
        <xdr:cNvPr id="57" name="Conector recto 56"/>
        <xdr:cNvCxnSpPr/>
      </xdr:nvCxnSpPr>
      <xdr:spPr>
        <a:xfrm flipV="1">
          <a:off x="1821180" y="26672921"/>
          <a:ext cx="785460" cy="9377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395075</xdr:colOff>
      <xdr:row>152</xdr:row>
      <xdr:rowOff>148891</xdr:rowOff>
    </xdr:from>
    <xdr:to>
      <xdr:col>5</xdr:col>
      <xdr:colOff>182902</xdr:colOff>
      <xdr:row>155</xdr:row>
      <xdr:rowOff>109008</xdr:rowOff>
    </xdr:to>
    <xdr:cxnSp macro="">
      <xdr:nvCxnSpPr>
        <xdr:cNvPr id="58" name="Conector recto 57"/>
        <xdr:cNvCxnSpPr/>
      </xdr:nvCxnSpPr>
      <xdr:spPr>
        <a:xfrm flipV="1">
          <a:off x="2079095" y="26796031"/>
          <a:ext cx="580307" cy="50875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120882</xdr:colOff>
      <xdr:row>153</xdr:row>
      <xdr:rowOff>30479</xdr:rowOff>
    </xdr:from>
    <xdr:to>
      <xdr:col>5</xdr:col>
      <xdr:colOff>354192</xdr:colOff>
      <xdr:row>157</xdr:row>
      <xdr:rowOff>47478</xdr:rowOff>
    </xdr:to>
    <xdr:cxnSp macro="">
      <xdr:nvCxnSpPr>
        <xdr:cNvPr id="59" name="Conector recto 58"/>
        <xdr:cNvCxnSpPr/>
      </xdr:nvCxnSpPr>
      <xdr:spPr>
        <a:xfrm flipV="1">
          <a:off x="3740382" y="29822562"/>
          <a:ext cx="233310" cy="77899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543055</xdr:colOff>
      <xdr:row>153</xdr:row>
      <xdr:rowOff>18751</xdr:rowOff>
    </xdr:from>
    <xdr:to>
      <xdr:col>5</xdr:col>
      <xdr:colOff>756409</xdr:colOff>
      <xdr:row>157</xdr:row>
      <xdr:rowOff>53330</xdr:rowOff>
    </xdr:to>
    <xdr:cxnSp macro="">
      <xdr:nvCxnSpPr>
        <xdr:cNvPr id="60" name="Conector recto 59"/>
        <xdr:cNvCxnSpPr/>
      </xdr:nvCxnSpPr>
      <xdr:spPr>
        <a:xfrm flipH="1" flipV="1">
          <a:off x="4162555" y="29810834"/>
          <a:ext cx="213354" cy="79657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677333</xdr:colOff>
      <xdr:row>152</xdr:row>
      <xdr:rowOff>127000</xdr:rowOff>
    </xdr:from>
    <xdr:to>
      <xdr:col>6</xdr:col>
      <xdr:colOff>525682</xdr:colOff>
      <xdr:row>155</xdr:row>
      <xdr:rowOff>113739</xdr:rowOff>
    </xdr:to>
    <xdr:cxnSp macro="">
      <xdr:nvCxnSpPr>
        <xdr:cNvPr id="61" name="Conector recto 60"/>
        <xdr:cNvCxnSpPr/>
      </xdr:nvCxnSpPr>
      <xdr:spPr>
        <a:xfrm flipH="1" flipV="1">
          <a:off x="4296833" y="29728583"/>
          <a:ext cx="610349" cy="55823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709083</xdr:colOff>
      <xdr:row>152</xdr:row>
      <xdr:rowOff>21167</xdr:rowOff>
    </xdr:from>
    <xdr:to>
      <xdr:col>6</xdr:col>
      <xdr:colOff>738997</xdr:colOff>
      <xdr:row>152</xdr:row>
      <xdr:rowOff>114853</xdr:rowOff>
    </xdr:to>
    <xdr:cxnSp macro="">
      <xdr:nvCxnSpPr>
        <xdr:cNvPr id="62" name="Conector recto 61"/>
        <xdr:cNvCxnSpPr/>
      </xdr:nvCxnSpPr>
      <xdr:spPr>
        <a:xfrm flipH="1" flipV="1">
          <a:off x="4328583" y="29622750"/>
          <a:ext cx="791914" cy="9368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733092</xdr:colOff>
      <xdr:row>149</xdr:row>
      <xdr:rowOff>98533</xdr:rowOff>
    </xdr:from>
    <xdr:to>
      <xdr:col>6</xdr:col>
      <xdr:colOff>656907</xdr:colOff>
      <xdr:row>151</xdr:row>
      <xdr:rowOff>66311</xdr:rowOff>
    </xdr:to>
    <xdr:cxnSp macro="">
      <xdr:nvCxnSpPr>
        <xdr:cNvPr id="63" name="Conector recto 62"/>
        <xdr:cNvCxnSpPr/>
      </xdr:nvCxnSpPr>
      <xdr:spPr>
        <a:xfrm flipH="1">
          <a:off x="4352592" y="29107450"/>
          <a:ext cx="685815" cy="359361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444500</xdr:colOff>
      <xdr:row>173</xdr:row>
      <xdr:rowOff>49107</xdr:rowOff>
    </xdr:from>
    <xdr:to>
      <xdr:col>5</xdr:col>
      <xdr:colOff>455056</xdr:colOff>
      <xdr:row>177</xdr:row>
      <xdr:rowOff>190500</xdr:rowOff>
    </xdr:to>
    <xdr:cxnSp macro="">
      <xdr:nvCxnSpPr>
        <xdr:cNvPr id="64" name="Conector recto 63"/>
        <xdr:cNvCxnSpPr/>
      </xdr:nvCxnSpPr>
      <xdr:spPr>
        <a:xfrm flipH="1">
          <a:off x="4064000" y="33735857"/>
          <a:ext cx="10556" cy="91397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627803</xdr:colOff>
      <xdr:row>174</xdr:row>
      <xdr:rowOff>68569</xdr:rowOff>
    </xdr:from>
    <xdr:to>
      <xdr:col>5</xdr:col>
      <xdr:colOff>338667</xdr:colOff>
      <xdr:row>178</xdr:row>
      <xdr:rowOff>42333</xdr:rowOff>
    </xdr:to>
    <xdr:cxnSp macro="">
      <xdr:nvCxnSpPr>
        <xdr:cNvPr id="65" name="Conector recto 64"/>
        <xdr:cNvCxnSpPr/>
      </xdr:nvCxnSpPr>
      <xdr:spPr>
        <a:xfrm>
          <a:off x="3485303" y="33956402"/>
          <a:ext cx="472864" cy="746348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246790</xdr:colOff>
      <xdr:row>176</xdr:row>
      <xdr:rowOff>137161</xdr:rowOff>
    </xdr:from>
    <xdr:to>
      <xdr:col>5</xdr:col>
      <xdr:colOff>243417</xdr:colOff>
      <xdr:row>178</xdr:row>
      <xdr:rowOff>127000</xdr:rowOff>
    </xdr:to>
    <xdr:cxnSp macro="">
      <xdr:nvCxnSpPr>
        <xdr:cNvPr id="66" name="Conector recto 65"/>
        <xdr:cNvCxnSpPr/>
      </xdr:nvCxnSpPr>
      <xdr:spPr>
        <a:xfrm>
          <a:off x="3104290" y="34405994"/>
          <a:ext cx="758627" cy="38142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179</xdr:row>
      <xdr:rowOff>63500</xdr:rowOff>
    </xdr:from>
    <xdr:to>
      <xdr:col>5</xdr:col>
      <xdr:colOff>275167</xdr:colOff>
      <xdr:row>179</xdr:row>
      <xdr:rowOff>165278</xdr:rowOff>
    </xdr:to>
    <xdr:cxnSp macro="">
      <xdr:nvCxnSpPr>
        <xdr:cNvPr id="67" name="Conector recto 66"/>
        <xdr:cNvCxnSpPr/>
      </xdr:nvCxnSpPr>
      <xdr:spPr>
        <a:xfrm flipV="1">
          <a:off x="3002280" y="34914417"/>
          <a:ext cx="892387" cy="101778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402695</xdr:colOff>
      <xdr:row>179</xdr:row>
      <xdr:rowOff>167640</xdr:rowOff>
    </xdr:from>
    <xdr:to>
      <xdr:col>5</xdr:col>
      <xdr:colOff>243840</xdr:colOff>
      <xdr:row>182</xdr:row>
      <xdr:rowOff>154729</xdr:rowOff>
    </xdr:to>
    <xdr:cxnSp macro="">
      <xdr:nvCxnSpPr>
        <xdr:cNvPr id="68" name="Conector recto 67"/>
        <xdr:cNvCxnSpPr/>
      </xdr:nvCxnSpPr>
      <xdr:spPr>
        <a:xfrm flipV="1">
          <a:off x="2086715" y="31760160"/>
          <a:ext cx="633625" cy="53572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149671</xdr:colOff>
      <xdr:row>180</xdr:row>
      <xdr:rowOff>19897</xdr:rowOff>
    </xdr:from>
    <xdr:to>
      <xdr:col>5</xdr:col>
      <xdr:colOff>383541</xdr:colOff>
      <xdr:row>184</xdr:row>
      <xdr:rowOff>82616</xdr:rowOff>
    </xdr:to>
    <xdr:cxnSp macro="">
      <xdr:nvCxnSpPr>
        <xdr:cNvPr id="69" name="Conector recto 68"/>
        <xdr:cNvCxnSpPr/>
      </xdr:nvCxnSpPr>
      <xdr:spPr>
        <a:xfrm flipV="1">
          <a:off x="3769171" y="35071897"/>
          <a:ext cx="233870" cy="82471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529167</xdr:colOff>
      <xdr:row>180</xdr:row>
      <xdr:rowOff>10583</xdr:rowOff>
    </xdr:from>
    <xdr:to>
      <xdr:col>6</xdr:col>
      <xdr:colOff>12616</xdr:colOff>
      <xdr:row>184</xdr:row>
      <xdr:rowOff>88469</xdr:rowOff>
    </xdr:to>
    <xdr:cxnSp macro="">
      <xdr:nvCxnSpPr>
        <xdr:cNvPr id="70" name="Conector recto 69"/>
        <xdr:cNvCxnSpPr/>
      </xdr:nvCxnSpPr>
      <xdr:spPr>
        <a:xfrm flipH="1" flipV="1">
          <a:off x="4148667" y="35062583"/>
          <a:ext cx="245449" cy="83988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179</xdr:row>
      <xdr:rowOff>158750</xdr:rowOff>
    </xdr:from>
    <xdr:to>
      <xdr:col>6</xdr:col>
      <xdr:colOff>512136</xdr:colOff>
      <xdr:row>182</xdr:row>
      <xdr:rowOff>127710</xdr:rowOff>
    </xdr:to>
    <xdr:cxnSp macro="">
      <xdr:nvCxnSpPr>
        <xdr:cNvPr id="71" name="Conector recto 70"/>
        <xdr:cNvCxnSpPr/>
      </xdr:nvCxnSpPr>
      <xdr:spPr>
        <a:xfrm flipH="1" flipV="1">
          <a:off x="4222750" y="35009667"/>
          <a:ext cx="670886" cy="55104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179</xdr:row>
      <xdr:rowOff>63500</xdr:rowOff>
    </xdr:from>
    <xdr:to>
      <xdr:col>6</xdr:col>
      <xdr:colOff>683119</xdr:colOff>
      <xdr:row>179</xdr:row>
      <xdr:rowOff>149990</xdr:rowOff>
    </xdr:to>
    <xdr:cxnSp macro="">
      <xdr:nvCxnSpPr>
        <xdr:cNvPr id="72" name="Conector recto 71"/>
        <xdr:cNvCxnSpPr/>
      </xdr:nvCxnSpPr>
      <xdr:spPr>
        <a:xfrm flipH="1" flipV="1">
          <a:off x="4286250" y="34914417"/>
          <a:ext cx="778369" cy="8649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144253</xdr:rowOff>
    </xdr:from>
    <xdr:to>
      <xdr:col>6</xdr:col>
      <xdr:colOff>685694</xdr:colOff>
      <xdr:row>178</xdr:row>
      <xdr:rowOff>137583</xdr:rowOff>
    </xdr:to>
    <xdr:cxnSp macro="">
      <xdr:nvCxnSpPr>
        <xdr:cNvPr id="73" name="Conector recto 72"/>
        <xdr:cNvCxnSpPr/>
      </xdr:nvCxnSpPr>
      <xdr:spPr>
        <a:xfrm flipH="1">
          <a:off x="4286250" y="34413086"/>
          <a:ext cx="780944" cy="38491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637536</xdr:colOff>
      <xdr:row>147</xdr:row>
      <xdr:rowOff>30480</xdr:rowOff>
    </xdr:from>
    <xdr:to>
      <xdr:col>6</xdr:col>
      <xdr:colOff>271764</xdr:colOff>
      <xdr:row>150</xdr:row>
      <xdr:rowOff>121929</xdr:rowOff>
    </xdr:to>
    <xdr:cxnSp macro="">
      <xdr:nvCxnSpPr>
        <xdr:cNvPr id="74" name="Conector recto 73"/>
        <xdr:cNvCxnSpPr/>
      </xdr:nvCxnSpPr>
      <xdr:spPr>
        <a:xfrm flipH="1">
          <a:off x="4257036" y="28658397"/>
          <a:ext cx="396228" cy="67353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592667</xdr:colOff>
      <xdr:row>174</xdr:row>
      <xdr:rowOff>65617</xdr:rowOff>
    </xdr:from>
    <xdr:to>
      <xdr:col>6</xdr:col>
      <xdr:colOff>279384</xdr:colOff>
      <xdr:row>178</xdr:row>
      <xdr:rowOff>21166</xdr:rowOff>
    </xdr:to>
    <xdr:cxnSp macro="">
      <xdr:nvCxnSpPr>
        <xdr:cNvPr id="75" name="Conector recto 74"/>
        <xdr:cNvCxnSpPr/>
      </xdr:nvCxnSpPr>
      <xdr:spPr>
        <a:xfrm flipH="1">
          <a:off x="4212167" y="33953450"/>
          <a:ext cx="448717" cy="728133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499082</xdr:colOff>
      <xdr:row>199</xdr:row>
      <xdr:rowOff>192194</xdr:rowOff>
    </xdr:from>
    <xdr:to>
      <xdr:col>5</xdr:col>
      <xdr:colOff>508000</xdr:colOff>
      <xdr:row>204</xdr:row>
      <xdr:rowOff>137583</xdr:rowOff>
    </xdr:to>
    <xdr:cxnSp macro="">
      <xdr:nvCxnSpPr>
        <xdr:cNvPr id="76" name="Conector recto 75"/>
        <xdr:cNvCxnSpPr/>
      </xdr:nvCxnSpPr>
      <xdr:spPr>
        <a:xfrm>
          <a:off x="4118582" y="38937777"/>
          <a:ext cx="8918" cy="91905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650663</xdr:colOff>
      <xdr:row>200</xdr:row>
      <xdr:rowOff>182869</xdr:rowOff>
    </xdr:from>
    <xdr:to>
      <xdr:col>5</xdr:col>
      <xdr:colOff>370417</xdr:colOff>
      <xdr:row>205</xdr:row>
      <xdr:rowOff>0</xdr:rowOff>
    </xdr:to>
    <xdr:cxnSp macro="">
      <xdr:nvCxnSpPr>
        <xdr:cNvPr id="77" name="Conector recto 76"/>
        <xdr:cNvCxnSpPr/>
      </xdr:nvCxnSpPr>
      <xdr:spPr>
        <a:xfrm>
          <a:off x="3508163" y="39129536"/>
          <a:ext cx="481754" cy="78021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269650</xdr:colOff>
      <xdr:row>203</xdr:row>
      <xdr:rowOff>79164</xdr:rowOff>
    </xdr:from>
    <xdr:to>
      <xdr:col>5</xdr:col>
      <xdr:colOff>306917</xdr:colOff>
      <xdr:row>205</xdr:row>
      <xdr:rowOff>105833</xdr:rowOff>
    </xdr:to>
    <xdr:cxnSp macro="">
      <xdr:nvCxnSpPr>
        <xdr:cNvPr id="78" name="Conector recto 77"/>
        <xdr:cNvCxnSpPr/>
      </xdr:nvCxnSpPr>
      <xdr:spPr>
        <a:xfrm>
          <a:off x="3127150" y="39597331"/>
          <a:ext cx="799267" cy="41825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205</xdr:row>
      <xdr:rowOff>167640</xdr:rowOff>
    </xdr:from>
    <xdr:to>
      <xdr:col>5</xdr:col>
      <xdr:colOff>251460</xdr:colOff>
      <xdr:row>206</xdr:row>
      <xdr:rowOff>96697</xdr:rowOff>
    </xdr:to>
    <xdr:cxnSp macro="">
      <xdr:nvCxnSpPr>
        <xdr:cNvPr id="79" name="Conector recto 78"/>
        <xdr:cNvCxnSpPr/>
      </xdr:nvCxnSpPr>
      <xdr:spPr>
        <a:xfrm flipV="1">
          <a:off x="1851660" y="36522660"/>
          <a:ext cx="876300" cy="11193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414972</xdr:colOff>
      <xdr:row>206</xdr:row>
      <xdr:rowOff>63500</xdr:rowOff>
    </xdr:from>
    <xdr:to>
      <xdr:col>5</xdr:col>
      <xdr:colOff>349250</xdr:colOff>
      <xdr:row>209</xdr:row>
      <xdr:rowOff>75567</xdr:rowOff>
    </xdr:to>
    <xdr:cxnSp macro="">
      <xdr:nvCxnSpPr>
        <xdr:cNvPr id="80" name="Conector recto 79"/>
        <xdr:cNvCxnSpPr/>
      </xdr:nvCxnSpPr>
      <xdr:spPr>
        <a:xfrm flipV="1">
          <a:off x="3272472" y="40174333"/>
          <a:ext cx="696278" cy="58356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151364</xdr:colOff>
      <xdr:row>206</xdr:row>
      <xdr:rowOff>95250</xdr:rowOff>
    </xdr:from>
    <xdr:to>
      <xdr:col>5</xdr:col>
      <xdr:colOff>433917</xdr:colOff>
      <xdr:row>211</xdr:row>
      <xdr:rowOff>14037</xdr:rowOff>
    </xdr:to>
    <xdr:cxnSp macro="">
      <xdr:nvCxnSpPr>
        <xdr:cNvPr id="81" name="Conector recto 80"/>
        <xdr:cNvCxnSpPr/>
      </xdr:nvCxnSpPr>
      <xdr:spPr>
        <a:xfrm flipV="1">
          <a:off x="3770864" y="40206083"/>
          <a:ext cx="282553" cy="871287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560917</xdr:colOff>
      <xdr:row>206</xdr:row>
      <xdr:rowOff>137584</xdr:rowOff>
    </xdr:from>
    <xdr:to>
      <xdr:col>6</xdr:col>
      <xdr:colOff>56642</xdr:colOff>
      <xdr:row>211</xdr:row>
      <xdr:rowOff>19889</xdr:rowOff>
    </xdr:to>
    <xdr:cxnSp macro="">
      <xdr:nvCxnSpPr>
        <xdr:cNvPr id="82" name="Conector recto 81"/>
        <xdr:cNvCxnSpPr/>
      </xdr:nvCxnSpPr>
      <xdr:spPr>
        <a:xfrm flipH="1" flipV="1">
          <a:off x="4180417" y="40248417"/>
          <a:ext cx="257725" cy="834805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624417</xdr:colOff>
      <xdr:row>206</xdr:row>
      <xdr:rowOff>52917</xdr:rowOff>
    </xdr:from>
    <xdr:to>
      <xdr:col>6</xdr:col>
      <xdr:colOff>556166</xdr:colOff>
      <xdr:row>209</xdr:row>
      <xdr:rowOff>80296</xdr:rowOff>
    </xdr:to>
    <xdr:cxnSp macro="">
      <xdr:nvCxnSpPr>
        <xdr:cNvPr id="83" name="Conector recto 82"/>
        <xdr:cNvCxnSpPr/>
      </xdr:nvCxnSpPr>
      <xdr:spPr>
        <a:xfrm flipH="1" flipV="1">
          <a:off x="4243917" y="40163750"/>
          <a:ext cx="693749" cy="59887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660823</xdr:colOff>
      <xdr:row>205</xdr:row>
      <xdr:rowOff>175260</xdr:rowOff>
    </xdr:from>
    <xdr:to>
      <xdr:col>6</xdr:col>
      <xdr:colOff>705981</xdr:colOff>
      <xdr:row>206</xdr:row>
      <xdr:rowOff>102576</xdr:rowOff>
    </xdr:to>
    <xdr:cxnSp macro="">
      <xdr:nvCxnSpPr>
        <xdr:cNvPr id="84" name="Conector recto 83"/>
        <xdr:cNvCxnSpPr/>
      </xdr:nvCxnSpPr>
      <xdr:spPr>
        <a:xfrm flipH="1" flipV="1">
          <a:off x="4280323" y="40085010"/>
          <a:ext cx="807158" cy="12839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677333</xdr:colOff>
      <xdr:row>203</xdr:row>
      <xdr:rowOff>75674</xdr:rowOff>
    </xdr:from>
    <xdr:to>
      <xdr:col>6</xdr:col>
      <xdr:colOff>719142</xdr:colOff>
      <xdr:row>205</xdr:row>
      <xdr:rowOff>116417</xdr:rowOff>
    </xdr:to>
    <xdr:cxnSp macro="">
      <xdr:nvCxnSpPr>
        <xdr:cNvPr id="85" name="Conector recto 84"/>
        <xdr:cNvCxnSpPr/>
      </xdr:nvCxnSpPr>
      <xdr:spPr>
        <a:xfrm flipH="1">
          <a:off x="4296833" y="39593841"/>
          <a:ext cx="803809" cy="432326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200</xdr:row>
      <xdr:rowOff>166370</xdr:rowOff>
    </xdr:from>
    <xdr:to>
      <xdr:col>6</xdr:col>
      <xdr:colOff>333998</xdr:colOff>
      <xdr:row>205</xdr:row>
      <xdr:rowOff>21167</xdr:rowOff>
    </xdr:to>
    <xdr:cxnSp macro="">
      <xdr:nvCxnSpPr>
        <xdr:cNvPr id="86" name="Conector recto 85"/>
        <xdr:cNvCxnSpPr/>
      </xdr:nvCxnSpPr>
      <xdr:spPr>
        <a:xfrm flipH="1">
          <a:off x="4254500" y="39113037"/>
          <a:ext cx="460998" cy="81788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22</xdr:row>
      <xdr:rowOff>22860</xdr:rowOff>
    </xdr:from>
    <xdr:to>
      <xdr:col>11</xdr:col>
      <xdr:colOff>175260</xdr:colOff>
      <xdr:row>22</xdr:row>
      <xdr:rowOff>160020</xdr:rowOff>
    </xdr:to>
    <xdr:sp macro="" textlink="">
      <xdr:nvSpPr>
        <xdr:cNvPr id="148" name="Flecha: hacia arriba 147"/>
        <xdr:cNvSpPr/>
      </xdr:nvSpPr>
      <xdr:spPr>
        <a:xfrm>
          <a:off x="7490460" y="4152900"/>
          <a:ext cx="121920" cy="1371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281940</xdr:colOff>
      <xdr:row>10</xdr:row>
      <xdr:rowOff>30480</xdr:rowOff>
    </xdr:from>
    <xdr:to>
      <xdr:col>2</xdr:col>
      <xdr:colOff>312420</xdr:colOff>
      <xdr:row>15</xdr:row>
      <xdr:rowOff>15240</xdr:rowOff>
    </xdr:to>
    <xdr:graphicFrame macro="">
      <xdr:nvGraphicFramePr>
        <xdr:cNvPr id="149" name="Gráfico 1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2</xdr:col>
      <xdr:colOff>426720</xdr:colOff>
      <xdr:row>41</xdr:row>
      <xdr:rowOff>167640</xdr:rowOff>
    </xdr:to>
    <xdr:graphicFrame macro="">
      <xdr:nvGraphicFramePr>
        <xdr:cNvPr id="150" name="Gráfico 1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289560</xdr:colOff>
      <xdr:row>66</xdr:row>
      <xdr:rowOff>53340</xdr:rowOff>
    </xdr:from>
    <xdr:to>
      <xdr:col>2</xdr:col>
      <xdr:colOff>320040</xdr:colOff>
      <xdr:row>71</xdr:row>
      <xdr:rowOff>30480</xdr:rowOff>
    </xdr:to>
    <xdr:graphicFrame macro="">
      <xdr:nvGraphicFramePr>
        <xdr:cNvPr id="151" name="Gráfico 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327660</xdr:colOff>
      <xdr:row>94</xdr:row>
      <xdr:rowOff>38100</xdr:rowOff>
    </xdr:from>
    <xdr:to>
      <xdr:col>2</xdr:col>
      <xdr:colOff>358140</xdr:colOff>
      <xdr:row>99</xdr:row>
      <xdr:rowOff>15240</xdr:rowOff>
    </xdr:to>
    <xdr:graphicFrame macro="">
      <xdr:nvGraphicFramePr>
        <xdr:cNvPr id="152" name="Gráfico 1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335280</xdr:colOff>
      <xdr:row>120</xdr:row>
      <xdr:rowOff>7620</xdr:rowOff>
    </xdr:from>
    <xdr:to>
      <xdr:col>2</xdr:col>
      <xdr:colOff>365760</xdr:colOff>
      <xdr:row>124</xdr:row>
      <xdr:rowOff>175260</xdr:rowOff>
    </xdr:to>
    <xdr:graphicFrame macro="">
      <xdr:nvGraphicFramePr>
        <xdr:cNvPr id="153" name="Gráfico 1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289560</xdr:colOff>
      <xdr:row>148</xdr:row>
      <xdr:rowOff>22860</xdr:rowOff>
    </xdr:from>
    <xdr:to>
      <xdr:col>2</xdr:col>
      <xdr:colOff>320040</xdr:colOff>
      <xdr:row>153</xdr:row>
      <xdr:rowOff>0</xdr:rowOff>
    </xdr:to>
    <xdr:graphicFrame macro="">
      <xdr:nvGraphicFramePr>
        <xdr:cNvPr id="154" name="Gráfico 1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297180</xdr:colOff>
      <xdr:row>174</xdr:row>
      <xdr:rowOff>167640</xdr:rowOff>
    </xdr:from>
    <xdr:to>
      <xdr:col>2</xdr:col>
      <xdr:colOff>327660</xdr:colOff>
      <xdr:row>179</xdr:row>
      <xdr:rowOff>152400</xdr:rowOff>
    </xdr:to>
    <xdr:graphicFrame macro="">
      <xdr:nvGraphicFramePr>
        <xdr:cNvPr id="155" name="Gráfico 1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274320</xdr:colOff>
      <xdr:row>202</xdr:row>
      <xdr:rowOff>22860</xdr:rowOff>
    </xdr:from>
    <xdr:to>
      <xdr:col>2</xdr:col>
      <xdr:colOff>304800</xdr:colOff>
      <xdr:row>207</xdr:row>
      <xdr:rowOff>0</xdr:rowOff>
    </xdr:to>
    <xdr:graphicFrame macro="">
      <xdr:nvGraphicFramePr>
        <xdr:cNvPr id="156" name="Gráfico 1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1690</xdr:colOff>
      <xdr:row>22</xdr:row>
      <xdr:rowOff>152400</xdr:rowOff>
    </xdr:from>
    <xdr:to>
      <xdr:col>5</xdr:col>
      <xdr:colOff>358984</xdr:colOff>
      <xdr:row>24</xdr:row>
      <xdr:rowOff>91440</xdr:rowOff>
    </xdr:to>
    <xdr:sp macro="" textlink="">
      <xdr:nvSpPr>
        <xdr:cNvPr id="157" name="Rectángulo: esquinas redondeadas 156"/>
        <xdr:cNvSpPr/>
      </xdr:nvSpPr>
      <xdr:spPr>
        <a:xfrm>
          <a:off x="1356357" y="4428067"/>
          <a:ext cx="1881294" cy="3835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60960</xdr:colOff>
      <xdr:row>25</xdr:row>
      <xdr:rowOff>30480</xdr:rowOff>
    </xdr:from>
    <xdr:to>
      <xdr:col>11</xdr:col>
      <xdr:colOff>182880</xdr:colOff>
      <xdr:row>25</xdr:row>
      <xdr:rowOff>167640</xdr:rowOff>
    </xdr:to>
    <xdr:sp macro="" textlink="">
      <xdr:nvSpPr>
        <xdr:cNvPr id="158" name="Flecha: hacia arriba 157"/>
        <xdr:cNvSpPr/>
      </xdr:nvSpPr>
      <xdr:spPr>
        <a:xfrm rot="10800000">
          <a:off x="7498080" y="4754880"/>
          <a:ext cx="121920" cy="137160"/>
        </a:xfrm>
        <a:prstGeom prst="upArrow">
          <a:avLst/>
        </a:prstGeom>
        <a:solidFill>
          <a:schemeClr val="accent2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60960</xdr:colOff>
      <xdr:row>19</xdr:row>
      <xdr:rowOff>30480</xdr:rowOff>
    </xdr:from>
    <xdr:to>
      <xdr:col>11</xdr:col>
      <xdr:colOff>182880</xdr:colOff>
      <xdr:row>19</xdr:row>
      <xdr:rowOff>167640</xdr:rowOff>
    </xdr:to>
    <xdr:sp macro="" textlink="">
      <xdr:nvSpPr>
        <xdr:cNvPr id="159" name="Flecha: hacia arriba 158"/>
        <xdr:cNvSpPr/>
      </xdr:nvSpPr>
      <xdr:spPr>
        <a:xfrm rot="10800000">
          <a:off x="7498080" y="3611880"/>
          <a:ext cx="121920" cy="137160"/>
        </a:xfrm>
        <a:prstGeom prst="upArrow">
          <a:avLst/>
        </a:prstGeom>
        <a:solidFill>
          <a:schemeClr val="accent2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59265</xdr:colOff>
      <xdr:row>12</xdr:row>
      <xdr:rowOff>33867</xdr:rowOff>
    </xdr:from>
    <xdr:to>
      <xdr:col>15</xdr:col>
      <xdr:colOff>181185</xdr:colOff>
      <xdr:row>12</xdr:row>
      <xdr:rowOff>171027</xdr:rowOff>
    </xdr:to>
    <xdr:sp macro="" textlink="">
      <xdr:nvSpPr>
        <xdr:cNvPr id="160" name="Flecha: hacia arriba 159"/>
        <xdr:cNvSpPr/>
      </xdr:nvSpPr>
      <xdr:spPr>
        <a:xfrm>
          <a:off x="10701865" y="2362200"/>
          <a:ext cx="121920" cy="1371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19</xdr:col>
      <xdr:colOff>76198</xdr:colOff>
      <xdr:row>9</xdr:row>
      <xdr:rowOff>33868</xdr:rowOff>
    </xdr:from>
    <xdr:to>
      <xdr:col>19</xdr:col>
      <xdr:colOff>198118</xdr:colOff>
      <xdr:row>9</xdr:row>
      <xdr:rowOff>171028</xdr:rowOff>
    </xdr:to>
    <xdr:sp macro="" textlink="">
      <xdr:nvSpPr>
        <xdr:cNvPr id="161" name="Flecha: hacia arriba 160"/>
        <xdr:cNvSpPr/>
      </xdr:nvSpPr>
      <xdr:spPr>
        <a:xfrm>
          <a:off x="13546665" y="1803401"/>
          <a:ext cx="121920" cy="1371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19</xdr:col>
      <xdr:colOff>76201</xdr:colOff>
      <xdr:row>12</xdr:row>
      <xdr:rowOff>33864</xdr:rowOff>
    </xdr:from>
    <xdr:to>
      <xdr:col>19</xdr:col>
      <xdr:colOff>198121</xdr:colOff>
      <xdr:row>12</xdr:row>
      <xdr:rowOff>171024</xdr:rowOff>
    </xdr:to>
    <xdr:sp macro="" textlink="">
      <xdr:nvSpPr>
        <xdr:cNvPr id="162" name="Flecha: hacia arriba 161"/>
        <xdr:cNvSpPr/>
      </xdr:nvSpPr>
      <xdr:spPr>
        <a:xfrm>
          <a:off x="13546668" y="2362197"/>
          <a:ext cx="121920" cy="1371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15</xdr:col>
      <xdr:colOff>50802</xdr:colOff>
      <xdr:row>23</xdr:row>
      <xdr:rowOff>50802</xdr:rowOff>
    </xdr:from>
    <xdr:to>
      <xdr:col>15</xdr:col>
      <xdr:colOff>172722</xdr:colOff>
      <xdr:row>23</xdr:row>
      <xdr:rowOff>187962</xdr:rowOff>
    </xdr:to>
    <xdr:sp macro="" textlink="">
      <xdr:nvSpPr>
        <xdr:cNvPr id="163" name="Flecha: hacia arriba 162"/>
        <xdr:cNvSpPr/>
      </xdr:nvSpPr>
      <xdr:spPr>
        <a:xfrm rot="10800000">
          <a:off x="10693402" y="4445002"/>
          <a:ext cx="121920" cy="137160"/>
        </a:xfrm>
        <a:prstGeom prst="upArrow">
          <a:avLst/>
        </a:prstGeom>
        <a:solidFill>
          <a:schemeClr val="accent2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1690</xdr:colOff>
      <xdr:row>49</xdr:row>
      <xdr:rowOff>152400</xdr:rowOff>
    </xdr:from>
    <xdr:to>
      <xdr:col>6</xdr:col>
      <xdr:colOff>465666</xdr:colOff>
      <xdr:row>51</xdr:row>
      <xdr:rowOff>91440</xdr:rowOff>
    </xdr:to>
    <xdr:sp macro="" textlink="">
      <xdr:nvSpPr>
        <xdr:cNvPr id="164" name="Rectángulo: esquinas redondeadas 163"/>
        <xdr:cNvSpPr/>
      </xdr:nvSpPr>
      <xdr:spPr>
        <a:xfrm>
          <a:off x="1356357" y="9677400"/>
          <a:ext cx="2749976" cy="3835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403860</xdr:colOff>
      <xdr:row>214</xdr:row>
      <xdr:rowOff>152400</xdr:rowOff>
    </xdr:from>
    <xdr:to>
      <xdr:col>5</xdr:col>
      <xdr:colOff>222250</xdr:colOff>
      <xdr:row>216</xdr:row>
      <xdr:rowOff>91440</xdr:rowOff>
    </xdr:to>
    <xdr:sp macro="" textlink="">
      <xdr:nvSpPr>
        <xdr:cNvPr id="104" name="Rectángulo: esquinas redondeadas 103"/>
        <xdr:cNvSpPr/>
      </xdr:nvSpPr>
      <xdr:spPr>
        <a:xfrm>
          <a:off x="2012527" y="41797817"/>
          <a:ext cx="1829223" cy="37295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403860</xdr:colOff>
      <xdr:row>187</xdr:row>
      <xdr:rowOff>152400</xdr:rowOff>
    </xdr:from>
    <xdr:to>
      <xdr:col>5</xdr:col>
      <xdr:colOff>243417</xdr:colOff>
      <xdr:row>189</xdr:row>
      <xdr:rowOff>91440</xdr:rowOff>
    </xdr:to>
    <xdr:sp macro="" textlink="">
      <xdr:nvSpPr>
        <xdr:cNvPr id="106" name="Rectángulo: esquinas redondeadas 105"/>
        <xdr:cNvSpPr/>
      </xdr:nvSpPr>
      <xdr:spPr>
        <a:xfrm>
          <a:off x="2012527" y="36537900"/>
          <a:ext cx="1850390" cy="3835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403860</xdr:colOff>
      <xdr:row>160</xdr:row>
      <xdr:rowOff>152400</xdr:rowOff>
    </xdr:from>
    <xdr:to>
      <xdr:col>5</xdr:col>
      <xdr:colOff>274320</xdr:colOff>
      <xdr:row>162</xdr:row>
      <xdr:rowOff>91440</xdr:rowOff>
    </xdr:to>
    <xdr:sp macro="" textlink="">
      <xdr:nvSpPr>
        <xdr:cNvPr id="107" name="Rectángulo: esquinas redondeadas 106"/>
        <xdr:cNvSpPr/>
      </xdr:nvSpPr>
      <xdr:spPr>
        <a:xfrm>
          <a:off x="1301327" y="4351867"/>
          <a:ext cx="1961726" cy="35390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403860</xdr:colOff>
      <xdr:row>133</xdr:row>
      <xdr:rowOff>152400</xdr:rowOff>
    </xdr:from>
    <xdr:to>
      <xdr:col>5</xdr:col>
      <xdr:colOff>274320</xdr:colOff>
      <xdr:row>135</xdr:row>
      <xdr:rowOff>91440</xdr:rowOff>
    </xdr:to>
    <xdr:sp macro="" textlink="">
      <xdr:nvSpPr>
        <xdr:cNvPr id="109" name="Rectángulo: esquinas redondeadas 108"/>
        <xdr:cNvSpPr/>
      </xdr:nvSpPr>
      <xdr:spPr>
        <a:xfrm>
          <a:off x="1301327" y="4351867"/>
          <a:ext cx="1961726" cy="35390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403860</xdr:colOff>
      <xdr:row>106</xdr:row>
      <xdr:rowOff>152400</xdr:rowOff>
    </xdr:from>
    <xdr:to>
      <xdr:col>5</xdr:col>
      <xdr:colOff>274320</xdr:colOff>
      <xdr:row>108</xdr:row>
      <xdr:rowOff>91440</xdr:rowOff>
    </xdr:to>
    <xdr:sp macro="" textlink="">
      <xdr:nvSpPr>
        <xdr:cNvPr id="110" name="Rectángulo: esquinas redondeadas 109"/>
        <xdr:cNvSpPr/>
      </xdr:nvSpPr>
      <xdr:spPr>
        <a:xfrm>
          <a:off x="1301327" y="4351867"/>
          <a:ext cx="1961726" cy="35390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1688</xdr:colOff>
      <xdr:row>78</xdr:row>
      <xdr:rowOff>152400</xdr:rowOff>
    </xdr:from>
    <xdr:to>
      <xdr:col>6</xdr:col>
      <xdr:colOff>402166</xdr:colOff>
      <xdr:row>80</xdr:row>
      <xdr:rowOff>91440</xdr:rowOff>
    </xdr:to>
    <xdr:sp macro="" textlink="">
      <xdr:nvSpPr>
        <xdr:cNvPr id="111" name="Rectángulo: esquinas redondeadas 110"/>
        <xdr:cNvSpPr/>
      </xdr:nvSpPr>
      <xdr:spPr>
        <a:xfrm>
          <a:off x="1356355" y="15318317"/>
          <a:ext cx="2686478" cy="3835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0.53438</cdr:x>
      <cdr:y>0.15307</cdr:y>
    </cdr:from>
    <cdr:to>
      <cdr:x>0.64728</cdr:x>
      <cdr:y>0.40685</cdr:y>
    </cdr:to>
    <cdr:cxnSp macro="">
      <cdr:nvCxnSpPr>
        <cdr:cNvPr id="13" name="Conector recto 12"/>
        <cdr:cNvCxnSpPr/>
      </cdr:nvCxnSpPr>
      <cdr:spPr>
        <a:xfrm xmlns:a="http://schemas.openxmlformats.org/drawingml/2006/main" flipH="1">
          <a:off x="2019691" y="386080"/>
          <a:ext cx="426720" cy="6400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0.49607</cdr:x>
      <cdr:y>0.08963</cdr:y>
    </cdr:from>
    <cdr:to>
      <cdr:x>0.5001</cdr:x>
      <cdr:y>0.39174</cdr:y>
    </cdr:to>
    <cdr:cxnSp macro="">
      <cdr:nvCxnSpPr>
        <cdr:cNvPr id="14" name="Conector recto 13"/>
        <cdr:cNvCxnSpPr/>
      </cdr:nvCxnSpPr>
      <cdr:spPr>
        <a:xfrm xmlns:a="http://schemas.openxmlformats.org/drawingml/2006/main" flipH="1">
          <a:off x="1874911" y="226060"/>
          <a:ext cx="15240" cy="762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0.35293</cdr:x>
      <cdr:y>0.15307</cdr:y>
    </cdr:from>
    <cdr:to>
      <cdr:x>0.45776</cdr:x>
      <cdr:y>0.40987</cdr:y>
    </cdr:to>
    <cdr:cxnSp macro="">
      <cdr:nvCxnSpPr>
        <cdr:cNvPr id="15" name="Conector recto 14"/>
        <cdr:cNvCxnSpPr/>
      </cdr:nvCxnSpPr>
      <cdr:spPr>
        <a:xfrm xmlns:a="http://schemas.openxmlformats.org/drawingml/2006/main">
          <a:off x="1333891" y="386080"/>
          <a:ext cx="396240" cy="647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0.25212</cdr:x>
      <cdr:y>0.32528</cdr:y>
    </cdr:from>
    <cdr:to>
      <cdr:x>0.4376</cdr:x>
      <cdr:y>0.45519</cdr:y>
    </cdr:to>
    <cdr:cxnSp macro="">
      <cdr:nvCxnSpPr>
        <cdr:cNvPr id="16" name="Conector recto 15"/>
        <cdr:cNvCxnSpPr/>
      </cdr:nvCxnSpPr>
      <cdr:spPr>
        <a:xfrm xmlns:a="http://schemas.openxmlformats.org/drawingml/2006/main">
          <a:off x="952891" y="820420"/>
          <a:ext cx="701040" cy="32766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0.22513</cdr:x>
      <cdr:y>0.51677</cdr:y>
    </cdr:from>
    <cdr:to>
      <cdr:x>0.43295</cdr:x>
      <cdr:y>0.55395</cdr:y>
    </cdr:to>
    <cdr:cxnSp macro="">
      <cdr:nvCxnSpPr>
        <cdr:cNvPr id="17" name="Conector recto 16"/>
        <cdr:cNvCxnSpPr/>
      </cdr:nvCxnSpPr>
      <cdr:spPr>
        <a:xfrm xmlns:a="http://schemas.openxmlformats.org/drawingml/2006/main" flipV="1">
          <a:off x="850900" y="1303414"/>
          <a:ext cx="785446" cy="9378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0.29337</cdr:x>
      <cdr:y>0.56558</cdr:y>
    </cdr:from>
    <cdr:to>
      <cdr:x>0.44691</cdr:x>
      <cdr:y>0.76729</cdr:y>
    </cdr:to>
    <cdr:cxnSp macro="">
      <cdr:nvCxnSpPr>
        <cdr:cNvPr id="18" name="Conector recto 17"/>
        <cdr:cNvCxnSpPr/>
      </cdr:nvCxnSpPr>
      <cdr:spPr>
        <a:xfrm xmlns:a="http://schemas.openxmlformats.org/drawingml/2006/main" flipV="1">
          <a:off x="1108808" y="1426510"/>
          <a:ext cx="580292" cy="5087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0.4193</cdr:x>
      <cdr:y>0.59114</cdr:y>
    </cdr:from>
    <cdr:to>
      <cdr:x>0.48103</cdr:x>
      <cdr:y>0.88791</cdr:y>
    </cdr:to>
    <cdr:cxnSp macro="">
      <cdr:nvCxnSpPr>
        <cdr:cNvPr id="19" name="Conector recto 18"/>
        <cdr:cNvCxnSpPr/>
      </cdr:nvCxnSpPr>
      <cdr:spPr>
        <a:xfrm xmlns:a="http://schemas.openxmlformats.org/drawingml/2006/main" flipV="1">
          <a:off x="1584765" y="1490988"/>
          <a:ext cx="233289" cy="74851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0.5198</cdr:x>
      <cdr:y>0.58649</cdr:y>
    </cdr:from>
    <cdr:to>
      <cdr:x>0.57625</cdr:x>
      <cdr:y>0.89023</cdr:y>
    </cdr:to>
    <cdr:cxnSp macro="">
      <cdr:nvCxnSpPr>
        <cdr:cNvPr id="20" name="Conector recto 19"/>
        <cdr:cNvCxnSpPr/>
      </cdr:nvCxnSpPr>
      <cdr:spPr>
        <a:xfrm xmlns:a="http://schemas.openxmlformats.org/drawingml/2006/main" flipH="1" flipV="1">
          <a:off x="1964592" y="1479266"/>
          <a:ext cx="213361" cy="76609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0.55082</cdr:x>
      <cdr:y>0.56093</cdr:y>
    </cdr:from>
    <cdr:to>
      <cdr:x>0.70808</cdr:x>
      <cdr:y>0.76497</cdr:y>
    </cdr:to>
    <cdr:cxnSp macro="">
      <cdr:nvCxnSpPr>
        <cdr:cNvPr id="21" name="Conector recto 20"/>
        <cdr:cNvCxnSpPr/>
      </cdr:nvCxnSpPr>
      <cdr:spPr>
        <a:xfrm xmlns:a="http://schemas.openxmlformats.org/drawingml/2006/main" flipH="1" flipV="1">
          <a:off x="2081823" y="1414789"/>
          <a:ext cx="594361" cy="51463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0.56819</cdr:x>
      <cdr:y>0.5098</cdr:y>
    </cdr:from>
    <cdr:to>
      <cdr:x>0.76732</cdr:x>
      <cdr:y>0.55628</cdr:y>
    </cdr:to>
    <cdr:cxnSp macro="">
      <cdr:nvCxnSpPr>
        <cdr:cNvPr id="22" name="Conector recto 21"/>
        <cdr:cNvCxnSpPr/>
      </cdr:nvCxnSpPr>
      <cdr:spPr>
        <a:xfrm xmlns:a="http://schemas.openxmlformats.org/drawingml/2006/main" flipH="1" flipV="1">
          <a:off x="2147474" y="1285834"/>
          <a:ext cx="752620" cy="11722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0.55888</cdr:x>
      <cdr:y>0.3197</cdr:y>
    </cdr:from>
    <cdr:to>
      <cdr:x>0.7484</cdr:x>
      <cdr:y>0.45194</cdr:y>
    </cdr:to>
    <cdr:cxnSp macro="">
      <cdr:nvCxnSpPr>
        <cdr:cNvPr id="23" name="Conector recto 22"/>
        <cdr:cNvCxnSpPr/>
      </cdr:nvCxnSpPr>
      <cdr:spPr>
        <a:xfrm xmlns:a="http://schemas.openxmlformats.org/drawingml/2006/main" flipH="1">
          <a:off x="2112305" y="806352"/>
          <a:ext cx="716279" cy="33352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63</xdr:row>
      <xdr:rowOff>85725</xdr:rowOff>
    </xdr:from>
    <xdr:to>
      <xdr:col>22</xdr:col>
      <xdr:colOff>752475</xdr:colOff>
      <xdr:row>84</xdr:row>
      <xdr:rowOff>95250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022923" refreshedDate="42633.71669710648" createdVersion="3" refreshedVersion="3" minRefreshableVersion="3" recordCount="563">
  <cacheSource type="external" connectionId="2"/>
  <cacheFields count="11">
    <cacheField name="CODMES" numFmtId="0">
      <sharedItems count="1">
        <s v="201606"/>
      </sharedItems>
    </cacheField>
    <cacheField name="STATUS" numFmtId="0">
      <sharedItems count="3">
        <s v="A"/>
        <s v="I"/>
        <s v="M"/>
      </sharedItems>
    </cacheField>
    <cacheField name="SEGMENTO" numFmtId="0">
      <sharedItems containsBlank="1" count="3">
        <s v="SEGMENTO EMPRESA"/>
        <s v="SEGMENTO PN"/>
        <m u="1"/>
      </sharedItems>
      <fieldGroup par="9"/>
    </cacheField>
    <cacheField name="SUBSEGMENTO" numFmtId="0">
      <sharedItems count="9">
        <s v="4 NEGOCIOS"/>
        <s v="INCLUSION FINANCIERA  "/>
        <s v="5 PNN"/>
        <s v="VIP"/>
        <s v="3 EMPRESAS"/>
        <s v="CLASICO"/>
        <s v="2 INSTITUCIONES"/>
        <s v="PREMIUM  "/>
        <s v="1 CORPORATIVAS"/>
      </sharedItems>
    </cacheField>
    <cacheField name="FREC_TRX" numFmtId="0">
      <sharedItems containsSemiMixedTypes="0" containsString="0" containsNumber="1" containsInteger="1" minValue="0" maxValue="12" count="13">
        <n v="7"/>
        <n v="11"/>
        <n v="9"/>
        <n v="3"/>
        <n v="4"/>
        <n v="6"/>
        <n v="2"/>
        <n v="10"/>
        <n v="12"/>
        <n v="5"/>
        <n v="8"/>
        <n v="1"/>
        <n v="0" u="1"/>
      </sharedItems>
      <fieldGroup par="10"/>
    </cacheField>
    <cacheField name="ANT_CLI" numFmtId="0">
      <sharedItems count="8">
        <s v="6. &lt;=6"/>
        <s v="8. &gt; 12"/>
        <s v="1. &lt;=1"/>
        <s v="7. &lt;=12"/>
        <s v="3. &lt;=3"/>
        <s v="4. &lt;=4"/>
        <s v="2. &lt;=2"/>
        <s v="5. &lt;=5"/>
      </sharedItems>
    </cacheField>
    <cacheField name="TRX" numFmtId="0">
      <sharedItems containsSemiMixedTypes="0" containsString="0" containsNumber="1" containsInteger="1" minValue="24" maxValue="49963332"/>
    </cacheField>
    <cacheField name="MTO" numFmtId="0">
      <sharedItems containsSemiMixedTypes="0" containsString="0" containsNumber="1" minValue="0" maxValue="14360477015.130064"/>
    </cacheField>
    <cacheField name="CLIENTE" numFmtId="0">
      <sharedItems containsSemiMixedTypes="0" containsString="0" containsNumber="1" containsInteger="1" minValue="1" maxValue="314498"/>
    </cacheField>
    <cacheField name="SEGMENTO2" numFmtId="0" databaseField="0">
      <fieldGroup base="2">
        <discretePr count="3">
          <x v="1"/>
          <x v="0"/>
          <x v="1"/>
        </discretePr>
        <groupItems count="2">
          <s v="SEGMENTO PN"/>
          <s v="Grupo1"/>
        </groupItems>
      </fieldGroup>
    </cacheField>
    <cacheField name="FREC_TRX2" numFmtId="0" databaseField="0">
      <fieldGroup base="4">
        <discretePr count="13">
          <x v="1"/>
          <x v="1"/>
          <x v="1"/>
          <x v="1"/>
          <x v="1"/>
          <x v="1"/>
          <x v="1"/>
          <x v="1"/>
          <x v="1"/>
          <x v="1"/>
          <x v="1"/>
          <x v="1"/>
          <x v="0"/>
        </discretePr>
        <groupItems count="2">
          <n v="0"/>
          <s v="Grupo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immy" refreshedDate="41330.809543402778" createdVersion="6" refreshedVersion="6" minRefreshableVersion="3" recordCount="17538">
  <cacheSource type="external" connectionId="5"/>
  <cacheFields count="8">
    <cacheField name="CODMES" numFmtId="0">
      <sharedItems count="1">
        <s v="201606"/>
      </sharedItems>
    </cacheField>
    <cacheField name="SUBSEGMENTO" numFmtId="0">
      <sharedItems count="4">
        <s v="CLASICO"/>
        <s v="INCLUSION FINANCIERA"/>
        <s v="PREMIUM"/>
        <s v="VIP"/>
      </sharedItems>
    </cacheField>
    <cacheField name="SEGMENTO11_FIN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OM_DIMENSION1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9"/>
        <n v="10"/>
        <n v="8"/>
        <n v="11"/>
        <n v="12"/>
        <n v="13"/>
        <n v="14"/>
        <n v="15"/>
        <n v="17"/>
        <n v="18"/>
        <n v="19"/>
        <n v="16"/>
        <n v="20"/>
      </sharedItems>
    </cacheField>
    <cacheField name="SOM_DIMENSION2" numFmtId="0">
      <sharedItems containsSemiMixedTypes="0" containsString="0" containsNumber="1" containsInteger="1" minValue="1" maxValue="20" count="20">
        <n v="1"/>
        <n v="6"/>
        <n v="3"/>
        <n v="12"/>
        <n v="4"/>
        <n v="7"/>
        <n v="14"/>
        <n v="13"/>
        <n v="11"/>
        <n v="15"/>
        <n v="16"/>
        <n v="17"/>
        <n v="2"/>
        <n v="8"/>
        <n v="9"/>
        <n v="10"/>
        <n v="5"/>
        <n v="18"/>
        <n v="19"/>
        <n v="20"/>
      </sharedItems>
    </cacheField>
    <cacheField name="SOM_DIMENSION3" numFmtId="0">
      <sharedItems containsSemiMixedTypes="0" containsString="0" containsNumber="1" containsInteger="1" minValue="1" maxValue="20" count="20">
        <n v="20"/>
        <n v="18"/>
        <n v="8"/>
        <n v="10"/>
        <n v="11"/>
        <n v="12"/>
        <n v="14"/>
        <n v="17"/>
        <n v="19"/>
        <n v="15"/>
        <n v="9"/>
        <n v="13"/>
        <n v="16"/>
        <n v="7"/>
        <n v="6"/>
        <n v="5"/>
        <n v="4"/>
        <n v="1"/>
        <n v="2"/>
        <n v="3"/>
      </sharedItems>
    </cacheField>
    <cacheField name="SOM_DIMENSION4" numFmtId="0">
      <sharedItems containsSemiMixedTypes="0" containsString="0" containsNumber="1" containsInteger="1" minValue="1" maxValue="20" count="20">
        <n v="17"/>
        <n v="7"/>
        <n v="13"/>
        <n v="10"/>
        <n v="11"/>
        <n v="12"/>
        <n v="5"/>
        <n v="4"/>
        <n v="3"/>
        <n v="9"/>
        <n v="6"/>
        <n v="15"/>
        <n v="8"/>
        <n v="14"/>
        <n v="16"/>
        <n v="2"/>
        <n v="1"/>
        <n v="18"/>
        <n v="19"/>
        <n v="20"/>
      </sharedItems>
    </cacheField>
    <cacheField name="CLIENTE" numFmtId="0">
      <sharedItems containsSemiMixedTypes="0" containsString="0" containsNumber="1" containsInteger="1" minValue="1" maxValue="95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3">
  <r>
    <x v="0"/>
    <x v="0"/>
    <x v="0"/>
    <x v="0"/>
    <x v="0"/>
    <x v="0"/>
    <n v="11384"/>
    <n v="63755205.82"/>
    <n v="137"/>
  </r>
  <r>
    <x v="0"/>
    <x v="0"/>
    <x v="1"/>
    <x v="1"/>
    <x v="1"/>
    <x v="1"/>
    <n v="4053461"/>
    <n v="627377039.31999946"/>
    <n v="33008"/>
  </r>
  <r>
    <x v="0"/>
    <x v="1"/>
    <x v="1"/>
    <x v="1"/>
    <x v="2"/>
    <x v="1"/>
    <n v="23455"/>
    <n v="4583821.53"/>
    <n v="265"/>
  </r>
  <r>
    <x v="0"/>
    <x v="0"/>
    <x v="1"/>
    <x v="1"/>
    <x v="0"/>
    <x v="2"/>
    <n v="30"/>
    <n v="32278.97"/>
    <n v="1"/>
  </r>
  <r>
    <x v="0"/>
    <x v="0"/>
    <x v="0"/>
    <x v="2"/>
    <x v="3"/>
    <x v="3"/>
    <n v="15190"/>
    <n v="4349254.49"/>
    <n v="334"/>
  </r>
  <r>
    <x v="0"/>
    <x v="1"/>
    <x v="0"/>
    <x v="0"/>
    <x v="2"/>
    <x v="1"/>
    <n v="905"/>
    <n v="2907572.7199999997"/>
    <n v="7"/>
  </r>
  <r>
    <x v="0"/>
    <x v="0"/>
    <x v="1"/>
    <x v="3"/>
    <x v="4"/>
    <x v="3"/>
    <n v="527"/>
    <n v="2012906.5"/>
    <n v="8"/>
  </r>
  <r>
    <x v="0"/>
    <x v="0"/>
    <x v="1"/>
    <x v="1"/>
    <x v="4"/>
    <x v="4"/>
    <n v="631947"/>
    <n v="61912993.560000025"/>
    <n v="8092"/>
  </r>
  <r>
    <x v="0"/>
    <x v="0"/>
    <x v="1"/>
    <x v="1"/>
    <x v="0"/>
    <x v="5"/>
    <n v="286"/>
    <n v="41567.07"/>
    <n v="5"/>
  </r>
  <r>
    <x v="0"/>
    <x v="0"/>
    <x v="0"/>
    <x v="2"/>
    <x v="5"/>
    <x v="1"/>
    <n v="293590"/>
    <n v="123309842.84000005"/>
    <n v="4716"/>
  </r>
  <r>
    <x v="0"/>
    <x v="1"/>
    <x v="0"/>
    <x v="2"/>
    <x v="4"/>
    <x v="1"/>
    <n v="6167"/>
    <n v="1247621.1100000001"/>
    <n v="122"/>
  </r>
  <r>
    <x v="0"/>
    <x v="0"/>
    <x v="0"/>
    <x v="4"/>
    <x v="2"/>
    <x v="3"/>
    <n v="919"/>
    <n v="12222813.84"/>
    <n v="9"/>
  </r>
  <r>
    <x v="0"/>
    <x v="2"/>
    <x v="1"/>
    <x v="5"/>
    <x v="2"/>
    <x v="3"/>
    <n v="4363"/>
    <n v="429405.99000000005"/>
    <n v="24"/>
  </r>
  <r>
    <x v="0"/>
    <x v="0"/>
    <x v="0"/>
    <x v="0"/>
    <x v="3"/>
    <x v="4"/>
    <n v="4982"/>
    <n v="51120637.060000002"/>
    <n v="100"/>
  </r>
  <r>
    <x v="0"/>
    <x v="0"/>
    <x v="1"/>
    <x v="5"/>
    <x v="3"/>
    <x v="6"/>
    <n v="73955"/>
    <n v="7490576.9900000002"/>
    <n v="950"/>
  </r>
  <r>
    <x v="0"/>
    <x v="1"/>
    <x v="0"/>
    <x v="4"/>
    <x v="0"/>
    <x v="1"/>
    <n v="26"/>
    <n v="238370.32"/>
    <n v="1"/>
  </r>
  <r>
    <x v="0"/>
    <x v="0"/>
    <x v="1"/>
    <x v="5"/>
    <x v="0"/>
    <x v="0"/>
    <n v="190721"/>
    <n v="56897681.70000001"/>
    <n v="1656"/>
  </r>
  <r>
    <x v="0"/>
    <x v="2"/>
    <x v="0"/>
    <x v="2"/>
    <x v="6"/>
    <x v="0"/>
    <n v="74"/>
    <n v="118576.20000000001"/>
    <n v="2"/>
  </r>
  <r>
    <x v="0"/>
    <x v="0"/>
    <x v="1"/>
    <x v="3"/>
    <x v="7"/>
    <x v="1"/>
    <n v="243358"/>
    <n v="263033677.06999993"/>
    <n v="2489"/>
  </r>
  <r>
    <x v="0"/>
    <x v="0"/>
    <x v="0"/>
    <x v="4"/>
    <x v="8"/>
    <x v="1"/>
    <n v="457842"/>
    <n v="10033166164.939997"/>
    <n v="2819"/>
  </r>
  <r>
    <x v="0"/>
    <x v="2"/>
    <x v="1"/>
    <x v="5"/>
    <x v="2"/>
    <x v="1"/>
    <n v="101081"/>
    <n v="18898636.410000004"/>
    <n v="849"/>
  </r>
  <r>
    <x v="0"/>
    <x v="0"/>
    <x v="1"/>
    <x v="1"/>
    <x v="1"/>
    <x v="3"/>
    <n v="626758"/>
    <n v="65664049.800000004"/>
    <n v="4537"/>
  </r>
  <r>
    <x v="0"/>
    <x v="0"/>
    <x v="0"/>
    <x v="2"/>
    <x v="9"/>
    <x v="5"/>
    <n v="14102"/>
    <n v="3821339.28"/>
    <n v="162"/>
  </r>
  <r>
    <x v="0"/>
    <x v="0"/>
    <x v="1"/>
    <x v="1"/>
    <x v="5"/>
    <x v="7"/>
    <n v="544247"/>
    <n v="69000317.850000024"/>
    <n v="5422"/>
  </r>
  <r>
    <x v="0"/>
    <x v="0"/>
    <x v="0"/>
    <x v="2"/>
    <x v="8"/>
    <x v="3"/>
    <n v="83225"/>
    <n v="23733065.740000002"/>
    <n v="621"/>
  </r>
  <r>
    <x v="0"/>
    <x v="0"/>
    <x v="1"/>
    <x v="1"/>
    <x v="10"/>
    <x v="3"/>
    <n v="982302"/>
    <n v="107970966.03000006"/>
    <n v="9121"/>
  </r>
  <r>
    <x v="0"/>
    <x v="2"/>
    <x v="0"/>
    <x v="0"/>
    <x v="2"/>
    <x v="1"/>
    <n v="2658"/>
    <n v="10834775.02"/>
    <n v="31"/>
  </r>
  <r>
    <x v="0"/>
    <x v="0"/>
    <x v="0"/>
    <x v="0"/>
    <x v="4"/>
    <x v="0"/>
    <n v="1391"/>
    <n v="14271581.07"/>
    <n v="36"/>
  </r>
  <r>
    <x v="0"/>
    <x v="0"/>
    <x v="1"/>
    <x v="1"/>
    <x v="4"/>
    <x v="5"/>
    <n v="344656"/>
    <n v="33924984.609999999"/>
    <n v="5175"/>
  </r>
  <r>
    <x v="0"/>
    <x v="0"/>
    <x v="1"/>
    <x v="1"/>
    <x v="4"/>
    <x v="2"/>
    <n v="105"/>
    <n v="4510.08"/>
    <n v="3"/>
  </r>
  <r>
    <x v="0"/>
    <x v="1"/>
    <x v="1"/>
    <x v="1"/>
    <x v="5"/>
    <x v="3"/>
    <n v="177"/>
    <n v="60"/>
    <n v="1"/>
  </r>
  <r>
    <x v="0"/>
    <x v="0"/>
    <x v="0"/>
    <x v="6"/>
    <x v="5"/>
    <x v="1"/>
    <n v="2515"/>
    <n v="8674116430.4300003"/>
    <n v="27"/>
  </r>
  <r>
    <x v="0"/>
    <x v="0"/>
    <x v="1"/>
    <x v="3"/>
    <x v="0"/>
    <x v="3"/>
    <n v="3648"/>
    <n v="4319466.51"/>
    <n v="32"/>
  </r>
  <r>
    <x v="0"/>
    <x v="0"/>
    <x v="1"/>
    <x v="5"/>
    <x v="4"/>
    <x v="0"/>
    <n v="20240"/>
    <n v="4888351.1900000004"/>
    <n v="365"/>
  </r>
  <r>
    <x v="0"/>
    <x v="0"/>
    <x v="0"/>
    <x v="0"/>
    <x v="3"/>
    <x v="6"/>
    <n v="5849"/>
    <n v="21969893.560000002"/>
    <n v="95"/>
  </r>
  <r>
    <x v="0"/>
    <x v="0"/>
    <x v="1"/>
    <x v="3"/>
    <x v="0"/>
    <x v="1"/>
    <n v="88086"/>
    <n v="96204048.450000003"/>
    <n v="1182"/>
  </r>
  <r>
    <x v="0"/>
    <x v="2"/>
    <x v="0"/>
    <x v="0"/>
    <x v="5"/>
    <x v="3"/>
    <n v="55"/>
    <n v="109001.07"/>
    <n v="1"/>
  </r>
  <r>
    <x v="0"/>
    <x v="2"/>
    <x v="0"/>
    <x v="4"/>
    <x v="4"/>
    <x v="1"/>
    <n v="211"/>
    <n v="1609275.04"/>
    <n v="3"/>
  </r>
  <r>
    <x v="0"/>
    <x v="2"/>
    <x v="1"/>
    <x v="5"/>
    <x v="8"/>
    <x v="1"/>
    <n v="175764"/>
    <n v="53607698.800000004"/>
    <n v="970"/>
  </r>
  <r>
    <x v="0"/>
    <x v="1"/>
    <x v="1"/>
    <x v="1"/>
    <x v="3"/>
    <x v="1"/>
    <n v="15546"/>
    <n v="1063230.2899999998"/>
    <n v="344"/>
  </r>
  <r>
    <x v="0"/>
    <x v="0"/>
    <x v="0"/>
    <x v="2"/>
    <x v="2"/>
    <x v="3"/>
    <n v="95032"/>
    <n v="40844654.969999999"/>
    <n v="1000"/>
  </r>
  <r>
    <x v="0"/>
    <x v="0"/>
    <x v="1"/>
    <x v="1"/>
    <x v="11"/>
    <x v="5"/>
    <n v="2212"/>
    <n v="160719.97"/>
    <n v="56"/>
  </r>
  <r>
    <x v="0"/>
    <x v="0"/>
    <x v="1"/>
    <x v="1"/>
    <x v="11"/>
    <x v="2"/>
    <n v="117044"/>
    <n v="6571689.3100000005"/>
    <n v="1941"/>
  </r>
  <r>
    <x v="0"/>
    <x v="2"/>
    <x v="0"/>
    <x v="0"/>
    <x v="5"/>
    <x v="1"/>
    <n v="1998"/>
    <n v="9182034.2200000007"/>
    <n v="34"/>
  </r>
  <r>
    <x v="0"/>
    <x v="0"/>
    <x v="1"/>
    <x v="7"/>
    <x v="4"/>
    <x v="4"/>
    <n v="703"/>
    <n v="664651.98"/>
    <n v="4"/>
  </r>
  <r>
    <x v="0"/>
    <x v="0"/>
    <x v="0"/>
    <x v="2"/>
    <x v="8"/>
    <x v="1"/>
    <n v="3891169"/>
    <n v="1836523923.1400001"/>
    <n v="26955"/>
  </r>
  <r>
    <x v="0"/>
    <x v="1"/>
    <x v="1"/>
    <x v="1"/>
    <x v="3"/>
    <x v="3"/>
    <n v="314"/>
    <n v="5185.0199999999995"/>
    <n v="6"/>
  </r>
  <r>
    <x v="0"/>
    <x v="2"/>
    <x v="1"/>
    <x v="1"/>
    <x v="0"/>
    <x v="0"/>
    <n v="306"/>
    <n v="6081.59"/>
    <n v="1"/>
  </r>
  <r>
    <x v="0"/>
    <x v="2"/>
    <x v="1"/>
    <x v="5"/>
    <x v="5"/>
    <x v="3"/>
    <n v="1798"/>
    <n v="396567.18999999994"/>
    <n v="29"/>
  </r>
  <r>
    <x v="0"/>
    <x v="0"/>
    <x v="0"/>
    <x v="6"/>
    <x v="3"/>
    <x v="1"/>
    <n v="306"/>
    <n v="478615.25"/>
    <n v="8"/>
  </r>
  <r>
    <x v="0"/>
    <x v="0"/>
    <x v="1"/>
    <x v="5"/>
    <x v="10"/>
    <x v="7"/>
    <n v="134"/>
    <n v="170779"/>
    <n v="2"/>
  </r>
  <r>
    <x v="0"/>
    <x v="1"/>
    <x v="1"/>
    <x v="3"/>
    <x v="6"/>
    <x v="1"/>
    <n v="116"/>
    <n v="9839.82"/>
    <n v="3"/>
  </r>
  <r>
    <x v="0"/>
    <x v="0"/>
    <x v="1"/>
    <x v="1"/>
    <x v="3"/>
    <x v="7"/>
    <n v="55301"/>
    <n v="7869750.5700000012"/>
    <n v="1110"/>
  </r>
  <r>
    <x v="0"/>
    <x v="0"/>
    <x v="1"/>
    <x v="3"/>
    <x v="4"/>
    <x v="1"/>
    <n v="27861"/>
    <n v="27336042.219999999"/>
    <n v="432"/>
  </r>
  <r>
    <x v="0"/>
    <x v="0"/>
    <x v="1"/>
    <x v="7"/>
    <x v="11"/>
    <x v="2"/>
    <n v="256"/>
    <n v="178435.63"/>
    <n v="4"/>
  </r>
  <r>
    <x v="0"/>
    <x v="2"/>
    <x v="0"/>
    <x v="0"/>
    <x v="3"/>
    <x v="3"/>
    <n v="38"/>
    <n v="8339.08"/>
    <n v="1"/>
  </r>
  <r>
    <x v="0"/>
    <x v="2"/>
    <x v="1"/>
    <x v="7"/>
    <x v="0"/>
    <x v="1"/>
    <n v="45"/>
    <n v="84562.939999999988"/>
    <n v="1"/>
  </r>
  <r>
    <x v="0"/>
    <x v="0"/>
    <x v="1"/>
    <x v="1"/>
    <x v="10"/>
    <x v="1"/>
    <n v="2447006"/>
    <n v="292517801.13999969"/>
    <n v="25123"/>
  </r>
  <r>
    <x v="0"/>
    <x v="1"/>
    <x v="1"/>
    <x v="1"/>
    <x v="5"/>
    <x v="1"/>
    <n v="21646"/>
    <n v="4048841.0300000003"/>
    <n v="324"/>
  </r>
  <r>
    <x v="0"/>
    <x v="2"/>
    <x v="0"/>
    <x v="0"/>
    <x v="3"/>
    <x v="1"/>
    <n v="518"/>
    <n v="4074917.2000000011"/>
    <n v="9"/>
  </r>
  <r>
    <x v="0"/>
    <x v="0"/>
    <x v="0"/>
    <x v="2"/>
    <x v="5"/>
    <x v="3"/>
    <n v="49727"/>
    <n v="15714695.810000001"/>
    <n v="869"/>
  </r>
  <r>
    <x v="0"/>
    <x v="2"/>
    <x v="1"/>
    <x v="1"/>
    <x v="4"/>
    <x v="0"/>
    <n v="110"/>
    <n v="6574.91"/>
    <n v="1"/>
  </r>
  <r>
    <x v="0"/>
    <x v="0"/>
    <x v="0"/>
    <x v="2"/>
    <x v="2"/>
    <x v="1"/>
    <n v="526069"/>
    <n v="243317331.39999989"/>
    <n v="6603"/>
  </r>
  <r>
    <x v="0"/>
    <x v="0"/>
    <x v="1"/>
    <x v="7"/>
    <x v="11"/>
    <x v="4"/>
    <n v="38"/>
    <n v="41780"/>
    <n v="1"/>
  </r>
  <r>
    <x v="0"/>
    <x v="0"/>
    <x v="1"/>
    <x v="3"/>
    <x v="11"/>
    <x v="3"/>
    <n v="61"/>
    <n v="3887.34"/>
    <n v="1"/>
  </r>
  <r>
    <x v="0"/>
    <x v="2"/>
    <x v="0"/>
    <x v="0"/>
    <x v="8"/>
    <x v="1"/>
    <n v="8812"/>
    <n v="44928489.220000006"/>
    <n v="61"/>
  </r>
  <r>
    <x v="0"/>
    <x v="0"/>
    <x v="0"/>
    <x v="2"/>
    <x v="4"/>
    <x v="6"/>
    <n v="85"/>
    <n v="25533.589999999997"/>
    <n v="2"/>
  </r>
  <r>
    <x v="0"/>
    <x v="2"/>
    <x v="0"/>
    <x v="2"/>
    <x v="4"/>
    <x v="1"/>
    <n v="2657"/>
    <n v="965578.05"/>
    <n v="49"/>
  </r>
  <r>
    <x v="0"/>
    <x v="0"/>
    <x v="0"/>
    <x v="0"/>
    <x v="3"/>
    <x v="1"/>
    <n v="15704"/>
    <n v="57393189.829999998"/>
    <n v="290"/>
  </r>
  <r>
    <x v="0"/>
    <x v="1"/>
    <x v="1"/>
    <x v="5"/>
    <x v="8"/>
    <x v="1"/>
    <n v="234325"/>
    <n v="93868304.870000005"/>
    <n v="1410"/>
  </r>
  <r>
    <x v="0"/>
    <x v="0"/>
    <x v="1"/>
    <x v="7"/>
    <x v="0"/>
    <x v="1"/>
    <n v="4639"/>
    <n v="11289536.58"/>
    <n v="62"/>
  </r>
  <r>
    <x v="0"/>
    <x v="2"/>
    <x v="1"/>
    <x v="1"/>
    <x v="1"/>
    <x v="1"/>
    <n v="19357"/>
    <n v="6460011.4700000007"/>
    <n v="120"/>
  </r>
  <r>
    <x v="0"/>
    <x v="2"/>
    <x v="1"/>
    <x v="3"/>
    <x v="4"/>
    <x v="1"/>
    <n v="932"/>
    <n v="1565373.1600000004"/>
    <n v="19"/>
  </r>
  <r>
    <x v="0"/>
    <x v="0"/>
    <x v="1"/>
    <x v="3"/>
    <x v="9"/>
    <x v="5"/>
    <n v="488"/>
    <n v="710739.19000000006"/>
    <n v="4"/>
  </r>
  <r>
    <x v="0"/>
    <x v="0"/>
    <x v="1"/>
    <x v="3"/>
    <x v="3"/>
    <x v="4"/>
    <n v="473"/>
    <n v="71191.31"/>
    <n v="3"/>
  </r>
  <r>
    <x v="0"/>
    <x v="1"/>
    <x v="1"/>
    <x v="3"/>
    <x v="7"/>
    <x v="1"/>
    <n v="2186"/>
    <n v="796288.44000000006"/>
    <n v="24"/>
  </r>
  <r>
    <x v="0"/>
    <x v="0"/>
    <x v="1"/>
    <x v="3"/>
    <x v="9"/>
    <x v="0"/>
    <n v="343"/>
    <n v="865948.28"/>
    <n v="3"/>
  </r>
  <r>
    <x v="0"/>
    <x v="0"/>
    <x v="1"/>
    <x v="1"/>
    <x v="2"/>
    <x v="0"/>
    <n v="460"/>
    <n v="1138602.8999999999"/>
    <n v="2"/>
  </r>
  <r>
    <x v="0"/>
    <x v="2"/>
    <x v="0"/>
    <x v="4"/>
    <x v="0"/>
    <x v="1"/>
    <n v="706"/>
    <n v="5133169.6800000006"/>
    <n v="9"/>
  </r>
  <r>
    <x v="0"/>
    <x v="0"/>
    <x v="1"/>
    <x v="5"/>
    <x v="9"/>
    <x v="4"/>
    <n v="524"/>
    <n v="78990.3"/>
    <n v="6"/>
  </r>
  <r>
    <x v="0"/>
    <x v="0"/>
    <x v="1"/>
    <x v="5"/>
    <x v="1"/>
    <x v="3"/>
    <n v="544614"/>
    <n v="124102933.10999998"/>
    <n v="3967"/>
  </r>
  <r>
    <x v="0"/>
    <x v="0"/>
    <x v="1"/>
    <x v="7"/>
    <x v="4"/>
    <x v="3"/>
    <n v="54"/>
    <n v="282780"/>
    <n v="2"/>
  </r>
  <r>
    <x v="0"/>
    <x v="0"/>
    <x v="1"/>
    <x v="1"/>
    <x v="6"/>
    <x v="1"/>
    <n v="459359"/>
    <n v="51185843.090000033"/>
    <n v="9141"/>
  </r>
  <r>
    <x v="0"/>
    <x v="0"/>
    <x v="0"/>
    <x v="2"/>
    <x v="11"/>
    <x v="6"/>
    <n v="115"/>
    <n v="4766.62"/>
    <n v="3"/>
  </r>
  <r>
    <x v="0"/>
    <x v="1"/>
    <x v="0"/>
    <x v="2"/>
    <x v="0"/>
    <x v="1"/>
    <n v="9263"/>
    <n v="2578956.88"/>
    <n v="150"/>
  </r>
  <r>
    <x v="0"/>
    <x v="2"/>
    <x v="0"/>
    <x v="6"/>
    <x v="8"/>
    <x v="1"/>
    <n v="345"/>
    <n v="4443880.55"/>
    <n v="2"/>
  </r>
  <r>
    <x v="0"/>
    <x v="2"/>
    <x v="1"/>
    <x v="5"/>
    <x v="4"/>
    <x v="0"/>
    <n v="167"/>
    <n v="58777.33"/>
    <n v="3"/>
  </r>
  <r>
    <x v="0"/>
    <x v="0"/>
    <x v="1"/>
    <x v="7"/>
    <x v="4"/>
    <x v="1"/>
    <n v="1236"/>
    <n v="5861271.0700000003"/>
    <n v="20"/>
  </r>
  <r>
    <x v="0"/>
    <x v="2"/>
    <x v="0"/>
    <x v="2"/>
    <x v="4"/>
    <x v="3"/>
    <n v="85"/>
    <n v="53182.95"/>
    <n v="3"/>
  </r>
  <r>
    <x v="0"/>
    <x v="1"/>
    <x v="1"/>
    <x v="5"/>
    <x v="2"/>
    <x v="1"/>
    <n v="40094"/>
    <n v="11280291.199999999"/>
    <n v="529"/>
  </r>
  <r>
    <x v="0"/>
    <x v="2"/>
    <x v="0"/>
    <x v="2"/>
    <x v="0"/>
    <x v="1"/>
    <n v="9174"/>
    <n v="2428199.5699999998"/>
    <n v="130"/>
  </r>
  <r>
    <x v="0"/>
    <x v="2"/>
    <x v="1"/>
    <x v="5"/>
    <x v="3"/>
    <x v="1"/>
    <n v="5804"/>
    <n v="1398243.7300000002"/>
    <n v="105"/>
  </r>
  <r>
    <x v="0"/>
    <x v="0"/>
    <x v="0"/>
    <x v="2"/>
    <x v="9"/>
    <x v="0"/>
    <n v="12393"/>
    <n v="5891713.4799999995"/>
    <n v="224"/>
  </r>
  <r>
    <x v="0"/>
    <x v="0"/>
    <x v="1"/>
    <x v="3"/>
    <x v="6"/>
    <x v="0"/>
    <n v="51"/>
    <n v="8744.5"/>
    <n v="1"/>
  </r>
  <r>
    <x v="0"/>
    <x v="0"/>
    <x v="0"/>
    <x v="4"/>
    <x v="4"/>
    <x v="7"/>
    <n v="71"/>
    <n v="1933994.54"/>
    <n v="1"/>
  </r>
  <r>
    <x v="0"/>
    <x v="0"/>
    <x v="0"/>
    <x v="2"/>
    <x v="3"/>
    <x v="4"/>
    <n v="3328"/>
    <n v="1504444.0599999998"/>
    <n v="66"/>
  </r>
  <r>
    <x v="0"/>
    <x v="0"/>
    <x v="0"/>
    <x v="8"/>
    <x v="9"/>
    <x v="1"/>
    <n v="150"/>
    <n v="51317894.82"/>
    <n v="4"/>
  </r>
  <r>
    <x v="0"/>
    <x v="0"/>
    <x v="1"/>
    <x v="5"/>
    <x v="6"/>
    <x v="4"/>
    <n v="1030"/>
    <n v="117442.79000000002"/>
    <n v="29"/>
  </r>
  <r>
    <x v="0"/>
    <x v="0"/>
    <x v="1"/>
    <x v="1"/>
    <x v="9"/>
    <x v="3"/>
    <n v="362898"/>
    <n v="39907834.319999993"/>
    <n v="5829"/>
  </r>
  <r>
    <x v="0"/>
    <x v="0"/>
    <x v="1"/>
    <x v="5"/>
    <x v="10"/>
    <x v="3"/>
    <n v="712476"/>
    <n v="311671234.37999988"/>
    <n v="6811"/>
  </r>
  <r>
    <x v="0"/>
    <x v="0"/>
    <x v="0"/>
    <x v="2"/>
    <x v="6"/>
    <x v="2"/>
    <n v="6151"/>
    <n v="1256137.25"/>
    <n v="79"/>
  </r>
  <r>
    <x v="0"/>
    <x v="0"/>
    <x v="1"/>
    <x v="1"/>
    <x v="9"/>
    <x v="1"/>
    <n v="1788122"/>
    <n v="237883551.27999982"/>
    <n v="25901"/>
  </r>
  <r>
    <x v="0"/>
    <x v="1"/>
    <x v="0"/>
    <x v="2"/>
    <x v="7"/>
    <x v="1"/>
    <n v="16191"/>
    <n v="5478911.46"/>
    <n v="179"/>
  </r>
  <r>
    <x v="0"/>
    <x v="0"/>
    <x v="0"/>
    <x v="0"/>
    <x v="5"/>
    <x v="3"/>
    <n v="19686"/>
    <n v="136915284.96000001"/>
    <n v="363"/>
  </r>
  <r>
    <x v="0"/>
    <x v="0"/>
    <x v="1"/>
    <x v="5"/>
    <x v="11"/>
    <x v="0"/>
    <n v="671"/>
    <n v="71441.989999999991"/>
    <n v="14"/>
  </r>
  <r>
    <x v="0"/>
    <x v="2"/>
    <x v="0"/>
    <x v="2"/>
    <x v="11"/>
    <x v="1"/>
    <n v="34"/>
    <n v="3834.39"/>
    <n v="1"/>
  </r>
  <r>
    <x v="0"/>
    <x v="1"/>
    <x v="1"/>
    <x v="5"/>
    <x v="3"/>
    <x v="3"/>
    <n v="24"/>
    <n v="840"/>
    <n v="1"/>
  </r>
  <r>
    <x v="0"/>
    <x v="0"/>
    <x v="1"/>
    <x v="5"/>
    <x v="11"/>
    <x v="2"/>
    <n v="26438"/>
    <n v="1883733.1800000002"/>
    <n v="452"/>
  </r>
  <r>
    <x v="0"/>
    <x v="2"/>
    <x v="1"/>
    <x v="3"/>
    <x v="7"/>
    <x v="1"/>
    <n v="3641"/>
    <n v="2860120.2"/>
    <n v="24"/>
  </r>
  <r>
    <x v="0"/>
    <x v="1"/>
    <x v="1"/>
    <x v="5"/>
    <x v="5"/>
    <x v="1"/>
    <n v="32080"/>
    <n v="4945287.5"/>
    <n v="485"/>
  </r>
  <r>
    <x v="0"/>
    <x v="0"/>
    <x v="1"/>
    <x v="5"/>
    <x v="1"/>
    <x v="1"/>
    <n v="7555737"/>
    <n v="2198461721.3699994"/>
    <n v="69841"/>
  </r>
  <r>
    <x v="0"/>
    <x v="0"/>
    <x v="1"/>
    <x v="3"/>
    <x v="4"/>
    <x v="7"/>
    <n v="141"/>
    <n v="14050.63"/>
    <n v="1"/>
  </r>
  <r>
    <x v="0"/>
    <x v="0"/>
    <x v="0"/>
    <x v="2"/>
    <x v="6"/>
    <x v="0"/>
    <n v="949"/>
    <n v="123148.71"/>
    <n v="27"/>
  </r>
  <r>
    <x v="0"/>
    <x v="0"/>
    <x v="1"/>
    <x v="1"/>
    <x v="6"/>
    <x v="3"/>
    <n v="65514"/>
    <n v="4582580.5299999984"/>
    <n v="1504"/>
  </r>
  <r>
    <x v="0"/>
    <x v="0"/>
    <x v="0"/>
    <x v="2"/>
    <x v="6"/>
    <x v="5"/>
    <n v="554"/>
    <n v="59845.380000000005"/>
    <n v="7"/>
  </r>
  <r>
    <x v="0"/>
    <x v="0"/>
    <x v="0"/>
    <x v="0"/>
    <x v="3"/>
    <x v="3"/>
    <n v="2393"/>
    <n v="15036607.340000002"/>
    <n v="58"/>
  </r>
  <r>
    <x v="0"/>
    <x v="0"/>
    <x v="0"/>
    <x v="0"/>
    <x v="5"/>
    <x v="1"/>
    <n v="56848"/>
    <n v="329296904.22000003"/>
    <n v="1056"/>
  </r>
  <r>
    <x v="0"/>
    <x v="2"/>
    <x v="1"/>
    <x v="1"/>
    <x v="6"/>
    <x v="5"/>
    <n v="102"/>
    <n v="2997.87"/>
    <n v="1"/>
  </r>
  <r>
    <x v="0"/>
    <x v="2"/>
    <x v="1"/>
    <x v="1"/>
    <x v="1"/>
    <x v="3"/>
    <n v="681"/>
    <n v="90082.549999999988"/>
    <n v="4"/>
  </r>
  <r>
    <x v="0"/>
    <x v="1"/>
    <x v="1"/>
    <x v="5"/>
    <x v="3"/>
    <x v="1"/>
    <n v="16930"/>
    <n v="2518635.2000000002"/>
    <n v="363"/>
  </r>
  <r>
    <x v="0"/>
    <x v="2"/>
    <x v="0"/>
    <x v="2"/>
    <x v="0"/>
    <x v="3"/>
    <n v="574"/>
    <n v="65054.95"/>
    <n v="4"/>
  </r>
  <r>
    <x v="0"/>
    <x v="2"/>
    <x v="1"/>
    <x v="3"/>
    <x v="0"/>
    <x v="1"/>
    <n v="2505"/>
    <n v="1640060.69"/>
    <n v="31"/>
  </r>
  <r>
    <x v="0"/>
    <x v="0"/>
    <x v="0"/>
    <x v="4"/>
    <x v="9"/>
    <x v="5"/>
    <n v="54"/>
    <n v="746771.01"/>
    <n v="1"/>
  </r>
  <r>
    <x v="0"/>
    <x v="0"/>
    <x v="0"/>
    <x v="0"/>
    <x v="5"/>
    <x v="7"/>
    <n v="7028"/>
    <n v="42498792.950000003"/>
    <n v="95"/>
  </r>
  <r>
    <x v="0"/>
    <x v="2"/>
    <x v="0"/>
    <x v="4"/>
    <x v="7"/>
    <x v="1"/>
    <n v="975"/>
    <n v="18947521.240000002"/>
    <n v="12"/>
  </r>
  <r>
    <x v="0"/>
    <x v="0"/>
    <x v="1"/>
    <x v="1"/>
    <x v="11"/>
    <x v="4"/>
    <n v="3975"/>
    <n v="415958.58"/>
    <n v="85"/>
  </r>
  <r>
    <x v="0"/>
    <x v="0"/>
    <x v="0"/>
    <x v="4"/>
    <x v="8"/>
    <x v="3"/>
    <n v="763"/>
    <n v="10881653.789999999"/>
    <n v="6"/>
  </r>
  <r>
    <x v="0"/>
    <x v="1"/>
    <x v="0"/>
    <x v="0"/>
    <x v="8"/>
    <x v="1"/>
    <n v="97"/>
    <n v="704880.05"/>
    <n v="1"/>
  </r>
  <r>
    <x v="0"/>
    <x v="1"/>
    <x v="0"/>
    <x v="2"/>
    <x v="11"/>
    <x v="1"/>
    <n v="466"/>
    <n v="38218.9"/>
    <n v="13"/>
  </r>
  <r>
    <x v="0"/>
    <x v="1"/>
    <x v="1"/>
    <x v="5"/>
    <x v="11"/>
    <x v="2"/>
    <n v="27"/>
    <n v="300"/>
    <n v="1"/>
  </r>
  <r>
    <x v="0"/>
    <x v="2"/>
    <x v="1"/>
    <x v="5"/>
    <x v="8"/>
    <x v="3"/>
    <n v="565"/>
    <n v="111375.72"/>
    <n v="3"/>
  </r>
  <r>
    <x v="0"/>
    <x v="0"/>
    <x v="0"/>
    <x v="2"/>
    <x v="4"/>
    <x v="7"/>
    <n v="1913"/>
    <n v="600140.78999999992"/>
    <n v="35"/>
  </r>
  <r>
    <x v="0"/>
    <x v="0"/>
    <x v="0"/>
    <x v="6"/>
    <x v="2"/>
    <x v="1"/>
    <n v="5466"/>
    <n v="532841012.38000005"/>
    <n v="77"/>
  </r>
  <r>
    <x v="0"/>
    <x v="2"/>
    <x v="1"/>
    <x v="5"/>
    <x v="3"/>
    <x v="3"/>
    <n v="677"/>
    <n v="232641.62"/>
    <n v="12"/>
  </r>
  <r>
    <x v="0"/>
    <x v="0"/>
    <x v="1"/>
    <x v="5"/>
    <x v="5"/>
    <x v="6"/>
    <n v="24"/>
    <n v="3280"/>
    <n v="1"/>
  </r>
  <r>
    <x v="0"/>
    <x v="0"/>
    <x v="1"/>
    <x v="3"/>
    <x v="11"/>
    <x v="1"/>
    <n v="2265"/>
    <n v="1677782.5"/>
    <n v="38"/>
  </r>
  <r>
    <x v="0"/>
    <x v="2"/>
    <x v="0"/>
    <x v="0"/>
    <x v="4"/>
    <x v="7"/>
    <n v="43"/>
    <n v="377530.9"/>
    <n v="1"/>
  </r>
  <r>
    <x v="0"/>
    <x v="2"/>
    <x v="1"/>
    <x v="5"/>
    <x v="5"/>
    <x v="1"/>
    <n v="56482"/>
    <n v="13130084.069999997"/>
    <n v="728"/>
  </r>
  <r>
    <x v="0"/>
    <x v="1"/>
    <x v="1"/>
    <x v="5"/>
    <x v="7"/>
    <x v="1"/>
    <n v="43304"/>
    <n v="13042049.82"/>
    <n v="463"/>
  </r>
  <r>
    <x v="0"/>
    <x v="0"/>
    <x v="1"/>
    <x v="3"/>
    <x v="3"/>
    <x v="7"/>
    <n v="40"/>
    <n v="38401.46"/>
    <n v="1"/>
  </r>
  <r>
    <x v="0"/>
    <x v="2"/>
    <x v="1"/>
    <x v="5"/>
    <x v="0"/>
    <x v="1"/>
    <n v="80989"/>
    <n v="18287398.359999999"/>
    <n v="932"/>
  </r>
  <r>
    <x v="0"/>
    <x v="0"/>
    <x v="0"/>
    <x v="2"/>
    <x v="11"/>
    <x v="0"/>
    <n v="188"/>
    <n v="42827.3"/>
    <n v="4"/>
  </r>
  <r>
    <x v="0"/>
    <x v="0"/>
    <x v="1"/>
    <x v="1"/>
    <x v="5"/>
    <x v="1"/>
    <n v="1965599"/>
    <n v="238833643.13"/>
    <n v="25202"/>
  </r>
  <r>
    <x v="0"/>
    <x v="0"/>
    <x v="0"/>
    <x v="2"/>
    <x v="4"/>
    <x v="4"/>
    <n v="10615"/>
    <n v="4177751.4000000004"/>
    <n v="146"/>
  </r>
  <r>
    <x v="0"/>
    <x v="0"/>
    <x v="1"/>
    <x v="5"/>
    <x v="4"/>
    <x v="5"/>
    <n v="37659"/>
    <n v="7474365.4000000013"/>
    <n v="535"/>
  </r>
  <r>
    <x v="0"/>
    <x v="0"/>
    <x v="0"/>
    <x v="2"/>
    <x v="11"/>
    <x v="1"/>
    <n v="11988"/>
    <n v="2111789.7200000002"/>
    <n v="227"/>
  </r>
  <r>
    <x v="0"/>
    <x v="2"/>
    <x v="0"/>
    <x v="4"/>
    <x v="2"/>
    <x v="1"/>
    <n v="966"/>
    <n v="11928473.340000002"/>
    <n v="11"/>
  </r>
  <r>
    <x v="0"/>
    <x v="1"/>
    <x v="1"/>
    <x v="5"/>
    <x v="0"/>
    <x v="3"/>
    <n v="76"/>
    <n v="2485.3799999999997"/>
    <n v="1"/>
  </r>
  <r>
    <x v="0"/>
    <x v="1"/>
    <x v="0"/>
    <x v="4"/>
    <x v="8"/>
    <x v="1"/>
    <n v="187"/>
    <n v="835647.08000000007"/>
    <n v="1"/>
  </r>
  <r>
    <x v="0"/>
    <x v="0"/>
    <x v="1"/>
    <x v="1"/>
    <x v="5"/>
    <x v="3"/>
    <n v="448472"/>
    <n v="52928901.010000005"/>
    <n v="6192"/>
  </r>
  <r>
    <x v="0"/>
    <x v="0"/>
    <x v="0"/>
    <x v="8"/>
    <x v="11"/>
    <x v="1"/>
    <n v="25"/>
    <n v="111141.5"/>
    <n v="1"/>
  </r>
  <r>
    <x v="0"/>
    <x v="0"/>
    <x v="1"/>
    <x v="3"/>
    <x v="2"/>
    <x v="3"/>
    <n v="7694"/>
    <n v="6065011.0800000001"/>
    <n v="64"/>
  </r>
  <r>
    <x v="0"/>
    <x v="2"/>
    <x v="1"/>
    <x v="5"/>
    <x v="4"/>
    <x v="3"/>
    <n v="770"/>
    <n v="350539.18000000005"/>
    <n v="9"/>
  </r>
  <r>
    <x v="0"/>
    <x v="0"/>
    <x v="1"/>
    <x v="3"/>
    <x v="8"/>
    <x v="3"/>
    <n v="16639"/>
    <n v="8540813.1799999997"/>
    <n v="95"/>
  </r>
  <r>
    <x v="0"/>
    <x v="1"/>
    <x v="1"/>
    <x v="5"/>
    <x v="0"/>
    <x v="1"/>
    <n v="32533"/>
    <n v="6594692.7999999998"/>
    <n v="486"/>
  </r>
  <r>
    <x v="0"/>
    <x v="0"/>
    <x v="0"/>
    <x v="2"/>
    <x v="3"/>
    <x v="2"/>
    <n v="212"/>
    <n v="65674.06"/>
    <n v="1"/>
  </r>
  <r>
    <x v="0"/>
    <x v="0"/>
    <x v="1"/>
    <x v="1"/>
    <x v="2"/>
    <x v="1"/>
    <n v="2640062"/>
    <n v="322013514.79999983"/>
    <n v="24509"/>
  </r>
  <r>
    <x v="0"/>
    <x v="0"/>
    <x v="0"/>
    <x v="0"/>
    <x v="6"/>
    <x v="3"/>
    <n v="954"/>
    <n v="1635336.13"/>
    <n v="17"/>
  </r>
  <r>
    <x v="0"/>
    <x v="1"/>
    <x v="1"/>
    <x v="3"/>
    <x v="0"/>
    <x v="1"/>
    <n v="857"/>
    <n v="220455.4"/>
    <n v="11"/>
  </r>
  <r>
    <x v="0"/>
    <x v="0"/>
    <x v="0"/>
    <x v="0"/>
    <x v="6"/>
    <x v="1"/>
    <n v="5070"/>
    <n v="16797197.619999997"/>
    <n v="106"/>
  </r>
  <r>
    <x v="0"/>
    <x v="0"/>
    <x v="1"/>
    <x v="1"/>
    <x v="5"/>
    <x v="0"/>
    <n v="307820"/>
    <n v="36446168.749999993"/>
    <n v="3505"/>
  </r>
  <r>
    <x v="0"/>
    <x v="0"/>
    <x v="0"/>
    <x v="0"/>
    <x v="6"/>
    <x v="2"/>
    <n v="1750"/>
    <n v="7901249.290000001"/>
    <n v="40"/>
  </r>
  <r>
    <x v="0"/>
    <x v="0"/>
    <x v="1"/>
    <x v="3"/>
    <x v="8"/>
    <x v="1"/>
    <n v="3666009"/>
    <n v="3485612244.0900021"/>
    <n v="20300"/>
  </r>
  <r>
    <x v="0"/>
    <x v="0"/>
    <x v="1"/>
    <x v="5"/>
    <x v="11"/>
    <x v="5"/>
    <n v="331"/>
    <n v="55008.009999999995"/>
    <n v="10"/>
  </r>
  <r>
    <x v="0"/>
    <x v="2"/>
    <x v="1"/>
    <x v="5"/>
    <x v="11"/>
    <x v="3"/>
    <n v="130"/>
    <n v="17403.25"/>
    <n v="2"/>
  </r>
  <r>
    <x v="0"/>
    <x v="0"/>
    <x v="1"/>
    <x v="1"/>
    <x v="3"/>
    <x v="0"/>
    <n v="48769"/>
    <n v="3007978.49"/>
    <n v="967"/>
  </r>
  <r>
    <x v="0"/>
    <x v="0"/>
    <x v="1"/>
    <x v="5"/>
    <x v="3"/>
    <x v="7"/>
    <n v="5386"/>
    <n v="1175579.9000000001"/>
    <n v="109"/>
  </r>
  <r>
    <x v="0"/>
    <x v="0"/>
    <x v="1"/>
    <x v="3"/>
    <x v="5"/>
    <x v="0"/>
    <n v="1185"/>
    <n v="4590862.76"/>
    <n v="7"/>
  </r>
  <r>
    <x v="0"/>
    <x v="2"/>
    <x v="1"/>
    <x v="5"/>
    <x v="11"/>
    <x v="1"/>
    <n v="303"/>
    <n v="99701.98000000001"/>
    <n v="10"/>
  </r>
  <r>
    <x v="0"/>
    <x v="2"/>
    <x v="1"/>
    <x v="7"/>
    <x v="8"/>
    <x v="1"/>
    <n v="738"/>
    <n v="2272843.2199999997"/>
    <n v="4"/>
  </r>
  <r>
    <x v="0"/>
    <x v="2"/>
    <x v="1"/>
    <x v="1"/>
    <x v="8"/>
    <x v="3"/>
    <n v="326"/>
    <n v="15169.95"/>
    <n v="1"/>
  </r>
  <r>
    <x v="0"/>
    <x v="0"/>
    <x v="1"/>
    <x v="5"/>
    <x v="7"/>
    <x v="5"/>
    <n v="134"/>
    <n v="6467.8499999999995"/>
    <n v="1"/>
  </r>
  <r>
    <x v="0"/>
    <x v="0"/>
    <x v="0"/>
    <x v="2"/>
    <x v="0"/>
    <x v="1"/>
    <n v="368970"/>
    <n v="159173603.81999999"/>
    <n v="5412"/>
  </r>
  <r>
    <x v="0"/>
    <x v="2"/>
    <x v="0"/>
    <x v="2"/>
    <x v="7"/>
    <x v="1"/>
    <n v="8707"/>
    <n v="2902534.57"/>
    <n v="80"/>
  </r>
  <r>
    <x v="0"/>
    <x v="2"/>
    <x v="0"/>
    <x v="4"/>
    <x v="5"/>
    <x v="1"/>
    <n v="664"/>
    <n v="7531908.8100000005"/>
    <n v="9"/>
  </r>
  <r>
    <x v="0"/>
    <x v="2"/>
    <x v="0"/>
    <x v="2"/>
    <x v="7"/>
    <x v="3"/>
    <n v="168"/>
    <n v="45605.97"/>
    <n v="2"/>
  </r>
  <r>
    <x v="0"/>
    <x v="0"/>
    <x v="1"/>
    <x v="5"/>
    <x v="4"/>
    <x v="6"/>
    <n v="556"/>
    <n v="70068.92"/>
    <n v="7"/>
  </r>
  <r>
    <x v="0"/>
    <x v="0"/>
    <x v="1"/>
    <x v="1"/>
    <x v="3"/>
    <x v="3"/>
    <n v="157666"/>
    <n v="17783557.980000004"/>
    <n v="3488"/>
  </r>
  <r>
    <x v="0"/>
    <x v="0"/>
    <x v="1"/>
    <x v="3"/>
    <x v="2"/>
    <x v="1"/>
    <n v="160412"/>
    <n v="179391605.72999996"/>
    <n v="1903"/>
  </r>
  <r>
    <x v="0"/>
    <x v="0"/>
    <x v="0"/>
    <x v="2"/>
    <x v="4"/>
    <x v="3"/>
    <n v="26585"/>
    <n v="6625175.8300000001"/>
    <n v="558"/>
  </r>
  <r>
    <x v="0"/>
    <x v="1"/>
    <x v="1"/>
    <x v="3"/>
    <x v="4"/>
    <x v="1"/>
    <n v="261"/>
    <n v="4439.57"/>
    <n v="3"/>
  </r>
  <r>
    <x v="0"/>
    <x v="2"/>
    <x v="0"/>
    <x v="0"/>
    <x v="1"/>
    <x v="1"/>
    <n v="3764"/>
    <n v="22633631.75"/>
    <n v="33"/>
  </r>
  <r>
    <x v="0"/>
    <x v="0"/>
    <x v="0"/>
    <x v="0"/>
    <x v="6"/>
    <x v="4"/>
    <n v="589"/>
    <n v="4473896.62"/>
    <n v="11"/>
  </r>
  <r>
    <x v="0"/>
    <x v="2"/>
    <x v="0"/>
    <x v="0"/>
    <x v="10"/>
    <x v="3"/>
    <n v="112"/>
    <n v="1412835.8399999999"/>
    <n v="1"/>
  </r>
  <r>
    <x v="0"/>
    <x v="0"/>
    <x v="1"/>
    <x v="3"/>
    <x v="11"/>
    <x v="5"/>
    <n v="55"/>
    <n v="15426.25"/>
    <n v="1"/>
  </r>
  <r>
    <x v="0"/>
    <x v="0"/>
    <x v="1"/>
    <x v="7"/>
    <x v="3"/>
    <x v="1"/>
    <n v="754"/>
    <n v="1097270.95"/>
    <n v="12"/>
  </r>
  <r>
    <x v="0"/>
    <x v="0"/>
    <x v="1"/>
    <x v="5"/>
    <x v="5"/>
    <x v="7"/>
    <n v="67397"/>
    <n v="14593940.060000001"/>
    <n v="687"/>
  </r>
  <r>
    <x v="0"/>
    <x v="2"/>
    <x v="1"/>
    <x v="5"/>
    <x v="4"/>
    <x v="1"/>
    <n v="14129"/>
    <n v="3181810.56"/>
    <n v="248"/>
  </r>
  <r>
    <x v="0"/>
    <x v="0"/>
    <x v="1"/>
    <x v="1"/>
    <x v="3"/>
    <x v="1"/>
    <n v="1000467"/>
    <n v="113260813.11000004"/>
    <n v="18460"/>
  </r>
  <r>
    <x v="0"/>
    <x v="2"/>
    <x v="0"/>
    <x v="4"/>
    <x v="3"/>
    <x v="1"/>
    <n v="154"/>
    <n v="2210232.2200000002"/>
    <n v="4"/>
  </r>
  <r>
    <x v="0"/>
    <x v="0"/>
    <x v="0"/>
    <x v="2"/>
    <x v="4"/>
    <x v="1"/>
    <n v="176037"/>
    <n v="52835323.340000004"/>
    <n v="3261"/>
  </r>
  <r>
    <x v="0"/>
    <x v="2"/>
    <x v="0"/>
    <x v="4"/>
    <x v="8"/>
    <x v="1"/>
    <n v="5396"/>
    <n v="88174702.800000012"/>
    <n v="34"/>
  </r>
  <r>
    <x v="0"/>
    <x v="0"/>
    <x v="1"/>
    <x v="5"/>
    <x v="11"/>
    <x v="4"/>
    <n v="160"/>
    <n v="60765.95"/>
    <n v="3"/>
  </r>
  <r>
    <x v="0"/>
    <x v="0"/>
    <x v="1"/>
    <x v="1"/>
    <x v="2"/>
    <x v="3"/>
    <n v="886299"/>
    <n v="85921076.620000005"/>
    <n v="7351"/>
  </r>
  <r>
    <x v="0"/>
    <x v="0"/>
    <x v="1"/>
    <x v="5"/>
    <x v="8"/>
    <x v="3"/>
    <n v="654065"/>
    <n v="150126630.34"/>
    <n v="3999"/>
  </r>
  <r>
    <x v="0"/>
    <x v="0"/>
    <x v="1"/>
    <x v="5"/>
    <x v="11"/>
    <x v="6"/>
    <n v="24"/>
    <n v="9107.0400000000009"/>
    <n v="1"/>
  </r>
  <r>
    <x v="0"/>
    <x v="1"/>
    <x v="1"/>
    <x v="1"/>
    <x v="11"/>
    <x v="1"/>
    <n v="5493"/>
    <n v="87672.06"/>
    <n v="135"/>
  </r>
  <r>
    <x v="0"/>
    <x v="2"/>
    <x v="0"/>
    <x v="0"/>
    <x v="10"/>
    <x v="1"/>
    <n v="3040"/>
    <n v="14597783.700000001"/>
    <n v="44"/>
  </r>
  <r>
    <x v="0"/>
    <x v="0"/>
    <x v="0"/>
    <x v="2"/>
    <x v="11"/>
    <x v="3"/>
    <n v="1382"/>
    <n v="198848.56999999998"/>
    <n v="21"/>
  </r>
  <r>
    <x v="0"/>
    <x v="0"/>
    <x v="1"/>
    <x v="3"/>
    <x v="5"/>
    <x v="3"/>
    <n v="2533"/>
    <n v="2612704.9500000002"/>
    <n v="26"/>
  </r>
  <r>
    <x v="0"/>
    <x v="2"/>
    <x v="1"/>
    <x v="1"/>
    <x v="4"/>
    <x v="1"/>
    <n v="2622"/>
    <n v="470283.1"/>
    <n v="47"/>
  </r>
  <r>
    <x v="0"/>
    <x v="2"/>
    <x v="1"/>
    <x v="5"/>
    <x v="0"/>
    <x v="3"/>
    <n v="1431"/>
    <n v="280784.99"/>
    <n v="21"/>
  </r>
  <r>
    <x v="0"/>
    <x v="1"/>
    <x v="1"/>
    <x v="3"/>
    <x v="3"/>
    <x v="1"/>
    <n v="676"/>
    <n v="793974.09999999986"/>
    <n v="12"/>
  </r>
  <r>
    <x v="0"/>
    <x v="0"/>
    <x v="1"/>
    <x v="7"/>
    <x v="3"/>
    <x v="6"/>
    <n v="239"/>
    <n v="261440.87"/>
    <n v="3"/>
  </r>
  <r>
    <x v="0"/>
    <x v="0"/>
    <x v="0"/>
    <x v="6"/>
    <x v="4"/>
    <x v="1"/>
    <n v="939"/>
    <n v="3063698.17"/>
    <n v="11"/>
  </r>
  <r>
    <x v="0"/>
    <x v="0"/>
    <x v="0"/>
    <x v="8"/>
    <x v="8"/>
    <x v="3"/>
    <n v="79"/>
    <n v="35143.760000000002"/>
    <n v="1"/>
  </r>
  <r>
    <x v="0"/>
    <x v="0"/>
    <x v="0"/>
    <x v="2"/>
    <x v="10"/>
    <x v="3"/>
    <n v="110483"/>
    <n v="39265288.560000002"/>
    <n v="1321"/>
  </r>
  <r>
    <x v="0"/>
    <x v="0"/>
    <x v="1"/>
    <x v="3"/>
    <x v="9"/>
    <x v="1"/>
    <n v="43807"/>
    <n v="36159121.329999998"/>
    <n v="656"/>
  </r>
  <r>
    <x v="0"/>
    <x v="1"/>
    <x v="1"/>
    <x v="1"/>
    <x v="4"/>
    <x v="3"/>
    <n v="74"/>
    <n v="0"/>
    <n v="2"/>
  </r>
  <r>
    <x v="0"/>
    <x v="0"/>
    <x v="0"/>
    <x v="4"/>
    <x v="1"/>
    <x v="3"/>
    <n v="741"/>
    <n v="8565254.4100000001"/>
    <n v="9"/>
  </r>
  <r>
    <x v="0"/>
    <x v="0"/>
    <x v="0"/>
    <x v="2"/>
    <x v="10"/>
    <x v="1"/>
    <n v="435644"/>
    <n v="189626824.56000006"/>
    <n v="5890"/>
  </r>
  <r>
    <x v="0"/>
    <x v="1"/>
    <x v="0"/>
    <x v="0"/>
    <x v="1"/>
    <x v="1"/>
    <n v="146"/>
    <n v="510750.7"/>
    <n v="2"/>
  </r>
  <r>
    <x v="0"/>
    <x v="0"/>
    <x v="1"/>
    <x v="3"/>
    <x v="6"/>
    <x v="3"/>
    <n v="196"/>
    <n v="124944.39000000001"/>
    <n v="5"/>
  </r>
  <r>
    <x v="0"/>
    <x v="0"/>
    <x v="1"/>
    <x v="1"/>
    <x v="6"/>
    <x v="7"/>
    <n v="18119"/>
    <n v="2016510.22"/>
    <n v="397"/>
  </r>
  <r>
    <x v="0"/>
    <x v="2"/>
    <x v="0"/>
    <x v="0"/>
    <x v="9"/>
    <x v="1"/>
    <n v="1728"/>
    <n v="8256265"/>
    <n v="27"/>
  </r>
  <r>
    <x v="0"/>
    <x v="0"/>
    <x v="1"/>
    <x v="3"/>
    <x v="1"/>
    <x v="3"/>
    <n v="5636"/>
    <n v="5923314.3399999999"/>
    <n v="35"/>
  </r>
  <r>
    <x v="0"/>
    <x v="0"/>
    <x v="1"/>
    <x v="5"/>
    <x v="4"/>
    <x v="7"/>
    <n v="10911"/>
    <n v="2812567.6699999995"/>
    <n v="195"/>
  </r>
  <r>
    <x v="0"/>
    <x v="1"/>
    <x v="1"/>
    <x v="1"/>
    <x v="4"/>
    <x v="1"/>
    <n v="22860"/>
    <n v="3326828.7"/>
    <n v="413"/>
  </r>
  <r>
    <x v="0"/>
    <x v="2"/>
    <x v="1"/>
    <x v="5"/>
    <x v="7"/>
    <x v="1"/>
    <n v="84846"/>
    <n v="26676255.080000002"/>
    <n v="611"/>
  </r>
  <r>
    <x v="0"/>
    <x v="1"/>
    <x v="0"/>
    <x v="6"/>
    <x v="9"/>
    <x v="1"/>
    <n v="59"/>
    <n v="3238796.09"/>
    <n v="1"/>
  </r>
  <r>
    <x v="0"/>
    <x v="2"/>
    <x v="1"/>
    <x v="7"/>
    <x v="3"/>
    <x v="1"/>
    <n v="59"/>
    <n v="12580"/>
    <n v="1"/>
  </r>
  <r>
    <x v="0"/>
    <x v="2"/>
    <x v="1"/>
    <x v="1"/>
    <x v="11"/>
    <x v="1"/>
    <n v="110"/>
    <n v="3571.3199999999997"/>
    <n v="3"/>
  </r>
  <r>
    <x v="0"/>
    <x v="0"/>
    <x v="1"/>
    <x v="5"/>
    <x v="4"/>
    <x v="1"/>
    <n v="972825"/>
    <n v="225989077.55000004"/>
    <n v="15976"/>
  </r>
  <r>
    <x v="0"/>
    <x v="0"/>
    <x v="1"/>
    <x v="7"/>
    <x v="6"/>
    <x v="4"/>
    <n v="145"/>
    <n v="109475.9"/>
    <n v="2"/>
  </r>
  <r>
    <x v="0"/>
    <x v="0"/>
    <x v="1"/>
    <x v="7"/>
    <x v="6"/>
    <x v="2"/>
    <n v="293"/>
    <n v="824015.93"/>
    <n v="4"/>
  </r>
  <r>
    <x v="0"/>
    <x v="0"/>
    <x v="0"/>
    <x v="2"/>
    <x v="9"/>
    <x v="3"/>
    <n v="39823"/>
    <n v="11867340.729999999"/>
    <n v="765"/>
  </r>
  <r>
    <x v="0"/>
    <x v="0"/>
    <x v="1"/>
    <x v="3"/>
    <x v="9"/>
    <x v="3"/>
    <n v="1221"/>
    <n v="1226286.4000000001"/>
    <n v="23"/>
  </r>
  <r>
    <x v="0"/>
    <x v="1"/>
    <x v="0"/>
    <x v="0"/>
    <x v="10"/>
    <x v="1"/>
    <n v="408"/>
    <n v="2195876.4899999998"/>
    <n v="5"/>
  </r>
  <r>
    <x v="0"/>
    <x v="0"/>
    <x v="1"/>
    <x v="5"/>
    <x v="9"/>
    <x v="5"/>
    <n v="68183"/>
    <n v="14604059.150000002"/>
    <n v="804"/>
  </r>
  <r>
    <x v="0"/>
    <x v="0"/>
    <x v="0"/>
    <x v="4"/>
    <x v="1"/>
    <x v="1"/>
    <n v="47916"/>
    <n v="1259739242.4900002"/>
    <n v="564"/>
  </r>
  <r>
    <x v="0"/>
    <x v="2"/>
    <x v="0"/>
    <x v="0"/>
    <x v="6"/>
    <x v="1"/>
    <n v="251"/>
    <n v="355792.2"/>
    <n v="3"/>
  </r>
  <r>
    <x v="0"/>
    <x v="0"/>
    <x v="1"/>
    <x v="5"/>
    <x v="0"/>
    <x v="7"/>
    <n v="1393"/>
    <n v="189301.08"/>
    <n v="10"/>
  </r>
  <r>
    <x v="0"/>
    <x v="1"/>
    <x v="0"/>
    <x v="4"/>
    <x v="3"/>
    <x v="1"/>
    <n v="39"/>
    <n v="268852.13"/>
    <n v="1"/>
  </r>
  <r>
    <x v="0"/>
    <x v="1"/>
    <x v="1"/>
    <x v="1"/>
    <x v="0"/>
    <x v="1"/>
    <n v="19239"/>
    <n v="3124587.8400000003"/>
    <n v="271"/>
  </r>
  <r>
    <x v="0"/>
    <x v="0"/>
    <x v="1"/>
    <x v="1"/>
    <x v="4"/>
    <x v="6"/>
    <n v="4287"/>
    <n v="303477.42000000004"/>
    <n v="47"/>
  </r>
  <r>
    <x v="0"/>
    <x v="0"/>
    <x v="1"/>
    <x v="3"/>
    <x v="1"/>
    <x v="1"/>
    <n v="450964"/>
    <n v="484085565.17000002"/>
    <n v="3971"/>
  </r>
  <r>
    <x v="0"/>
    <x v="0"/>
    <x v="0"/>
    <x v="0"/>
    <x v="4"/>
    <x v="4"/>
    <n v="7537"/>
    <n v="41493616.759999998"/>
    <n v="135"/>
  </r>
  <r>
    <x v="0"/>
    <x v="0"/>
    <x v="1"/>
    <x v="1"/>
    <x v="3"/>
    <x v="4"/>
    <n v="291939"/>
    <n v="34216828.039999992"/>
    <n v="4824"/>
  </r>
  <r>
    <x v="0"/>
    <x v="0"/>
    <x v="0"/>
    <x v="8"/>
    <x v="8"/>
    <x v="1"/>
    <n v="32171"/>
    <n v="1021377186.7299999"/>
    <n v="191"/>
  </r>
  <r>
    <x v="0"/>
    <x v="0"/>
    <x v="0"/>
    <x v="2"/>
    <x v="6"/>
    <x v="3"/>
    <n v="6523"/>
    <n v="6943166.7499999991"/>
    <n v="146"/>
  </r>
  <r>
    <x v="0"/>
    <x v="0"/>
    <x v="1"/>
    <x v="5"/>
    <x v="11"/>
    <x v="3"/>
    <n v="3641"/>
    <n v="324294.46000000002"/>
    <n v="80"/>
  </r>
  <r>
    <x v="0"/>
    <x v="0"/>
    <x v="0"/>
    <x v="4"/>
    <x v="10"/>
    <x v="3"/>
    <n v="925"/>
    <n v="12565557.039999999"/>
    <n v="9"/>
  </r>
  <r>
    <x v="0"/>
    <x v="0"/>
    <x v="0"/>
    <x v="2"/>
    <x v="9"/>
    <x v="1"/>
    <n v="231137"/>
    <n v="87615719.119999975"/>
    <n v="3944"/>
  </r>
  <r>
    <x v="0"/>
    <x v="0"/>
    <x v="1"/>
    <x v="1"/>
    <x v="8"/>
    <x v="3"/>
    <n v="735434"/>
    <n v="78032526.329999998"/>
    <n v="4663"/>
  </r>
  <r>
    <x v="0"/>
    <x v="0"/>
    <x v="1"/>
    <x v="1"/>
    <x v="8"/>
    <x v="1"/>
    <n v="18230689"/>
    <n v="2913551701.7799988"/>
    <n v="118292"/>
  </r>
  <r>
    <x v="0"/>
    <x v="0"/>
    <x v="0"/>
    <x v="4"/>
    <x v="10"/>
    <x v="1"/>
    <n v="9079"/>
    <n v="228595570.27000001"/>
    <n v="145"/>
  </r>
  <r>
    <x v="0"/>
    <x v="0"/>
    <x v="1"/>
    <x v="1"/>
    <x v="3"/>
    <x v="5"/>
    <n v="90008"/>
    <n v="7823116.4500000002"/>
    <n v="1742"/>
  </r>
  <r>
    <x v="0"/>
    <x v="0"/>
    <x v="1"/>
    <x v="1"/>
    <x v="3"/>
    <x v="2"/>
    <n v="2857"/>
    <n v="158356.38"/>
    <n v="35"/>
  </r>
  <r>
    <x v="0"/>
    <x v="0"/>
    <x v="1"/>
    <x v="5"/>
    <x v="10"/>
    <x v="0"/>
    <n v="2557"/>
    <n v="639531.25000000012"/>
    <n v="21"/>
  </r>
  <r>
    <x v="0"/>
    <x v="0"/>
    <x v="0"/>
    <x v="6"/>
    <x v="7"/>
    <x v="1"/>
    <n v="8151"/>
    <n v="273779578.94"/>
    <n v="111"/>
  </r>
  <r>
    <x v="0"/>
    <x v="1"/>
    <x v="0"/>
    <x v="4"/>
    <x v="5"/>
    <x v="1"/>
    <n v="69"/>
    <n v="458521.47000000003"/>
    <n v="1"/>
  </r>
  <r>
    <x v="0"/>
    <x v="1"/>
    <x v="1"/>
    <x v="1"/>
    <x v="7"/>
    <x v="1"/>
    <n v="24900"/>
    <n v="22279592.989999998"/>
    <n v="234"/>
  </r>
  <r>
    <x v="0"/>
    <x v="1"/>
    <x v="1"/>
    <x v="3"/>
    <x v="5"/>
    <x v="1"/>
    <n v="632"/>
    <n v="435365.16000000003"/>
    <n v="15"/>
  </r>
  <r>
    <x v="0"/>
    <x v="0"/>
    <x v="0"/>
    <x v="0"/>
    <x v="11"/>
    <x v="4"/>
    <n v="27"/>
    <n v="44844.76"/>
    <n v="1"/>
  </r>
  <r>
    <x v="0"/>
    <x v="0"/>
    <x v="1"/>
    <x v="5"/>
    <x v="11"/>
    <x v="1"/>
    <n v="64466"/>
    <n v="8960428.8800000008"/>
    <n v="1244"/>
  </r>
  <r>
    <x v="0"/>
    <x v="0"/>
    <x v="0"/>
    <x v="6"/>
    <x v="0"/>
    <x v="1"/>
    <n v="2150"/>
    <n v="77342439.810000002"/>
    <n v="29"/>
  </r>
  <r>
    <x v="0"/>
    <x v="0"/>
    <x v="0"/>
    <x v="0"/>
    <x v="6"/>
    <x v="6"/>
    <n v="2839"/>
    <n v="18824820.379999999"/>
    <n v="55"/>
  </r>
  <r>
    <x v="0"/>
    <x v="0"/>
    <x v="1"/>
    <x v="3"/>
    <x v="10"/>
    <x v="1"/>
    <n v="111156"/>
    <n v="131872711.55000003"/>
    <n v="1431"/>
  </r>
  <r>
    <x v="0"/>
    <x v="2"/>
    <x v="1"/>
    <x v="1"/>
    <x v="4"/>
    <x v="3"/>
    <n v="324"/>
    <n v="34299.280000000006"/>
    <n v="5"/>
  </r>
  <r>
    <x v="0"/>
    <x v="0"/>
    <x v="1"/>
    <x v="1"/>
    <x v="6"/>
    <x v="0"/>
    <n v="17716"/>
    <n v="781305.06000000017"/>
    <n v="371"/>
  </r>
  <r>
    <x v="0"/>
    <x v="0"/>
    <x v="1"/>
    <x v="1"/>
    <x v="5"/>
    <x v="4"/>
    <n v="163"/>
    <n v="204679.1"/>
    <n v="2"/>
  </r>
  <r>
    <x v="0"/>
    <x v="1"/>
    <x v="0"/>
    <x v="0"/>
    <x v="9"/>
    <x v="1"/>
    <n v="512"/>
    <n v="1728409.6000000001"/>
    <n v="8"/>
  </r>
  <r>
    <x v="0"/>
    <x v="0"/>
    <x v="1"/>
    <x v="3"/>
    <x v="10"/>
    <x v="3"/>
    <n v="11657"/>
    <n v="13039624.860000001"/>
    <n v="85"/>
  </r>
  <r>
    <x v="0"/>
    <x v="1"/>
    <x v="1"/>
    <x v="1"/>
    <x v="0"/>
    <x v="3"/>
    <n v="58"/>
    <n v="460"/>
    <n v="1"/>
  </r>
  <r>
    <x v="0"/>
    <x v="0"/>
    <x v="0"/>
    <x v="0"/>
    <x v="11"/>
    <x v="2"/>
    <n v="656"/>
    <n v="772910.4800000001"/>
    <n v="15"/>
  </r>
  <r>
    <x v="0"/>
    <x v="0"/>
    <x v="0"/>
    <x v="2"/>
    <x v="6"/>
    <x v="1"/>
    <n v="47183"/>
    <n v="13574516.300000003"/>
    <n v="987"/>
  </r>
  <r>
    <x v="0"/>
    <x v="0"/>
    <x v="0"/>
    <x v="0"/>
    <x v="3"/>
    <x v="0"/>
    <n v="718"/>
    <n v="6676861.9799999995"/>
    <n v="21"/>
  </r>
  <r>
    <x v="0"/>
    <x v="0"/>
    <x v="0"/>
    <x v="4"/>
    <x v="9"/>
    <x v="3"/>
    <n v="146"/>
    <n v="1193233.95"/>
    <n v="5"/>
  </r>
  <r>
    <x v="0"/>
    <x v="0"/>
    <x v="1"/>
    <x v="1"/>
    <x v="11"/>
    <x v="6"/>
    <n v="8539"/>
    <n v="9259809.8799999952"/>
    <n v="167"/>
  </r>
  <r>
    <x v="0"/>
    <x v="2"/>
    <x v="0"/>
    <x v="0"/>
    <x v="9"/>
    <x v="3"/>
    <n v="73"/>
    <n v="379976.18000000005"/>
    <n v="2"/>
  </r>
  <r>
    <x v="0"/>
    <x v="0"/>
    <x v="1"/>
    <x v="5"/>
    <x v="9"/>
    <x v="0"/>
    <n v="34380"/>
    <n v="6703034.1899999995"/>
    <n v="520"/>
  </r>
  <r>
    <x v="0"/>
    <x v="2"/>
    <x v="1"/>
    <x v="5"/>
    <x v="7"/>
    <x v="3"/>
    <n v="1320"/>
    <n v="199197.93"/>
    <n v="11"/>
  </r>
  <r>
    <x v="0"/>
    <x v="2"/>
    <x v="0"/>
    <x v="4"/>
    <x v="6"/>
    <x v="1"/>
    <n v="182"/>
    <n v="243606.15999999997"/>
    <n v="2"/>
  </r>
  <r>
    <x v="0"/>
    <x v="2"/>
    <x v="0"/>
    <x v="2"/>
    <x v="2"/>
    <x v="1"/>
    <n v="9022"/>
    <n v="2908444.9100000006"/>
    <n v="95"/>
  </r>
  <r>
    <x v="0"/>
    <x v="2"/>
    <x v="0"/>
    <x v="0"/>
    <x v="0"/>
    <x v="0"/>
    <n v="95"/>
    <n v="282198.77"/>
    <n v="1"/>
  </r>
  <r>
    <x v="0"/>
    <x v="2"/>
    <x v="1"/>
    <x v="7"/>
    <x v="1"/>
    <x v="1"/>
    <n v="143"/>
    <n v="333008.2"/>
    <n v="2"/>
  </r>
  <r>
    <x v="0"/>
    <x v="0"/>
    <x v="1"/>
    <x v="1"/>
    <x v="4"/>
    <x v="3"/>
    <n v="275509"/>
    <n v="25376427.600000001"/>
    <n v="5091"/>
  </r>
  <r>
    <x v="0"/>
    <x v="2"/>
    <x v="0"/>
    <x v="0"/>
    <x v="7"/>
    <x v="1"/>
    <n v="5878"/>
    <n v="24457719"/>
    <n v="57"/>
  </r>
  <r>
    <x v="0"/>
    <x v="1"/>
    <x v="1"/>
    <x v="3"/>
    <x v="10"/>
    <x v="1"/>
    <n v="580"/>
    <n v="305009.06000000006"/>
    <n v="10"/>
  </r>
  <r>
    <x v="0"/>
    <x v="0"/>
    <x v="1"/>
    <x v="3"/>
    <x v="0"/>
    <x v="0"/>
    <n v="3441"/>
    <n v="2747773.0699999994"/>
    <n v="24"/>
  </r>
  <r>
    <x v="0"/>
    <x v="2"/>
    <x v="1"/>
    <x v="5"/>
    <x v="6"/>
    <x v="1"/>
    <n v="2535"/>
    <n v="819656.62"/>
    <n v="44"/>
  </r>
  <r>
    <x v="0"/>
    <x v="0"/>
    <x v="1"/>
    <x v="5"/>
    <x v="6"/>
    <x v="7"/>
    <n v="1173"/>
    <n v="390632.78"/>
    <n v="28"/>
  </r>
  <r>
    <x v="0"/>
    <x v="0"/>
    <x v="1"/>
    <x v="1"/>
    <x v="4"/>
    <x v="1"/>
    <n v="1450902"/>
    <n v="164406492.80999994"/>
    <n v="23811"/>
  </r>
  <r>
    <x v="0"/>
    <x v="0"/>
    <x v="1"/>
    <x v="1"/>
    <x v="4"/>
    <x v="0"/>
    <n v="81284"/>
    <n v="6618311.71"/>
    <n v="1399"/>
  </r>
  <r>
    <x v="0"/>
    <x v="2"/>
    <x v="0"/>
    <x v="2"/>
    <x v="2"/>
    <x v="3"/>
    <n v="274"/>
    <n v="30848.010000000002"/>
    <n v="2"/>
  </r>
  <r>
    <x v="0"/>
    <x v="2"/>
    <x v="1"/>
    <x v="5"/>
    <x v="6"/>
    <x v="3"/>
    <n v="24"/>
    <n v="3070.1000000000004"/>
    <n v="1"/>
  </r>
  <r>
    <x v="0"/>
    <x v="0"/>
    <x v="0"/>
    <x v="4"/>
    <x v="6"/>
    <x v="6"/>
    <n v="63"/>
    <n v="1208963.8900000001"/>
    <n v="1"/>
  </r>
  <r>
    <x v="0"/>
    <x v="1"/>
    <x v="1"/>
    <x v="5"/>
    <x v="1"/>
    <x v="3"/>
    <n v="42"/>
    <n v="14815.5"/>
    <n v="1"/>
  </r>
  <r>
    <x v="0"/>
    <x v="2"/>
    <x v="1"/>
    <x v="5"/>
    <x v="9"/>
    <x v="1"/>
    <n v="25744"/>
    <n v="8438560.7400000002"/>
    <n v="436"/>
  </r>
  <r>
    <x v="0"/>
    <x v="2"/>
    <x v="0"/>
    <x v="2"/>
    <x v="8"/>
    <x v="1"/>
    <n v="17498"/>
    <n v="8596383.6599999983"/>
    <n v="98"/>
  </r>
  <r>
    <x v="0"/>
    <x v="2"/>
    <x v="1"/>
    <x v="7"/>
    <x v="10"/>
    <x v="1"/>
    <n v="342"/>
    <n v="869973.68"/>
    <n v="2"/>
  </r>
  <r>
    <x v="0"/>
    <x v="2"/>
    <x v="1"/>
    <x v="1"/>
    <x v="5"/>
    <x v="7"/>
    <n v="40"/>
    <n v="2974"/>
    <n v="1"/>
  </r>
  <r>
    <x v="0"/>
    <x v="2"/>
    <x v="0"/>
    <x v="0"/>
    <x v="4"/>
    <x v="3"/>
    <n v="53"/>
    <n v="241151.9"/>
    <n v="2"/>
  </r>
  <r>
    <x v="0"/>
    <x v="0"/>
    <x v="1"/>
    <x v="5"/>
    <x v="9"/>
    <x v="7"/>
    <n v="32094"/>
    <n v="8150534"/>
    <n v="439"/>
  </r>
  <r>
    <x v="0"/>
    <x v="2"/>
    <x v="0"/>
    <x v="0"/>
    <x v="0"/>
    <x v="1"/>
    <n v="1897"/>
    <n v="9252156.3300000001"/>
    <n v="36"/>
  </r>
  <r>
    <x v="0"/>
    <x v="1"/>
    <x v="1"/>
    <x v="3"/>
    <x v="9"/>
    <x v="1"/>
    <n v="287"/>
    <n v="45596.93"/>
    <n v="6"/>
  </r>
  <r>
    <x v="0"/>
    <x v="0"/>
    <x v="1"/>
    <x v="1"/>
    <x v="11"/>
    <x v="0"/>
    <n v="1735"/>
    <n v="67052.960000000006"/>
    <n v="38"/>
  </r>
  <r>
    <x v="0"/>
    <x v="1"/>
    <x v="1"/>
    <x v="1"/>
    <x v="6"/>
    <x v="1"/>
    <n v="11227"/>
    <n v="349511.27"/>
    <n v="252"/>
  </r>
  <r>
    <x v="0"/>
    <x v="0"/>
    <x v="0"/>
    <x v="2"/>
    <x v="3"/>
    <x v="1"/>
    <n v="105671"/>
    <n v="42488385.31000001"/>
    <n v="2141"/>
  </r>
  <r>
    <x v="0"/>
    <x v="0"/>
    <x v="1"/>
    <x v="7"/>
    <x v="6"/>
    <x v="1"/>
    <n v="512"/>
    <n v="466794.02999999997"/>
    <n v="8"/>
  </r>
  <r>
    <x v="0"/>
    <x v="2"/>
    <x v="0"/>
    <x v="2"/>
    <x v="5"/>
    <x v="3"/>
    <n v="191"/>
    <n v="40510.229999999996"/>
    <n v="3"/>
  </r>
  <r>
    <x v="0"/>
    <x v="0"/>
    <x v="1"/>
    <x v="1"/>
    <x v="0"/>
    <x v="1"/>
    <n v="2164706"/>
    <n v="245944476.5499998"/>
    <n v="24535"/>
  </r>
  <r>
    <x v="0"/>
    <x v="0"/>
    <x v="1"/>
    <x v="5"/>
    <x v="6"/>
    <x v="6"/>
    <n v="9765"/>
    <n v="911693.42999999993"/>
    <n v="166"/>
  </r>
  <r>
    <x v="0"/>
    <x v="2"/>
    <x v="0"/>
    <x v="4"/>
    <x v="10"/>
    <x v="1"/>
    <n v="680"/>
    <n v="5279865.37"/>
    <n v="9"/>
  </r>
  <r>
    <x v="0"/>
    <x v="1"/>
    <x v="1"/>
    <x v="5"/>
    <x v="10"/>
    <x v="3"/>
    <n v="148"/>
    <n v="1060"/>
    <n v="2"/>
  </r>
  <r>
    <x v="0"/>
    <x v="2"/>
    <x v="0"/>
    <x v="6"/>
    <x v="1"/>
    <x v="1"/>
    <n v="338"/>
    <n v="1335680.6499999999"/>
    <n v="1"/>
  </r>
  <r>
    <x v="0"/>
    <x v="0"/>
    <x v="1"/>
    <x v="1"/>
    <x v="7"/>
    <x v="3"/>
    <n v="717765"/>
    <n v="70141687.160000026"/>
    <n v="5452"/>
  </r>
  <r>
    <x v="0"/>
    <x v="0"/>
    <x v="0"/>
    <x v="0"/>
    <x v="4"/>
    <x v="6"/>
    <n v="222"/>
    <n v="438121.73999999993"/>
    <n v="1"/>
  </r>
  <r>
    <x v="0"/>
    <x v="0"/>
    <x v="1"/>
    <x v="3"/>
    <x v="7"/>
    <x v="3"/>
    <n v="8675"/>
    <n v="8879365.4200000018"/>
    <n v="63"/>
  </r>
  <r>
    <x v="0"/>
    <x v="2"/>
    <x v="0"/>
    <x v="0"/>
    <x v="4"/>
    <x v="1"/>
    <n v="1397"/>
    <n v="3969975.8200000003"/>
    <n v="22"/>
  </r>
  <r>
    <x v="0"/>
    <x v="2"/>
    <x v="1"/>
    <x v="5"/>
    <x v="10"/>
    <x v="1"/>
    <n v="104699"/>
    <n v="18237193.82"/>
    <n v="1019"/>
  </r>
  <r>
    <x v="0"/>
    <x v="0"/>
    <x v="1"/>
    <x v="3"/>
    <x v="6"/>
    <x v="6"/>
    <n v="735"/>
    <n v="717117.05999999994"/>
    <n v="5"/>
  </r>
  <r>
    <x v="0"/>
    <x v="0"/>
    <x v="1"/>
    <x v="1"/>
    <x v="9"/>
    <x v="4"/>
    <n v="4639"/>
    <n v="1132272.5"/>
    <n v="48"/>
  </r>
  <r>
    <x v="0"/>
    <x v="0"/>
    <x v="0"/>
    <x v="6"/>
    <x v="9"/>
    <x v="1"/>
    <n v="1672"/>
    <n v="5506802652.96"/>
    <n v="28"/>
  </r>
  <r>
    <x v="0"/>
    <x v="2"/>
    <x v="1"/>
    <x v="5"/>
    <x v="10"/>
    <x v="3"/>
    <n v="2812"/>
    <n v="466495.36000000004"/>
    <n v="25"/>
  </r>
  <r>
    <x v="0"/>
    <x v="1"/>
    <x v="1"/>
    <x v="1"/>
    <x v="9"/>
    <x v="1"/>
    <n v="23402"/>
    <n v="2805315.2"/>
    <n v="385"/>
  </r>
  <r>
    <x v="0"/>
    <x v="2"/>
    <x v="1"/>
    <x v="3"/>
    <x v="9"/>
    <x v="1"/>
    <n v="2143"/>
    <n v="829604.00999999989"/>
    <n v="19"/>
  </r>
  <r>
    <x v="0"/>
    <x v="1"/>
    <x v="1"/>
    <x v="5"/>
    <x v="1"/>
    <x v="1"/>
    <n v="64721"/>
    <n v="29088140.140000001"/>
    <n v="565"/>
  </r>
  <r>
    <x v="0"/>
    <x v="0"/>
    <x v="1"/>
    <x v="5"/>
    <x v="3"/>
    <x v="5"/>
    <n v="9630"/>
    <n v="1824159.2299999997"/>
    <n v="163"/>
  </r>
  <r>
    <x v="0"/>
    <x v="1"/>
    <x v="1"/>
    <x v="1"/>
    <x v="9"/>
    <x v="3"/>
    <n v="115"/>
    <n v="16072.190000000002"/>
    <n v="2"/>
  </r>
  <r>
    <x v="0"/>
    <x v="0"/>
    <x v="1"/>
    <x v="1"/>
    <x v="7"/>
    <x v="1"/>
    <n v="3008273"/>
    <n v="416781892.74999952"/>
    <n v="25976"/>
  </r>
  <r>
    <x v="0"/>
    <x v="1"/>
    <x v="0"/>
    <x v="4"/>
    <x v="1"/>
    <x v="1"/>
    <n v="250"/>
    <n v="16463151.360000001"/>
    <n v="1"/>
  </r>
  <r>
    <x v="0"/>
    <x v="2"/>
    <x v="0"/>
    <x v="2"/>
    <x v="5"/>
    <x v="1"/>
    <n v="5744"/>
    <n v="2443786.1599999997"/>
    <n v="100"/>
  </r>
  <r>
    <x v="0"/>
    <x v="2"/>
    <x v="0"/>
    <x v="4"/>
    <x v="9"/>
    <x v="1"/>
    <n v="136"/>
    <n v="2139775.21"/>
    <n v="3"/>
  </r>
  <r>
    <x v="0"/>
    <x v="1"/>
    <x v="1"/>
    <x v="3"/>
    <x v="1"/>
    <x v="1"/>
    <n v="1202"/>
    <n v="1045931.5799999998"/>
    <n v="15"/>
  </r>
  <r>
    <x v="0"/>
    <x v="0"/>
    <x v="1"/>
    <x v="1"/>
    <x v="0"/>
    <x v="3"/>
    <n v="640493"/>
    <n v="58256616.900000036"/>
    <n v="7340"/>
  </r>
  <r>
    <x v="0"/>
    <x v="0"/>
    <x v="0"/>
    <x v="0"/>
    <x v="11"/>
    <x v="1"/>
    <n v="1864"/>
    <n v="7582434.4500000011"/>
    <n v="33"/>
  </r>
  <r>
    <x v="0"/>
    <x v="2"/>
    <x v="1"/>
    <x v="5"/>
    <x v="1"/>
    <x v="1"/>
    <n v="67688"/>
    <n v="15865477.869999997"/>
    <n v="461"/>
  </r>
  <r>
    <x v="0"/>
    <x v="2"/>
    <x v="1"/>
    <x v="5"/>
    <x v="9"/>
    <x v="3"/>
    <n v="1753"/>
    <n v="359465.03"/>
    <n v="27"/>
  </r>
  <r>
    <x v="0"/>
    <x v="0"/>
    <x v="1"/>
    <x v="1"/>
    <x v="0"/>
    <x v="0"/>
    <n v="407241"/>
    <n v="42910263.390000001"/>
    <n v="3577"/>
  </r>
  <r>
    <x v="0"/>
    <x v="0"/>
    <x v="1"/>
    <x v="5"/>
    <x v="5"/>
    <x v="5"/>
    <n v="1166"/>
    <n v="286198.69"/>
    <n v="9"/>
  </r>
  <r>
    <x v="0"/>
    <x v="1"/>
    <x v="1"/>
    <x v="1"/>
    <x v="6"/>
    <x v="3"/>
    <n v="252"/>
    <n v="2619.9499999999998"/>
    <n v="4"/>
  </r>
  <r>
    <x v="0"/>
    <x v="2"/>
    <x v="1"/>
    <x v="5"/>
    <x v="9"/>
    <x v="0"/>
    <n v="121"/>
    <n v="7686"/>
    <n v="2"/>
  </r>
  <r>
    <x v="0"/>
    <x v="0"/>
    <x v="0"/>
    <x v="6"/>
    <x v="6"/>
    <x v="1"/>
    <n v="268"/>
    <n v="1397028.4999999998"/>
    <n v="3"/>
  </r>
  <r>
    <x v="0"/>
    <x v="2"/>
    <x v="1"/>
    <x v="3"/>
    <x v="6"/>
    <x v="1"/>
    <n v="365"/>
    <n v="146391.02000000002"/>
    <n v="3"/>
  </r>
  <r>
    <x v="0"/>
    <x v="0"/>
    <x v="0"/>
    <x v="4"/>
    <x v="4"/>
    <x v="3"/>
    <n v="55"/>
    <n v="135343.91"/>
    <n v="1"/>
  </r>
  <r>
    <x v="0"/>
    <x v="0"/>
    <x v="0"/>
    <x v="4"/>
    <x v="0"/>
    <x v="1"/>
    <n v="5974"/>
    <n v="228454337.86000001"/>
    <n v="87"/>
  </r>
  <r>
    <x v="0"/>
    <x v="0"/>
    <x v="1"/>
    <x v="5"/>
    <x v="6"/>
    <x v="3"/>
    <n v="17341"/>
    <n v="3064006.39"/>
    <n v="389"/>
  </r>
  <r>
    <x v="0"/>
    <x v="0"/>
    <x v="0"/>
    <x v="8"/>
    <x v="10"/>
    <x v="1"/>
    <n v="318"/>
    <n v="55493598.349999994"/>
    <n v="7"/>
  </r>
  <r>
    <x v="0"/>
    <x v="0"/>
    <x v="1"/>
    <x v="7"/>
    <x v="0"/>
    <x v="0"/>
    <n v="139"/>
    <n v="1696411.1"/>
    <n v="2"/>
  </r>
  <r>
    <x v="0"/>
    <x v="0"/>
    <x v="0"/>
    <x v="0"/>
    <x v="8"/>
    <x v="3"/>
    <n v="34555"/>
    <n v="114221611.78999999"/>
    <n v="285"/>
  </r>
  <r>
    <x v="0"/>
    <x v="1"/>
    <x v="1"/>
    <x v="1"/>
    <x v="1"/>
    <x v="1"/>
    <n v="34215"/>
    <n v="9394885.7300000004"/>
    <n v="263"/>
  </r>
  <r>
    <x v="0"/>
    <x v="0"/>
    <x v="1"/>
    <x v="1"/>
    <x v="6"/>
    <x v="2"/>
    <n v="286613"/>
    <n v="24110063.219999999"/>
    <n v="4649"/>
  </r>
  <r>
    <x v="0"/>
    <x v="1"/>
    <x v="0"/>
    <x v="2"/>
    <x v="2"/>
    <x v="1"/>
    <n v="16732"/>
    <n v="6584514.46"/>
    <n v="208"/>
  </r>
  <r>
    <x v="0"/>
    <x v="0"/>
    <x v="0"/>
    <x v="6"/>
    <x v="1"/>
    <x v="1"/>
    <n v="19331"/>
    <n v="340360145.28999996"/>
    <n v="219"/>
  </r>
  <r>
    <x v="0"/>
    <x v="2"/>
    <x v="1"/>
    <x v="1"/>
    <x v="10"/>
    <x v="3"/>
    <n v="1022"/>
    <n v="77033.11"/>
    <n v="8"/>
  </r>
  <r>
    <x v="0"/>
    <x v="0"/>
    <x v="1"/>
    <x v="1"/>
    <x v="9"/>
    <x v="6"/>
    <n v="71"/>
    <n v="1268.76"/>
    <n v="1"/>
  </r>
  <r>
    <x v="0"/>
    <x v="0"/>
    <x v="0"/>
    <x v="2"/>
    <x v="10"/>
    <x v="0"/>
    <n v="211"/>
    <n v="399340"/>
    <n v="2"/>
  </r>
  <r>
    <x v="0"/>
    <x v="0"/>
    <x v="1"/>
    <x v="5"/>
    <x v="6"/>
    <x v="0"/>
    <n v="4773"/>
    <n v="695168.25"/>
    <n v="99"/>
  </r>
  <r>
    <x v="0"/>
    <x v="0"/>
    <x v="1"/>
    <x v="5"/>
    <x v="9"/>
    <x v="1"/>
    <n v="1300149"/>
    <n v="307944256.04999971"/>
    <n v="19981"/>
  </r>
  <r>
    <x v="0"/>
    <x v="2"/>
    <x v="1"/>
    <x v="3"/>
    <x v="1"/>
    <x v="1"/>
    <n v="2798"/>
    <n v="1580583.1099999999"/>
    <n v="18"/>
  </r>
  <r>
    <x v="0"/>
    <x v="0"/>
    <x v="0"/>
    <x v="0"/>
    <x v="3"/>
    <x v="7"/>
    <n v="1613"/>
    <n v="6727834.6500000004"/>
    <n v="31"/>
  </r>
  <r>
    <x v="0"/>
    <x v="1"/>
    <x v="0"/>
    <x v="0"/>
    <x v="4"/>
    <x v="1"/>
    <n v="596"/>
    <n v="2434586.65"/>
    <n v="9"/>
  </r>
  <r>
    <x v="0"/>
    <x v="0"/>
    <x v="0"/>
    <x v="4"/>
    <x v="4"/>
    <x v="1"/>
    <n v="1067"/>
    <n v="13187778.99"/>
    <n v="24"/>
  </r>
  <r>
    <x v="0"/>
    <x v="0"/>
    <x v="0"/>
    <x v="2"/>
    <x v="9"/>
    <x v="7"/>
    <n v="3556"/>
    <n v="1930747.63"/>
    <n v="48"/>
  </r>
  <r>
    <x v="0"/>
    <x v="0"/>
    <x v="0"/>
    <x v="0"/>
    <x v="2"/>
    <x v="3"/>
    <n v="43823"/>
    <n v="255227051.88999996"/>
    <n v="562"/>
  </r>
  <r>
    <x v="0"/>
    <x v="1"/>
    <x v="0"/>
    <x v="4"/>
    <x v="9"/>
    <x v="1"/>
    <n v="61"/>
    <n v="2199573.64"/>
    <n v="2"/>
  </r>
  <r>
    <x v="0"/>
    <x v="0"/>
    <x v="0"/>
    <x v="0"/>
    <x v="8"/>
    <x v="1"/>
    <n v="2656277"/>
    <n v="11773266983.330002"/>
    <n v="19787"/>
  </r>
  <r>
    <x v="0"/>
    <x v="0"/>
    <x v="0"/>
    <x v="0"/>
    <x v="11"/>
    <x v="6"/>
    <n v="114"/>
    <n v="94528.799999999988"/>
    <n v="4"/>
  </r>
  <r>
    <x v="0"/>
    <x v="0"/>
    <x v="1"/>
    <x v="7"/>
    <x v="9"/>
    <x v="5"/>
    <n v="102"/>
    <n v="15543.64"/>
    <n v="1"/>
  </r>
  <r>
    <x v="0"/>
    <x v="0"/>
    <x v="0"/>
    <x v="2"/>
    <x v="3"/>
    <x v="5"/>
    <n v="934"/>
    <n v="470635.76999999996"/>
    <n v="23"/>
  </r>
  <r>
    <x v="0"/>
    <x v="2"/>
    <x v="1"/>
    <x v="5"/>
    <x v="1"/>
    <x v="3"/>
    <n v="1740"/>
    <n v="178804.02999999997"/>
    <n v="9"/>
  </r>
  <r>
    <x v="0"/>
    <x v="0"/>
    <x v="0"/>
    <x v="6"/>
    <x v="10"/>
    <x v="1"/>
    <n v="3936"/>
    <n v="245233996.57000002"/>
    <n v="61"/>
  </r>
  <r>
    <x v="0"/>
    <x v="1"/>
    <x v="0"/>
    <x v="2"/>
    <x v="8"/>
    <x v="1"/>
    <n v="103400"/>
    <n v="43218646.560000002"/>
    <n v="633"/>
  </r>
  <r>
    <x v="0"/>
    <x v="2"/>
    <x v="1"/>
    <x v="1"/>
    <x v="9"/>
    <x v="3"/>
    <n v="331"/>
    <n v="27454.44"/>
    <n v="5"/>
  </r>
  <r>
    <x v="0"/>
    <x v="0"/>
    <x v="1"/>
    <x v="1"/>
    <x v="6"/>
    <x v="6"/>
    <n v="169410"/>
    <n v="17514452.27"/>
    <n v="3089"/>
  </r>
  <r>
    <x v="0"/>
    <x v="2"/>
    <x v="1"/>
    <x v="1"/>
    <x v="10"/>
    <x v="1"/>
    <n v="25734"/>
    <n v="3291982.46"/>
    <n v="237"/>
  </r>
  <r>
    <x v="0"/>
    <x v="0"/>
    <x v="1"/>
    <x v="5"/>
    <x v="6"/>
    <x v="1"/>
    <n v="293084"/>
    <n v="47613020.619999997"/>
    <n v="5366"/>
  </r>
  <r>
    <x v="0"/>
    <x v="2"/>
    <x v="1"/>
    <x v="3"/>
    <x v="10"/>
    <x v="1"/>
    <n v="3626"/>
    <n v="2872876.71"/>
    <n v="31"/>
  </r>
  <r>
    <x v="0"/>
    <x v="0"/>
    <x v="1"/>
    <x v="1"/>
    <x v="5"/>
    <x v="5"/>
    <n v="2957"/>
    <n v="149460.89000000001"/>
    <n v="28"/>
  </r>
  <r>
    <x v="0"/>
    <x v="0"/>
    <x v="1"/>
    <x v="1"/>
    <x v="6"/>
    <x v="4"/>
    <n v="40552"/>
    <n v="3665380.66"/>
    <n v="817"/>
  </r>
  <r>
    <x v="0"/>
    <x v="1"/>
    <x v="1"/>
    <x v="1"/>
    <x v="10"/>
    <x v="3"/>
    <n v="25"/>
    <n v="0"/>
    <n v="1"/>
  </r>
  <r>
    <x v="0"/>
    <x v="0"/>
    <x v="0"/>
    <x v="2"/>
    <x v="6"/>
    <x v="7"/>
    <n v="333"/>
    <n v="100285.23999999999"/>
    <n v="9"/>
  </r>
  <r>
    <x v="0"/>
    <x v="2"/>
    <x v="0"/>
    <x v="2"/>
    <x v="3"/>
    <x v="1"/>
    <n v="924"/>
    <n v="132136.37"/>
    <n v="15"/>
  </r>
  <r>
    <x v="0"/>
    <x v="0"/>
    <x v="0"/>
    <x v="0"/>
    <x v="2"/>
    <x v="1"/>
    <n v="184084"/>
    <n v="901303923.5400002"/>
    <n v="2934"/>
  </r>
  <r>
    <x v="0"/>
    <x v="0"/>
    <x v="0"/>
    <x v="2"/>
    <x v="1"/>
    <x v="3"/>
    <n v="81866"/>
    <n v="28654023.450000003"/>
    <n v="706"/>
  </r>
  <r>
    <x v="0"/>
    <x v="0"/>
    <x v="1"/>
    <x v="3"/>
    <x v="6"/>
    <x v="1"/>
    <n v="7108"/>
    <n v="7057079.8700000001"/>
    <n v="131"/>
  </r>
  <r>
    <x v="0"/>
    <x v="0"/>
    <x v="0"/>
    <x v="8"/>
    <x v="10"/>
    <x v="3"/>
    <n v="84"/>
    <n v="3066259.43"/>
    <n v="1"/>
  </r>
  <r>
    <x v="0"/>
    <x v="0"/>
    <x v="0"/>
    <x v="2"/>
    <x v="3"/>
    <x v="6"/>
    <n v="7436"/>
    <n v="2652993.2099999995"/>
    <n v="103"/>
  </r>
  <r>
    <x v="0"/>
    <x v="1"/>
    <x v="0"/>
    <x v="2"/>
    <x v="3"/>
    <x v="3"/>
    <n v="135"/>
    <n v="0"/>
    <n v="1"/>
  </r>
  <r>
    <x v="0"/>
    <x v="0"/>
    <x v="0"/>
    <x v="0"/>
    <x v="5"/>
    <x v="0"/>
    <n v="13912"/>
    <n v="105205642.98999999"/>
    <n v="197"/>
  </r>
  <r>
    <x v="0"/>
    <x v="0"/>
    <x v="1"/>
    <x v="1"/>
    <x v="10"/>
    <x v="7"/>
    <n v="234"/>
    <n v="203405.99"/>
    <n v="1"/>
  </r>
  <r>
    <x v="0"/>
    <x v="1"/>
    <x v="0"/>
    <x v="2"/>
    <x v="3"/>
    <x v="1"/>
    <n v="2691"/>
    <n v="485848.19"/>
    <n v="70"/>
  </r>
  <r>
    <x v="0"/>
    <x v="2"/>
    <x v="1"/>
    <x v="1"/>
    <x v="9"/>
    <x v="1"/>
    <n v="4242"/>
    <n v="614320.32000000007"/>
    <n v="83"/>
  </r>
  <r>
    <x v="0"/>
    <x v="1"/>
    <x v="0"/>
    <x v="0"/>
    <x v="7"/>
    <x v="1"/>
    <n v="522"/>
    <n v="1890298.4400000002"/>
    <n v="8"/>
  </r>
  <r>
    <x v="0"/>
    <x v="2"/>
    <x v="0"/>
    <x v="2"/>
    <x v="3"/>
    <x v="3"/>
    <n v="28"/>
    <n v="86439.5"/>
    <n v="1"/>
  </r>
  <r>
    <x v="0"/>
    <x v="0"/>
    <x v="0"/>
    <x v="4"/>
    <x v="7"/>
    <x v="3"/>
    <n v="713"/>
    <n v="2290777.7800000003"/>
    <n v="6"/>
  </r>
  <r>
    <x v="0"/>
    <x v="0"/>
    <x v="0"/>
    <x v="4"/>
    <x v="7"/>
    <x v="1"/>
    <n v="20347"/>
    <n v="604138578.19000006"/>
    <n v="319"/>
  </r>
  <r>
    <x v="0"/>
    <x v="0"/>
    <x v="0"/>
    <x v="4"/>
    <x v="0"/>
    <x v="0"/>
    <n v="103"/>
    <n v="7607176.9800000004"/>
    <n v="1"/>
  </r>
  <r>
    <x v="0"/>
    <x v="0"/>
    <x v="1"/>
    <x v="5"/>
    <x v="9"/>
    <x v="3"/>
    <n v="154534"/>
    <n v="55805225.709999993"/>
    <n v="2531"/>
  </r>
  <r>
    <x v="0"/>
    <x v="0"/>
    <x v="0"/>
    <x v="8"/>
    <x v="1"/>
    <x v="1"/>
    <n v="1755"/>
    <n v="113127243.19"/>
    <n v="23"/>
  </r>
  <r>
    <x v="0"/>
    <x v="1"/>
    <x v="1"/>
    <x v="1"/>
    <x v="10"/>
    <x v="1"/>
    <n v="24628"/>
    <n v="4858760.47"/>
    <n v="310"/>
  </r>
  <r>
    <x v="0"/>
    <x v="2"/>
    <x v="0"/>
    <x v="0"/>
    <x v="11"/>
    <x v="1"/>
    <n v="32"/>
    <n v="71536.5"/>
    <n v="1"/>
  </r>
  <r>
    <x v="0"/>
    <x v="1"/>
    <x v="0"/>
    <x v="2"/>
    <x v="5"/>
    <x v="1"/>
    <n v="7863"/>
    <n v="2135417.23"/>
    <n v="132"/>
  </r>
  <r>
    <x v="0"/>
    <x v="0"/>
    <x v="0"/>
    <x v="0"/>
    <x v="4"/>
    <x v="5"/>
    <n v="7455"/>
    <n v="50595976.650000006"/>
    <n v="133"/>
  </r>
  <r>
    <x v="0"/>
    <x v="0"/>
    <x v="0"/>
    <x v="8"/>
    <x v="1"/>
    <x v="3"/>
    <n v="74"/>
    <n v="119766.76000000001"/>
    <n v="1"/>
  </r>
  <r>
    <x v="0"/>
    <x v="0"/>
    <x v="1"/>
    <x v="7"/>
    <x v="7"/>
    <x v="1"/>
    <n v="10837"/>
    <n v="65126585.480000004"/>
    <n v="128"/>
  </r>
  <r>
    <x v="0"/>
    <x v="0"/>
    <x v="1"/>
    <x v="5"/>
    <x v="10"/>
    <x v="1"/>
    <n v="2861791"/>
    <n v="763295934.95000064"/>
    <n v="33891"/>
  </r>
  <r>
    <x v="0"/>
    <x v="0"/>
    <x v="1"/>
    <x v="1"/>
    <x v="9"/>
    <x v="7"/>
    <n v="252203"/>
    <n v="27977328.580000002"/>
    <n v="3415"/>
  </r>
  <r>
    <x v="0"/>
    <x v="2"/>
    <x v="1"/>
    <x v="1"/>
    <x v="6"/>
    <x v="1"/>
    <n v="671"/>
    <n v="241976.79999999996"/>
    <n v="19"/>
  </r>
  <r>
    <x v="0"/>
    <x v="1"/>
    <x v="0"/>
    <x v="2"/>
    <x v="8"/>
    <x v="3"/>
    <n v="349"/>
    <n v="80060"/>
    <n v="1"/>
  </r>
  <r>
    <x v="0"/>
    <x v="0"/>
    <x v="0"/>
    <x v="2"/>
    <x v="1"/>
    <x v="1"/>
    <n v="1022685"/>
    <n v="478994164.87999982"/>
    <n v="10081"/>
  </r>
  <r>
    <x v="0"/>
    <x v="0"/>
    <x v="0"/>
    <x v="4"/>
    <x v="0"/>
    <x v="3"/>
    <n v="144"/>
    <n v="226822.89999999997"/>
    <n v="3"/>
  </r>
  <r>
    <x v="0"/>
    <x v="1"/>
    <x v="0"/>
    <x v="0"/>
    <x v="0"/>
    <x v="1"/>
    <n v="857"/>
    <n v="1193410.8599999999"/>
    <n v="9"/>
  </r>
  <r>
    <x v="0"/>
    <x v="0"/>
    <x v="1"/>
    <x v="1"/>
    <x v="8"/>
    <x v="5"/>
    <n v="73"/>
    <n v="10167.4"/>
    <n v="1"/>
  </r>
  <r>
    <x v="0"/>
    <x v="0"/>
    <x v="1"/>
    <x v="5"/>
    <x v="0"/>
    <x v="1"/>
    <n v="2158354"/>
    <n v="538912500.59999967"/>
    <n v="28018"/>
  </r>
  <r>
    <x v="0"/>
    <x v="0"/>
    <x v="0"/>
    <x v="0"/>
    <x v="9"/>
    <x v="7"/>
    <n v="10225"/>
    <n v="84868024.849999979"/>
    <n v="150"/>
  </r>
  <r>
    <x v="0"/>
    <x v="0"/>
    <x v="0"/>
    <x v="4"/>
    <x v="9"/>
    <x v="1"/>
    <n v="2447"/>
    <n v="39103445.579999998"/>
    <n v="46"/>
  </r>
  <r>
    <x v="0"/>
    <x v="2"/>
    <x v="1"/>
    <x v="3"/>
    <x v="2"/>
    <x v="1"/>
    <n v="2546"/>
    <n v="5409479.8499999996"/>
    <n v="25"/>
  </r>
  <r>
    <x v="0"/>
    <x v="0"/>
    <x v="0"/>
    <x v="2"/>
    <x v="3"/>
    <x v="0"/>
    <n v="3495"/>
    <n v="1549370.5000000002"/>
    <n v="90"/>
  </r>
  <r>
    <x v="0"/>
    <x v="0"/>
    <x v="1"/>
    <x v="3"/>
    <x v="9"/>
    <x v="7"/>
    <n v="156"/>
    <n v="325651.88"/>
    <n v="2"/>
  </r>
  <r>
    <x v="0"/>
    <x v="0"/>
    <x v="0"/>
    <x v="8"/>
    <x v="5"/>
    <x v="1"/>
    <n v="147"/>
    <n v="123613483.52"/>
    <n v="3"/>
  </r>
  <r>
    <x v="0"/>
    <x v="0"/>
    <x v="1"/>
    <x v="7"/>
    <x v="4"/>
    <x v="5"/>
    <n v="256"/>
    <n v="20832.599999999999"/>
    <n v="1"/>
  </r>
  <r>
    <x v="0"/>
    <x v="0"/>
    <x v="1"/>
    <x v="5"/>
    <x v="6"/>
    <x v="5"/>
    <n v="1850"/>
    <n v="282564.99"/>
    <n v="37"/>
  </r>
  <r>
    <x v="0"/>
    <x v="0"/>
    <x v="0"/>
    <x v="2"/>
    <x v="11"/>
    <x v="2"/>
    <n v="2137"/>
    <n v="418412.99"/>
    <n v="36"/>
  </r>
  <r>
    <x v="0"/>
    <x v="1"/>
    <x v="0"/>
    <x v="0"/>
    <x v="6"/>
    <x v="1"/>
    <n v="166"/>
    <n v="114581.2"/>
    <n v="2"/>
  </r>
  <r>
    <x v="0"/>
    <x v="0"/>
    <x v="1"/>
    <x v="7"/>
    <x v="9"/>
    <x v="1"/>
    <n v="1005"/>
    <n v="7173281.9399999995"/>
    <n v="23"/>
  </r>
  <r>
    <x v="0"/>
    <x v="1"/>
    <x v="1"/>
    <x v="5"/>
    <x v="9"/>
    <x v="1"/>
    <n v="28040"/>
    <n v="5227149.9800000004"/>
    <n v="511"/>
  </r>
  <r>
    <x v="0"/>
    <x v="0"/>
    <x v="0"/>
    <x v="0"/>
    <x v="0"/>
    <x v="3"/>
    <n v="36135"/>
    <n v="260676467.31"/>
    <n v="559"/>
  </r>
  <r>
    <x v="0"/>
    <x v="0"/>
    <x v="0"/>
    <x v="0"/>
    <x v="7"/>
    <x v="1"/>
    <n v="270986"/>
    <n v="1461523818.9000003"/>
    <n v="3994"/>
  </r>
  <r>
    <x v="0"/>
    <x v="2"/>
    <x v="0"/>
    <x v="2"/>
    <x v="1"/>
    <x v="3"/>
    <n v="86"/>
    <n v="18372.88"/>
    <n v="1"/>
  </r>
  <r>
    <x v="0"/>
    <x v="2"/>
    <x v="1"/>
    <x v="3"/>
    <x v="5"/>
    <x v="1"/>
    <n v="2947"/>
    <n v="1934716.5699999998"/>
    <n v="36"/>
  </r>
  <r>
    <x v="0"/>
    <x v="0"/>
    <x v="0"/>
    <x v="0"/>
    <x v="6"/>
    <x v="7"/>
    <n v="593"/>
    <n v="2704944.49"/>
    <n v="7"/>
  </r>
  <r>
    <x v="0"/>
    <x v="0"/>
    <x v="0"/>
    <x v="0"/>
    <x v="3"/>
    <x v="5"/>
    <n v="2436"/>
    <n v="15128871.999999998"/>
    <n v="38"/>
  </r>
  <r>
    <x v="0"/>
    <x v="2"/>
    <x v="0"/>
    <x v="4"/>
    <x v="1"/>
    <x v="1"/>
    <n v="2608"/>
    <n v="39855066.930000007"/>
    <n v="19"/>
  </r>
  <r>
    <x v="0"/>
    <x v="0"/>
    <x v="0"/>
    <x v="4"/>
    <x v="6"/>
    <x v="1"/>
    <n v="396"/>
    <n v="4845300.3899999997"/>
    <n v="7"/>
  </r>
  <r>
    <x v="0"/>
    <x v="2"/>
    <x v="1"/>
    <x v="1"/>
    <x v="7"/>
    <x v="3"/>
    <n v="1262"/>
    <n v="138642.19"/>
    <n v="8"/>
  </r>
  <r>
    <x v="0"/>
    <x v="0"/>
    <x v="1"/>
    <x v="1"/>
    <x v="10"/>
    <x v="0"/>
    <n v="1205"/>
    <n v="102645.73999999999"/>
    <n v="6"/>
  </r>
  <r>
    <x v="0"/>
    <x v="0"/>
    <x v="1"/>
    <x v="3"/>
    <x v="4"/>
    <x v="0"/>
    <n v="67"/>
    <n v="82723.399999999994"/>
    <n v="1"/>
  </r>
  <r>
    <x v="0"/>
    <x v="0"/>
    <x v="1"/>
    <x v="1"/>
    <x v="11"/>
    <x v="3"/>
    <n v="7474"/>
    <n v="1463577.6099999994"/>
    <n v="189"/>
  </r>
  <r>
    <x v="0"/>
    <x v="2"/>
    <x v="1"/>
    <x v="3"/>
    <x v="5"/>
    <x v="3"/>
    <n v="80"/>
    <n v="65749.899999999994"/>
    <n v="1"/>
  </r>
  <r>
    <x v="0"/>
    <x v="0"/>
    <x v="1"/>
    <x v="7"/>
    <x v="1"/>
    <x v="3"/>
    <n v="177"/>
    <n v="220960"/>
    <n v="2"/>
  </r>
  <r>
    <x v="0"/>
    <x v="0"/>
    <x v="0"/>
    <x v="4"/>
    <x v="4"/>
    <x v="5"/>
    <n v="228"/>
    <n v="1698987.36"/>
    <n v="2"/>
  </r>
  <r>
    <x v="0"/>
    <x v="0"/>
    <x v="0"/>
    <x v="0"/>
    <x v="0"/>
    <x v="1"/>
    <n v="87063"/>
    <n v="471021240.25999999"/>
    <n v="1567"/>
  </r>
  <r>
    <x v="0"/>
    <x v="0"/>
    <x v="1"/>
    <x v="5"/>
    <x v="4"/>
    <x v="3"/>
    <n v="94027"/>
    <n v="20295772.18"/>
    <n v="1768"/>
  </r>
  <r>
    <x v="0"/>
    <x v="0"/>
    <x v="0"/>
    <x v="4"/>
    <x v="5"/>
    <x v="0"/>
    <n v="45"/>
    <n v="1648411.72"/>
    <n v="1"/>
  </r>
  <r>
    <x v="0"/>
    <x v="2"/>
    <x v="0"/>
    <x v="2"/>
    <x v="9"/>
    <x v="1"/>
    <n v="4312"/>
    <n v="1657958.7400000002"/>
    <n v="77"/>
  </r>
  <r>
    <x v="0"/>
    <x v="0"/>
    <x v="1"/>
    <x v="5"/>
    <x v="6"/>
    <x v="2"/>
    <n v="73211"/>
    <n v="8631300.6700000018"/>
    <n v="1045"/>
  </r>
  <r>
    <x v="0"/>
    <x v="0"/>
    <x v="1"/>
    <x v="3"/>
    <x v="3"/>
    <x v="6"/>
    <n v="301"/>
    <n v="64624.62"/>
    <n v="3"/>
  </r>
  <r>
    <x v="0"/>
    <x v="1"/>
    <x v="1"/>
    <x v="3"/>
    <x v="8"/>
    <x v="1"/>
    <n v="5433"/>
    <n v="2930262.35"/>
    <n v="39"/>
  </r>
  <r>
    <x v="0"/>
    <x v="0"/>
    <x v="0"/>
    <x v="0"/>
    <x v="4"/>
    <x v="3"/>
    <n v="5751"/>
    <n v="33610881.909999996"/>
    <n v="109"/>
  </r>
  <r>
    <x v="0"/>
    <x v="1"/>
    <x v="1"/>
    <x v="5"/>
    <x v="6"/>
    <x v="1"/>
    <n v="8866"/>
    <n v="1109009.06"/>
    <n v="202"/>
  </r>
  <r>
    <x v="0"/>
    <x v="2"/>
    <x v="1"/>
    <x v="3"/>
    <x v="3"/>
    <x v="1"/>
    <n v="413"/>
    <n v="234259.32"/>
    <n v="6"/>
  </r>
  <r>
    <x v="0"/>
    <x v="1"/>
    <x v="1"/>
    <x v="3"/>
    <x v="2"/>
    <x v="1"/>
    <n v="808"/>
    <n v="88925.47"/>
    <n v="11"/>
  </r>
  <r>
    <x v="0"/>
    <x v="2"/>
    <x v="0"/>
    <x v="2"/>
    <x v="10"/>
    <x v="3"/>
    <n v="368"/>
    <n v="114652.71"/>
    <n v="3"/>
  </r>
  <r>
    <x v="0"/>
    <x v="2"/>
    <x v="1"/>
    <x v="1"/>
    <x v="0"/>
    <x v="3"/>
    <n v="262"/>
    <n v="22244.29"/>
    <n v="2"/>
  </r>
  <r>
    <x v="0"/>
    <x v="0"/>
    <x v="0"/>
    <x v="4"/>
    <x v="11"/>
    <x v="2"/>
    <n v="43"/>
    <n v="3795439.9"/>
    <n v="1"/>
  </r>
  <r>
    <x v="0"/>
    <x v="0"/>
    <x v="1"/>
    <x v="1"/>
    <x v="9"/>
    <x v="0"/>
    <n v="116538"/>
    <n v="10967415.939999998"/>
    <n v="1709"/>
  </r>
  <r>
    <x v="0"/>
    <x v="2"/>
    <x v="1"/>
    <x v="5"/>
    <x v="5"/>
    <x v="0"/>
    <n v="56"/>
    <n v="8156.8600000000006"/>
    <n v="1"/>
  </r>
  <r>
    <x v="0"/>
    <x v="0"/>
    <x v="0"/>
    <x v="0"/>
    <x v="4"/>
    <x v="1"/>
    <n v="24946"/>
    <n v="103828854.09000002"/>
    <n v="512"/>
  </r>
  <r>
    <x v="0"/>
    <x v="0"/>
    <x v="1"/>
    <x v="7"/>
    <x v="1"/>
    <x v="1"/>
    <n v="25460"/>
    <n v="67620086.939999998"/>
    <n v="243"/>
  </r>
  <r>
    <x v="0"/>
    <x v="0"/>
    <x v="0"/>
    <x v="4"/>
    <x v="5"/>
    <x v="7"/>
    <n v="48"/>
    <n v="243199.73000000004"/>
    <n v="1"/>
  </r>
  <r>
    <x v="0"/>
    <x v="0"/>
    <x v="1"/>
    <x v="5"/>
    <x v="7"/>
    <x v="3"/>
    <n v="596874"/>
    <n v="139316857.62"/>
    <n v="4643"/>
  </r>
  <r>
    <x v="0"/>
    <x v="0"/>
    <x v="0"/>
    <x v="2"/>
    <x v="9"/>
    <x v="6"/>
    <n v="44"/>
    <n v="62779.7"/>
    <n v="1"/>
  </r>
  <r>
    <x v="0"/>
    <x v="0"/>
    <x v="0"/>
    <x v="0"/>
    <x v="11"/>
    <x v="3"/>
    <n v="126"/>
    <n v="584355.44999999995"/>
    <n v="4"/>
  </r>
  <r>
    <x v="0"/>
    <x v="0"/>
    <x v="1"/>
    <x v="7"/>
    <x v="10"/>
    <x v="3"/>
    <n v="74"/>
    <n v="137838.5"/>
    <n v="1"/>
  </r>
  <r>
    <x v="0"/>
    <x v="2"/>
    <x v="1"/>
    <x v="1"/>
    <x v="7"/>
    <x v="1"/>
    <n v="20165"/>
    <n v="3078685.0000000005"/>
    <n v="144"/>
  </r>
  <r>
    <x v="0"/>
    <x v="2"/>
    <x v="0"/>
    <x v="2"/>
    <x v="10"/>
    <x v="1"/>
    <n v="10063"/>
    <n v="3583395.1100000003"/>
    <n v="119"/>
  </r>
  <r>
    <x v="0"/>
    <x v="2"/>
    <x v="1"/>
    <x v="1"/>
    <x v="0"/>
    <x v="1"/>
    <n v="18440"/>
    <n v="2015446.3000000003"/>
    <n v="177"/>
  </r>
  <r>
    <x v="0"/>
    <x v="0"/>
    <x v="1"/>
    <x v="5"/>
    <x v="7"/>
    <x v="1"/>
    <n v="4654769"/>
    <n v="1329341392.1900005"/>
    <n v="47265"/>
  </r>
  <r>
    <x v="0"/>
    <x v="2"/>
    <x v="1"/>
    <x v="1"/>
    <x v="6"/>
    <x v="7"/>
    <n v="83"/>
    <n v="84458"/>
    <n v="2"/>
  </r>
  <r>
    <x v="0"/>
    <x v="0"/>
    <x v="0"/>
    <x v="8"/>
    <x v="2"/>
    <x v="3"/>
    <n v="82"/>
    <n v="941236.77999999991"/>
    <n v="1"/>
  </r>
  <r>
    <x v="0"/>
    <x v="0"/>
    <x v="0"/>
    <x v="2"/>
    <x v="6"/>
    <x v="4"/>
    <n v="394"/>
    <n v="425611.59"/>
    <n v="12"/>
  </r>
  <r>
    <x v="0"/>
    <x v="0"/>
    <x v="1"/>
    <x v="5"/>
    <x v="3"/>
    <x v="4"/>
    <n v="14372"/>
    <n v="1603343.74"/>
    <n v="233"/>
  </r>
  <r>
    <x v="0"/>
    <x v="0"/>
    <x v="0"/>
    <x v="8"/>
    <x v="2"/>
    <x v="1"/>
    <n v="1524"/>
    <n v="93268890.51000002"/>
    <n v="15"/>
  </r>
  <r>
    <x v="0"/>
    <x v="2"/>
    <x v="0"/>
    <x v="2"/>
    <x v="9"/>
    <x v="3"/>
    <n v="952"/>
    <n v="331520.72000000003"/>
    <n v="9"/>
  </r>
  <r>
    <x v="0"/>
    <x v="0"/>
    <x v="0"/>
    <x v="2"/>
    <x v="5"/>
    <x v="0"/>
    <n v="30968"/>
    <n v="8226910.5199999996"/>
    <n v="411"/>
  </r>
  <r>
    <x v="0"/>
    <x v="2"/>
    <x v="1"/>
    <x v="5"/>
    <x v="3"/>
    <x v="0"/>
    <n v="230"/>
    <n v="78046.03"/>
    <n v="5"/>
  </r>
  <r>
    <x v="0"/>
    <x v="0"/>
    <x v="1"/>
    <x v="1"/>
    <x v="11"/>
    <x v="1"/>
    <n v="93598"/>
    <n v="7876150.96"/>
    <n v="1814"/>
  </r>
  <r>
    <x v="0"/>
    <x v="1"/>
    <x v="0"/>
    <x v="2"/>
    <x v="1"/>
    <x v="1"/>
    <n v="31428"/>
    <n v="12132106.170000002"/>
    <n v="266"/>
  </r>
  <r>
    <x v="0"/>
    <x v="1"/>
    <x v="1"/>
    <x v="5"/>
    <x v="10"/>
    <x v="1"/>
    <n v="38513"/>
    <n v="10574551.169999998"/>
    <n v="507"/>
  </r>
  <r>
    <x v="0"/>
    <x v="0"/>
    <x v="1"/>
    <x v="7"/>
    <x v="10"/>
    <x v="1"/>
    <n v="4469"/>
    <n v="13082776.26"/>
    <n v="66"/>
  </r>
  <r>
    <x v="0"/>
    <x v="0"/>
    <x v="0"/>
    <x v="0"/>
    <x v="7"/>
    <x v="3"/>
    <n v="40985"/>
    <n v="167368854.34000003"/>
    <n v="472"/>
  </r>
  <r>
    <x v="0"/>
    <x v="0"/>
    <x v="1"/>
    <x v="5"/>
    <x v="11"/>
    <x v="7"/>
    <n v="265"/>
    <n v="61633.78"/>
    <n v="6"/>
  </r>
  <r>
    <x v="0"/>
    <x v="2"/>
    <x v="0"/>
    <x v="2"/>
    <x v="1"/>
    <x v="1"/>
    <n v="8355"/>
    <n v="2582671.39"/>
    <n v="63"/>
  </r>
  <r>
    <x v="0"/>
    <x v="0"/>
    <x v="1"/>
    <x v="5"/>
    <x v="0"/>
    <x v="3"/>
    <n v="413062"/>
    <n v="119437598.37999998"/>
    <n v="4904"/>
  </r>
  <r>
    <x v="0"/>
    <x v="0"/>
    <x v="0"/>
    <x v="2"/>
    <x v="6"/>
    <x v="6"/>
    <n v="1125"/>
    <n v="381374.95"/>
    <n v="27"/>
  </r>
  <r>
    <x v="0"/>
    <x v="0"/>
    <x v="1"/>
    <x v="7"/>
    <x v="9"/>
    <x v="3"/>
    <n v="219"/>
    <n v="222248.77999999997"/>
    <n v="1"/>
  </r>
  <r>
    <x v="0"/>
    <x v="1"/>
    <x v="0"/>
    <x v="2"/>
    <x v="6"/>
    <x v="1"/>
    <n v="1720"/>
    <n v="616037.13"/>
    <n v="39"/>
  </r>
  <r>
    <x v="0"/>
    <x v="0"/>
    <x v="1"/>
    <x v="3"/>
    <x v="3"/>
    <x v="1"/>
    <n v="19655"/>
    <n v="38927099.68"/>
    <n v="311"/>
  </r>
  <r>
    <x v="0"/>
    <x v="0"/>
    <x v="0"/>
    <x v="0"/>
    <x v="9"/>
    <x v="1"/>
    <n v="40210"/>
    <n v="196800901.20999998"/>
    <n v="741"/>
  </r>
  <r>
    <x v="0"/>
    <x v="0"/>
    <x v="1"/>
    <x v="5"/>
    <x v="8"/>
    <x v="1"/>
    <n v="49963332"/>
    <n v="14360477015.130064"/>
    <n v="314498"/>
  </r>
  <r>
    <x v="0"/>
    <x v="0"/>
    <x v="1"/>
    <x v="7"/>
    <x v="8"/>
    <x v="1"/>
    <n v="210651"/>
    <n v="596238048.9000001"/>
    <n v="1156"/>
  </r>
  <r>
    <x v="0"/>
    <x v="2"/>
    <x v="1"/>
    <x v="1"/>
    <x v="2"/>
    <x v="1"/>
    <n v="19555"/>
    <n v="2375614.0499999998"/>
    <n v="171"/>
  </r>
  <r>
    <x v="0"/>
    <x v="0"/>
    <x v="1"/>
    <x v="5"/>
    <x v="2"/>
    <x v="3"/>
    <n v="641952"/>
    <n v="183813847.97000003"/>
    <n v="5580"/>
  </r>
  <r>
    <x v="0"/>
    <x v="0"/>
    <x v="1"/>
    <x v="7"/>
    <x v="2"/>
    <x v="3"/>
    <n v="50"/>
    <n v="510219.72000000003"/>
    <n v="2"/>
  </r>
  <r>
    <x v="0"/>
    <x v="0"/>
    <x v="1"/>
    <x v="1"/>
    <x v="6"/>
    <x v="5"/>
    <n v="23892"/>
    <n v="1963963.6600000001"/>
    <n v="542"/>
  </r>
  <r>
    <x v="0"/>
    <x v="1"/>
    <x v="0"/>
    <x v="2"/>
    <x v="6"/>
    <x v="3"/>
    <n v="27"/>
    <n v="0"/>
    <n v="1"/>
  </r>
  <r>
    <x v="0"/>
    <x v="0"/>
    <x v="0"/>
    <x v="2"/>
    <x v="5"/>
    <x v="7"/>
    <n v="12318"/>
    <n v="5760119.75"/>
    <n v="133"/>
  </r>
  <r>
    <x v="0"/>
    <x v="2"/>
    <x v="1"/>
    <x v="1"/>
    <x v="5"/>
    <x v="0"/>
    <n v="130"/>
    <n v="11183.36"/>
    <n v="2"/>
  </r>
  <r>
    <x v="0"/>
    <x v="0"/>
    <x v="0"/>
    <x v="2"/>
    <x v="7"/>
    <x v="3"/>
    <n v="93655"/>
    <n v="30876183.409999996"/>
    <n v="854"/>
  </r>
  <r>
    <x v="0"/>
    <x v="0"/>
    <x v="0"/>
    <x v="2"/>
    <x v="11"/>
    <x v="5"/>
    <n v="140"/>
    <n v="32407.9"/>
    <n v="3"/>
  </r>
  <r>
    <x v="0"/>
    <x v="2"/>
    <x v="1"/>
    <x v="1"/>
    <x v="5"/>
    <x v="3"/>
    <n v="346"/>
    <n v="23074.45"/>
    <n v="4"/>
  </r>
  <r>
    <x v="0"/>
    <x v="2"/>
    <x v="0"/>
    <x v="2"/>
    <x v="6"/>
    <x v="1"/>
    <n v="840"/>
    <n v="325219.09999999998"/>
    <n v="13"/>
  </r>
  <r>
    <x v="0"/>
    <x v="0"/>
    <x v="1"/>
    <x v="1"/>
    <x v="0"/>
    <x v="7"/>
    <n v="2522"/>
    <n v="205526.32"/>
    <n v="19"/>
  </r>
  <r>
    <x v="0"/>
    <x v="0"/>
    <x v="0"/>
    <x v="0"/>
    <x v="6"/>
    <x v="5"/>
    <n v="675"/>
    <n v="1972968.8599999999"/>
    <n v="11"/>
  </r>
  <r>
    <x v="0"/>
    <x v="0"/>
    <x v="0"/>
    <x v="0"/>
    <x v="9"/>
    <x v="0"/>
    <n v="6662"/>
    <n v="62047178.659999996"/>
    <n v="117"/>
  </r>
  <r>
    <x v="0"/>
    <x v="0"/>
    <x v="0"/>
    <x v="8"/>
    <x v="0"/>
    <x v="3"/>
    <n v="123"/>
    <n v="396945.11"/>
    <n v="1"/>
  </r>
  <r>
    <x v="0"/>
    <x v="0"/>
    <x v="0"/>
    <x v="2"/>
    <x v="0"/>
    <x v="0"/>
    <n v="35951"/>
    <n v="11315075.01"/>
    <n v="406"/>
  </r>
  <r>
    <x v="0"/>
    <x v="0"/>
    <x v="1"/>
    <x v="5"/>
    <x v="5"/>
    <x v="0"/>
    <n v="94804"/>
    <n v="23581633.5"/>
    <n v="1087"/>
  </r>
  <r>
    <x v="0"/>
    <x v="1"/>
    <x v="1"/>
    <x v="1"/>
    <x v="8"/>
    <x v="1"/>
    <n v="103739"/>
    <n v="34965986.260000005"/>
    <n v="581"/>
  </r>
  <r>
    <x v="0"/>
    <x v="0"/>
    <x v="1"/>
    <x v="7"/>
    <x v="2"/>
    <x v="1"/>
    <n v="8591"/>
    <n v="53706875.999999985"/>
    <n v="98"/>
  </r>
  <r>
    <x v="0"/>
    <x v="0"/>
    <x v="1"/>
    <x v="1"/>
    <x v="2"/>
    <x v="6"/>
    <n v="35"/>
    <n v="5219.1799999999994"/>
    <n v="1"/>
  </r>
  <r>
    <x v="0"/>
    <x v="0"/>
    <x v="1"/>
    <x v="7"/>
    <x v="5"/>
    <x v="3"/>
    <n v="467"/>
    <n v="1295588.5900000001"/>
    <n v="5"/>
  </r>
  <r>
    <x v="0"/>
    <x v="0"/>
    <x v="0"/>
    <x v="4"/>
    <x v="5"/>
    <x v="3"/>
    <n v="994"/>
    <n v="16702308.890000002"/>
    <n v="10"/>
  </r>
  <r>
    <x v="0"/>
    <x v="0"/>
    <x v="1"/>
    <x v="5"/>
    <x v="5"/>
    <x v="3"/>
    <n v="215447"/>
    <n v="55169822.830000013"/>
    <n v="3185"/>
  </r>
  <r>
    <x v="0"/>
    <x v="0"/>
    <x v="0"/>
    <x v="2"/>
    <x v="7"/>
    <x v="1"/>
    <n v="675363"/>
    <n v="315847743.39999986"/>
    <n v="7799"/>
  </r>
  <r>
    <x v="0"/>
    <x v="1"/>
    <x v="0"/>
    <x v="0"/>
    <x v="5"/>
    <x v="1"/>
    <n v="304"/>
    <n v="902466.2"/>
    <n v="7"/>
  </r>
  <r>
    <x v="0"/>
    <x v="2"/>
    <x v="1"/>
    <x v="1"/>
    <x v="5"/>
    <x v="1"/>
    <n v="12059"/>
    <n v="1305444.4900000002"/>
    <n v="151"/>
  </r>
  <r>
    <x v="0"/>
    <x v="0"/>
    <x v="0"/>
    <x v="0"/>
    <x v="1"/>
    <x v="3"/>
    <n v="37014"/>
    <n v="185020925.22000003"/>
    <n v="377"/>
  </r>
  <r>
    <x v="0"/>
    <x v="0"/>
    <x v="1"/>
    <x v="5"/>
    <x v="2"/>
    <x v="1"/>
    <n v="3494783"/>
    <n v="902799787.59000063"/>
    <n v="38461"/>
  </r>
  <r>
    <x v="0"/>
    <x v="0"/>
    <x v="0"/>
    <x v="2"/>
    <x v="11"/>
    <x v="4"/>
    <n v="287"/>
    <n v="39836.22"/>
    <n v="3"/>
  </r>
  <r>
    <x v="0"/>
    <x v="0"/>
    <x v="0"/>
    <x v="8"/>
    <x v="7"/>
    <x v="1"/>
    <n v="1941"/>
    <n v="408632167.70999998"/>
    <n v="33"/>
  </r>
  <r>
    <x v="0"/>
    <x v="0"/>
    <x v="0"/>
    <x v="2"/>
    <x v="3"/>
    <x v="7"/>
    <n v="928"/>
    <n v="156244.18"/>
    <n v="17"/>
  </r>
  <r>
    <x v="0"/>
    <x v="0"/>
    <x v="0"/>
    <x v="2"/>
    <x v="0"/>
    <x v="3"/>
    <n v="79756"/>
    <n v="23972295.93"/>
    <n v="1165"/>
  </r>
  <r>
    <x v="0"/>
    <x v="0"/>
    <x v="1"/>
    <x v="1"/>
    <x v="4"/>
    <x v="7"/>
    <n v="103554"/>
    <n v="12839358.549999997"/>
    <n v="1794"/>
  </r>
  <r>
    <x v="0"/>
    <x v="0"/>
    <x v="0"/>
    <x v="0"/>
    <x v="6"/>
    <x v="0"/>
    <n v="363"/>
    <n v="2425703.5700000003"/>
    <n v="8"/>
  </r>
  <r>
    <x v="0"/>
    <x v="0"/>
    <x v="0"/>
    <x v="4"/>
    <x v="2"/>
    <x v="1"/>
    <n v="13488"/>
    <n v="342582197.22999996"/>
    <n v="220"/>
  </r>
  <r>
    <x v="0"/>
    <x v="1"/>
    <x v="0"/>
    <x v="2"/>
    <x v="9"/>
    <x v="1"/>
    <n v="5874"/>
    <n v="1577377.5199999998"/>
    <n v="120"/>
  </r>
  <r>
    <x v="0"/>
    <x v="0"/>
    <x v="1"/>
    <x v="7"/>
    <x v="5"/>
    <x v="0"/>
    <n v="137"/>
    <n v="277888.28000000003"/>
    <n v="2"/>
  </r>
  <r>
    <x v="0"/>
    <x v="0"/>
    <x v="0"/>
    <x v="0"/>
    <x v="9"/>
    <x v="5"/>
    <n v="8653"/>
    <n v="38284946.150000006"/>
    <n v="124"/>
  </r>
  <r>
    <x v="0"/>
    <x v="0"/>
    <x v="1"/>
    <x v="1"/>
    <x v="5"/>
    <x v="6"/>
    <n v="102"/>
    <n v="13308.43"/>
    <n v="2"/>
  </r>
  <r>
    <x v="0"/>
    <x v="0"/>
    <x v="1"/>
    <x v="5"/>
    <x v="3"/>
    <x v="0"/>
    <n v="12000"/>
    <n v="3534798.9199999995"/>
    <n v="248"/>
  </r>
  <r>
    <x v="0"/>
    <x v="0"/>
    <x v="0"/>
    <x v="0"/>
    <x v="1"/>
    <x v="1"/>
    <n v="471198"/>
    <n v="2475638817.4100013"/>
    <n v="6173"/>
  </r>
  <r>
    <x v="0"/>
    <x v="0"/>
    <x v="1"/>
    <x v="7"/>
    <x v="5"/>
    <x v="1"/>
    <n v="3262"/>
    <n v="11243257.01"/>
    <n v="42"/>
  </r>
  <r>
    <x v="0"/>
    <x v="0"/>
    <x v="1"/>
    <x v="5"/>
    <x v="3"/>
    <x v="3"/>
    <n v="49432"/>
    <n v="17194273.43"/>
    <n v="1043"/>
  </r>
  <r>
    <x v="0"/>
    <x v="1"/>
    <x v="1"/>
    <x v="5"/>
    <x v="4"/>
    <x v="1"/>
    <n v="23621"/>
    <n v="3594533.4099999992"/>
    <n v="450"/>
  </r>
  <r>
    <x v="0"/>
    <x v="0"/>
    <x v="0"/>
    <x v="0"/>
    <x v="4"/>
    <x v="7"/>
    <n v="3293"/>
    <n v="35597913.400000006"/>
    <n v="59"/>
  </r>
  <r>
    <x v="0"/>
    <x v="0"/>
    <x v="0"/>
    <x v="4"/>
    <x v="3"/>
    <x v="3"/>
    <n v="70"/>
    <n v="335646.91000000003"/>
    <n v="1"/>
  </r>
  <r>
    <x v="0"/>
    <x v="1"/>
    <x v="0"/>
    <x v="0"/>
    <x v="3"/>
    <x v="1"/>
    <n v="80"/>
    <n v="629888.28"/>
    <n v="3"/>
  </r>
  <r>
    <x v="0"/>
    <x v="1"/>
    <x v="0"/>
    <x v="2"/>
    <x v="10"/>
    <x v="3"/>
    <n v="98"/>
    <n v="36630"/>
    <n v="1"/>
  </r>
  <r>
    <x v="0"/>
    <x v="0"/>
    <x v="1"/>
    <x v="5"/>
    <x v="5"/>
    <x v="1"/>
    <n v="1677650"/>
    <n v="422969353.30999982"/>
    <n v="23619"/>
  </r>
  <r>
    <x v="0"/>
    <x v="0"/>
    <x v="0"/>
    <x v="6"/>
    <x v="8"/>
    <x v="1"/>
    <n v="139186"/>
    <n v="1572004364.5099995"/>
    <n v="1103"/>
  </r>
  <r>
    <x v="0"/>
    <x v="2"/>
    <x v="1"/>
    <x v="1"/>
    <x v="3"/>
    <x v="1"/>
    <n v="1123"/>
    <n v="155858.84000000003"/>
    <n v="16"/>
  </r>
  <r>
    <x v="0"/>
    <x v="0"/>
    <x v="1"/>
    <x v="3"/>
    <x v="4"/>
    <x v="5"/>
    <n v="267"/>
    <n v="2846738.75"/>
    <n v="2"/>
  </r>
  <r>
    <x v="0"/>
    <x v="0"/>
    <x v="1"/>
    <x v="5"/>
    <x v="4"/>
    <x v="4"/>
    <n v="65749"/>
    <n v="7557306.9200000009"/>
    <n v="781"/>
  </r>
  <r>
    <x v="0"/>
    <x v="0"/>
    <x v="0"/>
    <x v="0"/>
    <x v="10"/>
    <x v="3"/>
    <n v="48522"/>
    <n v="263157725.05000001"/>
    <n v="660"/>
  </r>
  <r>
    <x v="0"/>
    <x v="0"/>
    <x v="0"/>
    <x v="8"/>
    <x v="0"/>
    <x v="1"/>
    <n v="624"/>
    <n v="202084580.85999998"/>
    <n v="13"/>
  </r>
  <r>
    <x v="0"/>
    <x v="1"/>
    <x v="1"/>
    <x v="5"/>
    <x v="11"/>
    <x v="3"/>
    <n v="45"/>
    <n v="4192.75"/>
    <n v="1"/>
  </r>
  <r>
    <x v="0"/>
    <x v="0"/>
    <x v="1"/>
    <x v="1"/>
    <x v="11"/>
    <x v="7"/>
    <n v="2556"/>
    <n v="135663.31"/>
    <n v="64"/>
  </r>
  <r>
    <x v="0"/>
    <x v="0"/>
    <x v="1"/>
    <x v="3"/>
    <x v="3"/>
    <x v="3"/>
    <n v="892"/>
    <n v="957033.23"/>
    <n v="18"/>
  </r>
  <r>
    <x v="0"/>
    <x v="0"/>
    <x v="0"/>
    <x v="4"/>
    <x v="5"/>
    <x v="1"/>
    <n v="3774"/>
    <n v="197477415.40000001"/>
    <n v="60"/>
  </r>
  <r>
    <x v="0"/>
    <x v="1"/>
    <x v="0"/>
    <x v="2"/>
    <x v="10"/>
    <x v="1"/>
    <n v="11765"/>
    <n v="3151497.3499999996"/>
    <n v="164"/>
  </r>
  <r>
    <x v="0"/>
    <x v="0"/>
    <x v="0"/>
    <x v="2"/>
    <x v="4"/>
    <x v="0"/>
    <n v="7302"/>
    <n v="1866304.51"/>
    <n v="155"/>
  </r>
  <r>
    <x v="0"/>
    <x v="0"/>
    <x v="1"/>
    <x v="1"/>
    <x v="3"/>
    <x v="6"/>
    <n v="515596"/>
    <n v="46639844.070000008"/>
    <n v="7430"/>
  </r>
  <r>
    <x v="0"/>
    <x v="0"/>
    <x v="0"/>
    <x v="0"/>
    <x v="10"/>
    <x v="1"/>
    <n v="121891"/>
    <n v="649214320.47000015"/>
    <n v="2099"/>
  </r>
  <r>
    <x v="0"/>
    <x v="0"/>
    <x v="1"/>
    <x v="3"/>
    <x v="5"/>
    <x v="7"/>
    <n v="494"/>
    <n v="350235.87999999995"/>
    <n v="2"/>
  </r>
  <r>
    <x v="0"/>
    <x v="2"/>
    <x v="1"/>
    <x v="1"/>
    <x v="2"/>
    <x v="3"/>
    <n v="720"/>
    <n v="103980.19"/>
    <n v="6"/>
  </r>
  <r>
    <x v="0"/>
    <x v="0"/>
    <x v="0"/>
    <x v="4"/>
    <x v="3"/>
    <x v="5"/>
    <n v="35"/>
    <n v="983671.78000000014"/>
    <n v="1"/>
  </r>
  <r>
    <x v="0"/>
    <x v="2"/>
    <x v="1"/>
    <x v="1"/>
    <x v="8"/>
    <x v="1"/>
    <n v="43119"/>
    <n v="7283946.7999999998"/>
    <n v="262"/>
  </r>
  <r>
    <x v="0"/>
    <x v="1"/>
    <x v="1"/>
    <x v="5"/>
    <x v="11"/>
    <x v="1"/>
    <n v="2363"/>
    <n v="79537.53"/>
    <n v="61"/>
  </r>
  <r>
    <x v="0"/>
    <x v="1"/>
    <x v="1"/>
    <x v="1"/>
    <x v="8"/>
    <x v="3"/>
    <n v="139"/>
    <n v="153700"/>
    <n v="1"/>
  </r>
  <r>
    <x v="0"/>
    <x v="0"/>
    <x v="1"/>
    <x v="5"/>
    <x v="3"/>
    <x v="1"/>
    <n v="612762"/>
    <n v="118422832.71000005"/>
    <n v="10881"/>
  </r>
  <r>
    <x v="0"/>
    <x v="2"/>
    <x v="1"/>
    <x v="3"/>
    <x v="8"/>
    <x v="1"/>
    <n v="11172"/>
    <n v="9782721.2899999991"/>
    <n v="55"/>
  </r>
  <r>
    <x v="0"/>
    <x v="0"/>
    <x v="1"/>
    <x v="1"/>
    <x v="9"/>
    <x v="5"/>
    <n v="641072"/>
    <n v="74588149.890000015"/>
    <n v="7367"/>
  </r>
  <r>
    <x v="0"/>
    <x v="0"/>
    <x v="0"/>
    <x v="0"/>
    <x v="9"/>
    <x v="3"/>
    <n v="12153"/>
    <n v="83208674.109999999"/>
    <n v="212"/>
  </r>
  <r>
    <x v="0"/>
    <x v="0"/>
    <x v="0"/>
    <x v="2"/>
    <x v="4"/>
    <x v="5"/>
    <n v="4933"/>
    <n v="1746273.3"/>
    <n v="72"/>
  </r>
  <r>
    <x v="0"/>
    <x v="0"/>
    <x v="1"/>
    <x v="5"/>
    <x v="3"/>
    <x v="2"/>
    <n v="1353"/>
    <n v="147416.13"/>
    <n v="16"/>
  </r>
  <r>
    <x v="0"/>
    <x v="1"/>
    <x v="0"/>
    <x v="6"/>
    <x v="4"/>
    <x v="1"/>
    <n v="135"/>
    <n v="225721.4"/>
    <n v="1"/>
  </r>
  <r>
    <x v="0"/>
    <x v="0"/>
    <x v="1"/>
    <x v="3"/>
    <x v="5"/>
    <x v="1"/>
    <n v="53142"/>
    <n v="56100769.699999996"/>
    <n v="811"/>
  </r>
  <r>
    <x v="0"/>
    <x v="0"/>
    <x v="0"/>
    <x v="8"/>
    <x v="4"/>
    <x v="3"/>
    <n v="46"/>
    <n v="2413684.81"/>
    <n v="1"/>
  </r>
  <r>
    <x v="0"/>
    <x v="0"/>
    <x v="0"/>
    <x v="0"/>
    <x v="10"/>
    <x v="0"/>
    <n v="62"/>
    <n v="139318.54"/>
    <n v="1"/>
  </r>
  <r>
    <x v="0"/>
    <x v="0"/>
    <x v="0"/>
    <x v="4"/>
    <x v="3"/>
    <x v="1"/>
    <n v="569"/>
    <n v="6550910.8899999997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538">
  <r>
    <x v="0"/>
    <x v="0"/>
    <x v="0"/>
    <x v="0"/>
    <x v="0"/>
    <x v="0"/>
    <x v="0"/>
    <n v="1"/>
  </r>
  <r>
    <x v="0"/>
    <x v="0"/>
    <x v="0"/>
    <x v="0"/>
    <x v="1"/>
    <x v="1"/>
    <x v="1"/>
    <n v="2"/>
  </r>
  <r>
    <x v="0"/>
    <x v="0"/>
    <x v="0"/>
    <x v="0"/>
    <x v="1"/>
    <x v="1"/>
    <x v="2"/>
    <n v="1"/>
  </r>
  <r>
    <x v="0"/>
    <x v="0"/>
    <x v="0"/>
    <x v="0"/>
    <x v="1"/>
    <x v="0"/>
    <x v="1"/>
    <n v="12"/>
  </r>
  <r>
    <x v="0"/>
    <x v="0"/>
    <x v="0"/>
    <x v="0"/>
    <x v="1"/>
    <x v="0"/>
    <x v="3"/>
    <n v="1"/>
  </r>
  <r>
    <x v="0"/>
    <x v="0"/>
    <x v="0"/>
    <x v="0"/>
    <x v="1"/>
    <x v="0"/>
    <x v="4"/>
    <n v="2"/>
  </r>
  <r>
    <x v="0"/>
    <x v="0"/>
    <x v="0"/>
    <x v="0"/>
    <x v="1"/>
    <x v="0"/>
    <x v="5"/>
    <n v="1"/>
  </r>
  <r>
    <x v="0"/>
    <x v="0"/>
    <x v="0"/>
    <x v="0"/>
    <x v="1"/>
    <x v="0"/>
    <x v="2"/>
    <n v="1"/>
  </r>
  <r>
    <x v="0"/>
    <x v="0"/>
    <x v="0"/>
    <x v="1"/>
    <x v="2"/>
    <x v="2"/>
    <x v="4"/>
    <n v="1"/>
  </r>
  <r>
    <x v="0"/>
    <x v="0"/>
    <x v="0"/>
    <x v="1"/>
    <x v="2"/>
    <x v="3"/>
    <x v="6"/>
    <n v="1"/>
  </r>
  <r>
    <x v="0"/>
    <x v="0"/>
    <x v="0"/>
    <x v="1"/>
    <x v="2"/>
    <x v="3"/>
    <x v="3"/>
    <n v="1"/>
  </r>
  <r>
    <x v="0"/>
    <x v="0"/>
    <x v="0"/>
    <x v="1"/>
    <x v="2"/>
    <x v="3"/>
    <x v="4"/>
    <n v="1"/>
  </r>
  <r>
    <x v="0"/>
    <x v="0"/>
    <x v="0"/>
    <x v="1"/>
    <x v="2"/>
    <x v="3"/>
    <x v="5"/>
    <n v="1"/>
  </r>
  <r>
    <x v="0"/>
    <x v="0"/>
    <x v="0"/>
    <x v="1"/>
    <x v="2"/>
    <x v="4"/>
    <x v="7"/>
    <n v="2"/>
  </r>
  <r>
    <x v="0"/>
    <x v="0"/>
    <x v="0"/>
    <x v="1"/>
    <x v="2"/>
    <x v="4"/>
    <x v="6"/>
    <n v="2"/>
  </r>
  <r>
    <x v="0"/>
    <x v="0"/>
    <x v="0"/>
    <x v="1"/>
    <x v="2"/>
    <x v="4"/>
    <x v="3"/>
    <n v="1"/>
  </r>
  <r>
    <x v="0"/>
    <x v="0"/>
    <x v="0"/>
    <x v="1"/>
    <x v="2"/>
    <x v="5"/>
    <x v="3"/>
    <n v="1"/>
  </r>
  <r>
    <x v="0"/>
    <x v="0"/>
    <x v="0"/>
    <x v="1"/>
    <x v="2"/>
    <x v="5"/>
    <x v="5"/>
    <n v="2"/>
  </r>
  <r>
    <x v="0"/>
    <x v="0"/>
    <x v="0"/>
    <x v="1"/>
    <x v="2"/>
    <x v="6"/>
    <x v="8"/>
    <n v="2"/>
  </r>
  <r>
    <x v="0"/>
    <x v="0"/>
    <x v="0"/>
    <x v="1"/>
    <x v="2"/>
    <x v="6"/>
    <x v="9"/>
    <n v="1"/>
  </r>
  <r>
    <x v="0"/>
    <x v="0"/>
    <x v="0"/>
    <x v="1"/>
    <x v="2"/>
    <x v="6"/>
    <x v="3"/>
    <n v="1"/>
  </r>
  <r>
    <x v="0"/>
    <x v="0"/>
    <x v="0"/>
    <x v="1"/>
    <x v="2"/>
    <x v="7"/>
    <x v="1"/>
    <n v="1"/>
  </r>
  <r>
    <x v="0"/>
    <x v="0"/>
    <x v="0"/>
    <x v="1"/>
    <x v="2"/>
    <x v="8"/>
    <x v="1"/>
    <n v="2"/>
  </r>
  <r>
    <x v="0"/>
    <x v="0"/>
    <x v="0"/>
    <x v="1"/>
    <x v="1"/>
    <x v="9"/>
    <x v="1"/>
    <n v="1"/>
  </r>
  <r>
    <x v="0"/>
    <x v="0"/>
    <x v="0"/>
    <x v="1"/>
    <x v="1"/>
    <x v="7"/>
    <x v="7"/>
    <n v="2"/>
  </r>
  <r>
    <x v="0"/>
    <x v="0"/>
    <x v="0"/>
    <x v="1"/>
    <x v="1"/>
    <x v="0"/>
    <x v="6"/>
    <n v="4"/>
  </r>
  <r>
    <x v="0"/>
    <x v="0"/>
    <x v="0"/>
    <x v="1"/>
    <x v="1"/>
    <x v="0"/>
    <x v="1"/>
    <n v="1"/>
  </r>
  <r>
    <x v="0"/>
    <x v="0"/>
    <x v="0"/>
    <x v="1"/>
    <x v="3"/>
    <x v="2"/>
    <x v="7"/>
    <n v="2"/>
  </r>
  <r>
    <x v="0"/>
    <x v="0"/>
    <x v="0"/>
    <x v="1"/>
    <x v="3"/>
    <x v="10"/>
    <x v="7"/>
    <n v="2"/>
  </r>
  <r>
    <x v="0"/>
    <x v="0"/>
    <x v="0"/>
    <x v="1"/>
    <x v="3"/>
    <x v="3"/>
    <x v="8"/>
    <n v="1"/>
  </r>
  <r>
    <x v="0"/>
    <x v="0"/>
    <x v="0"/>
    <x v="2"/>
    <x v="0"/>
    <x v="7"/>
    <x v="10"/>
    <n v="4"/>
  </r>
  <r>
    <x v="0"/>
    <x v="0"/>
    <x v="0"/>
    <x v="2"/>
    <x v="0"/>
    <x v="7"/>
    <x v="1"/>
    <n v="1"/>
  </r>
  <r>
    <x v="0"/>
    <x v="0"/>
    <x v="0"/>
    <x v="2"/>
    <x v="0"/>
    <x v="7"/>
    <x v="11"/>
    <n v="1"/>
  </r>
  <r>
    <x v="0"/>
    <x v="0"/>
    <x v="0"/>
    <x v="2"/>
    <x v="0"/>
    <x v="8"/>
    <x v="10"/>
    <n v="1"/>
  </r>
  <r>
    <x v="0"/>
    <x v="0"/>
    <x v="0"/>
    <x v="2"/>
    <x v="4"/>
    <x v="0"/>
    <x v="1"/>
    <n v="1"/>
  </r>
  <r>
    <x v="0"/>
    <x v="0"/>
    <x v="0"/>
    <x v="2"/>
    <x v="5"/>
    <x v="6"/>
    <x v="10"/>
    <n v="1"/>
  </r>
  <r>
    <x v="0"/>
    <x v="0"/>
    <x v="0"/>
    <x v="2"/>
    <x v="5"/>
    <x v="0"/>
    <x v="6"/>
    <n v="1"/>
  </r>
  <r>
    <x v="0"/>
    <x v="0"/>
    <x v="0"/>
    <x v="2"/>
    <x v="6"/>
    <x v="5"/>
    <x v="5"/>
    <n v="1"/>
  </r>
  <r>
    <x v="0"/>
    <x v="0"/>
    <x v="0"/>
    <x v="2"/>
    <x v="6"/>
    <x v="11"/>
    <x v="1"/>
    <n v="4"/>
  </r>
  <r>
    <x v="0"/>
    <x v="0"/>
    <x v="0"/>
    <x v="2"/>
    <x v="6"/>
    <x v="11"/>
    <x v="5"/>
    <n v="2"/>
  </r>
  <r>
    <x v="0"/>
    <x v="0"/>
    <x v="0"/>
    <x v="2"/>
    <x v="6"/>
    <x v="6"/>
    <x v="10"/>
    <n v="14"/>
  </r>
  <r>
    <x v="0"/>
    <x v="0"/>
    <x v="0"/>
    <x v="2"/>
    <x v="6"/>
    <x v="6"/>
    <x v="9"/>
    <n v="1"/>
  </r>
  <r>
    <x v="0"/>
    <x v="0"/>
    <x v="0"/>
    <x v="2"/>
    <x v="6"/>
    <x v="6"/>
    <x v="3"/>
    <n v="6"/>
  </r>
  <r>
    <x v="0"/>
    <x v="0"/>
    <x v="0"/>
    <x v="2"/>
    <x v="6"/>
    <x v="6"/>
    <x v="4"/>
    <n v="4"/>
  </r>
  <r>
    <x v="0"/>
    <x v="0"/>
    <x v="0"/>
    <x v="2"/>
    <x v="6"/>
    <x v="9"/>
    <x v="10"/>
    <n v="8"/>
  </r>
  <r>
    <x v="0"/>
    <x v="0"/>
    <x v="0"/>
    <x v="2"/>
    <x v="6"/>
    <x v="9"/>
    <x v="9"/>
    <n v="1"/>
  </r>
  <r>
    <x v="0"/>
    <x v="0"/>
    <x v="0"/>
    <x v="2"/>
    <x v="6"/>
    <x v="9"/>
    <x v="4"/>
    <n v="1"/>
  </r>
  <r>
    <x v="0"/>
    <x v="0"/>
    <x v="0"/>
    <x v="2"/>
    <x v="6"/>
    <x v="12"/>
    <x v="6"/>
    <n v="59"/>
  </r>
  <r>
    <x v="0"/>
    <x v="0"/>
    <x v="0"/>
    <x v="2"/>
    <x v="6"/>
    <x v="12"/>
    <x v="12"/>
    <n v="1"/>
  </r>
  <r>
    <x v="0"/>
    <x v="0"/>
    <x v="0"/>
    <x v="2"/>
    <x v="6"/>
    <x v="12"/>
    <x v="9"/>
    <n v="3"/>
  </r>
  <r>
    <x v="0"/>
    <x v="0"/>
    <x v="0"/>
    <x v="2"/>
    <x v="6"/>
    <x v="1"/>
    <x v="6"/>
    <n v="43"/>
  </r>
  <r>
    <x v="0"/>
    <x v="0"/>
    <x v="0"/>
    <x v="2"/>
    <x v="6"/>
    <x v="1"/>
    <x v="12"/>
    <n v="1"/>
  </r>
  <r>
    <x v="0"/>
    <x v="0"/>
    <x v="0"/>
    <x v="2"/>
    <x v="6"/>
    <x v="1"/>
    <x v="9"/>
    <n v="1"/>
  </r>
  <r>
    <x v="0"/>
    <x v="0"/>
    <x v="0"/>
    <x v="2"/>
    <x v="6"/>
    <x v="0"/>
    <x v="12"/>
    <n v="7"/>
  </r>
  <r>
    <x v="0"/>
    <x v="0"/>
    <x v="0"/>
    <x v="2"/>
    <x v="6"/>
    <x v="0"/>
    <x v="3"/>
    <n v="2"/>
  </r>
  <r>
    <x v="0"/>
    <x v="0"/>
    <x v="0"/>
    <x v="2"/>
    <x v="6"/>
    <x v="0"/>
    <x v="4"/>
    <n v="2"/>
  </r>
  <r>
    <x v="0"/>
    <x v="0"/>
    <x v="0"/>
    <x v="3"/>
    <x v="0"/>
    <x v="0"/>
    <x v="13"/>
    <n v="2"/>
  </r>
  <r>
    <x v="0"/>
    <x v="0"/>
    <x v="0"/>
    <x v="3"/>
    <x v="0"/>
    <x v="0"/>
    <x v="14"/>
    <n v="1"/>
  </r>
  <r>
    <x v="0"/>
    <x v="0"/>
    <x v="0"/>
    <x v="3"/>
    <x v="7"/>
    <x v="0"/>
    <x v="12"/>
    <n v="1"/>
  </r>
  <r>
    <x v="0"/>
    <x v="0"/>
    <x v="0"/>
    <x v="4"/>
    <x v="8"/>
    <x v="13"/>
    <x v="7"/>
    <n v="10"/>
  </r>
  <r>
    <x v="0"/>
    <x v="0"/>
    <x v="0"/>
    <x v="4"/>
    <x v="8"/>
    <x v="13"/>
    <x v="6"/>
    <n v="7"/>
  </r>
  <r>
    <x v="0"/>
    <x v="0"/>
    <x v="0"/>
    <x v="4"/>
    <x v="8"/>
    <x v="13"/>
    <x v="9"/>
    <n v="1"/>
  </r>
  <r>
    <x v="0"/>
    <x v="0"/>
    <x v="0"/>
    <x v="4"/>
    <x v="8"/>
    <x v="2"/>
    <x v="15"/>
    <n v="71"/>
  </r>
  <r>
    <x v="0"/>
    <x v="0"/>
    <x v="0"/>
    <x v="4"/>
    <x v="8"/>
    <x v="2"/>
    <x v="5"/>
    <n v="1"/>
  </r>
  <r>
    <x v="0"/>
    <x v="0"/>
    <x v="0"/>
    <x v="4"/>
    <x v="8"/>
    <x v="10"/>
    <x v="1"/>
    <n v="1"/>
  </r>
  <r>
    <x v="0"/>
    <x v="0"/>
    <x v="0"/>
    <x v="4"/>
    <x v="8"/>
    <x v="10"/>
    <x v="5"/>
    <n v="1"/>
  </r>
  <r>
    <x v="0"/>
    <x v="0"/>
    <x v="0"/>
    <x v="4"/>
    <x v="8"/>
    <x v="3"/>
    <x v="1"/>
    <n v="5"/>
  </r>
  <r>
    <x v="0"/>
    <x v="0"/>
    <x v="0"/>
    <x v="4"/>
    <x v="8"/>
    <x v="3"/>
    <x v="5"/>
    <n v="1"/>
  </r>
  <r>
    <x v="0"/>
    <x v="0"/>
    <x v="0"/>
    <x v="4"/>
    <x v="8"/>
    <x v="3"/>
    <x v="2"/>
    <n v="1"/>
  </r>
  <r>
    <x v="0"/>
    <x v="0"/>
    <x v="0"/>
    <x v="4"/>
    <x v="8"/>
    <x v="4"/>
    <x v="10"/>
    <n v="3"/>
  </r>
  <r>
    <x v="0"/>
    <x v="0"/>
    <x v="0"/>
    <x v="4"/>
    <x v="8"/>
    <x v="4"/>
    <x v="9"/>
    <n v="2"/>
  </r>
  <r>
    <x v="0"/>
    <x v="0"/>
    <x v="0"/>
    <x v="4"/>
    <x v="8"/>
    <x v="4"/>
    <x v="3"/>
    <n v="2"/>
  </r>
  <r>
    <x v="0"/>
    <x v="0"/>
    <x v="0"/>
    <x v="4"/>
    <x v="8"/>
    <x v="4"/>
    <x v="4"/>
    <n v="2"/>
  </r>
  <r>
    <x v="0"/>
    <x v="0"/>
    <x v="0"/>
    <x v="4"/>
    <x v="8"/>
    <x v="4"/>
    <x v="5"/>
    <n v="1"/>
  </r>
  <r>
    <x v="0"/>
    <x v="0"/>
    <x v="0"/>
    <x v="4"/>
    <x v="8"/>
    <x v="4"/>
    <x v="2"/>
    <n v="2"/>
  </r>
  <r>
    <x v="0"/>
    <x v="0"/>
    <x v="0"/>
    <x v="4"/>
    <x v="8"/>
    <x v="5"/>
    <x v="10"/>
    <n v="7"/>
  </r>
  <r>
    <x v="0"/>
    <x v="0"/>
    <x v="0"/>
    <x v="4"/>
    <x v="8"/>
    <x v="5"/>
    <x v="12"/>
    <n v="1"/>
  </r>
  <r>
    <x v="0"/>
    <x v="0"/>
    <x v="0"/>
    <x v="4"/>
    <x v="8"/>
    <x v="5"/>
    <x v="9"/>
    <n v="4"/>
  </r>
  <r>
    <x v="0"/>
    <x v="0"/>
    <x v="0"/>
    <x v="4"/>
    <x v="8"/>
    <x v="5"/>
    <x v="3"/>
    <n v="1"/>
  </r>
  <r>
    <x v="0"/>
    <x v="0"/>
    <x v="0"/>
    <x v="4"/>
    <x v="8"/>
    <x v="5"/>
    <x v="4"/>
    <n v="2"/>
  </r>
  <r>
    <x v="0"/>
    <x v="0"/>
    <x v="0"/>
    <x v="0"/>
    <x v="1"/>
    <x v="11"/>
    <x v="8"/>
    <n v="46"/>
  </r>
  <r>
    <x v="0"/>
    <x v="0"/>
    <x v="0"/>
    <x v="0"/>
    <x v="1"/>
    <x v="7"/>
    <x v="7"/>
    <n v="23"/>
  </r>
  <r>
    <x v="0"/>
    <x v="0"/>
    <x v="0"/>
    <x v="0"/>
    <x v="1"/>
    <x v="7"/>
    <x v="6"/>
    <n v="6"/>
  </r>
  <r>
    <x v="0"/>
    <x v="0"/>
    <x v="0"/>
    <x v="0"/>
    <x v="1"/>
    <x v="7"/>
    <x v="10"/>
    <n v="4"/>
  </r>
  <r>
    <x v="0"/>
    <x v="0"/>
    <x v="0"/>
    <x v="0"/>
    <x v="1"/>
    <x v="8"/>
    <x v="7"/>
    <n v="3"/>
  </r>
  <r>
    <x v="0"/>
    <x v="0"/>
    <x v="0"/>
    <x v="0"/>
    <x v="1"/>
    <x v="8"/>
    <x v="6"/>
    <n v="16"/>
  </r>
  <r>
    <x v="0"/>
    <x v="0"/>
    <x v="0"/>
    <x v="0"/>
    <x v="1"/>
    <x v="8"/>
    <x v="10"/>
    <n v="4"/>
  </r>
  <r>
    <x v="0"/>
    <x v="0"/>
    <x v="0"/>
    <x v="0"/>
    <x v="1"/>
    <x v="0"/>
    <x v="12"/>
    <n v="4"/>
  </r>
  <r>
    <x v="0"/>
    <x v="0"/>
    <x v="0"/>
    <x v="0"/>
    <x v="1"/>
    <x v="0"/>
    <x v="9"/>
    <n v="3"/>
  </r>
  <r>
    <x v="0"/>
    <x v="0"/>
    <x v="0"/>
    <x v="1"/>
    <x v="2"/>
    <x v="11"/>
    <x v="8"/>
    <n v="1"/>
  </r>
  <r>
    <x v="0"/>
    <x v="0"/>
    <x v="0"/>
    <x v="1"/>
    <x v="2"/>
    <x v="7"/>
    <x v="7"/>
    <n v="1"/>
  </r>
  <r>
    <x v="0"/>
    <x v="0"/>
    <x v="0"/>
    <x v="1"/>
    <x v="2"/>
    <x v="7"/>
    <x v="6"/>
    <n v="1"/>
  </r>
  <r>
    <x v="0"/>
    <x v="0"/>
    <x v="0"/>
    <x v="1"/>
    <x v="2"/>
    <x v="7"/>
    <x v="10"/>
    <n v="1"/>
  </r>
  <r>
    <x v="0"/>
    <x v="0"/>
    <x v="0"/>
    <x v="1"/>
    <x v="2"/>
    <x v="8"/>
    <x v="7"/>
    <n v="1"/>
  </r>
  <r>
    <x v="0"/>
    <x v="0"/>
    <x v="0"/>
    <x v="1"/>
    <x v="2"/>
    <x v="8"/>
    <x v="6"/>
    <n v="1"/>
  </r>
  <r>
    <x v="0"/>
    <x v="0"/>
    <x v="0"/>
    <x v="1"/>
    <x v="1"/>
    <x v="0"/>
    <x v="7"/>
    <n v="2"/>
  </r>
  <r>
    <x v="0"/>
    <x v="0"/>
    <x v="0"/>
    <x v="2"/>
    <x v="0"/>
    <x v="7"/>
    <x v="12"/>
    <n v="3"/>
  </r>
  <r>
    <x v="0"/>
    <x v="0"/>
    <x v="0"/>
    <x v="2"/>
    <x v="0"/>
    <x v="7"/>
    <x v="4"/>
    <n v="2"/>
  </r>
  <r>
    <x v="0"/>
    <x v="0"/>
    <x v="0"/>
    <x v="2"/>
    <x v="0"/>
    <x v="8"/>
    <x v="1"/>
    <n v="3"/>
  </r>
  <r>
    <x v="0"/>
    <x v="0"/>
    <x v="0"/>
    <x v="2"/>
    <x v="4"/>
    <x v="8"/>
    <x v="9"/>
    <n v="1"/>
  </r>
  <r>
    <x v="0"/>
    <x v="0"/>
    <x v="0"/>
    <x v="2"/>
    <x v="6"/>
    <x v="11"/>
    <x v="9"/>
    <n v="2"/>
  </r>
  <r>
    <x v="0"/>
    <x v="0"/>
    <x v="0"/>
    <x v="2"/>
    <x v="6"/>
    <x v="6"/>
    <x v="1"/>
    <n v="2"/>
  </r>
  <r>
    <x v="0"/>
    <x v="0"/>
    <x v="0"/>
    <x v="2"/>
    <x v="6"/>
    <x v="6"/>
    <x v="12"/>
    <n v="2"/>
  </r>
  <r>
    <x v="0"/>
    <x v="0"/>
    <x v="0"/>
    <x v="2"/>
    <x v="6"/>
    <x v="9"/>
    <x v="1"/>
    <n v="6"/>
  </r>
  <r>
    <x v="0"/>
    <x v="0"/>
    <x v="0"/>
    <x v="2"/>
    <x v="6"/>
    <x v="12"/>
    <x v="10"/>
    <n v="7"/>
  </r>
  <r>
    <x v="0"/>
    <x v="0"/>
    <x v="0"/>
    <x v="2"/>
    <x v="6"/>
    <x v="7"/>
    <x v="7"/>
    <n v="12"/>
  </r>
  <r>
    <x v="0"/>
    <x v="0"/>
    <x v="0"/>
    <x v="2"/>
    <x v="6"/>
    <x v="1"/>
    <x v="10"/>
    <n v="4"/>
  </r>
  <r>
    <x v="0"/>
    <x v="0"/>
    <x v="0"/>
    <x v="2"/>
    <x v="6"/>
    <x v="1"/>
    <x v="1"/>
    <n v="3"/>
  </r>
  <r>
    <x v="0"/>
    <x v="0"/>
    <x v="0"/>
    <x v="2"/>
    <x v="6"/>
    <x v="0"/>
    <x v="6"/>
    <n v="4"/>
  </r>
  <r>
    <x v="0"/>
    <x v="0"/>
    <x v="0"/>
    <x v="2"/>
    <x v="6"/>
    <x v="0"/>
    <x v="10"/>
    <n v="30"/>
  </r>
  <r>
    <x v="0"/>
    <x v="0"/>
    <x v="0"/>
    <x v="2"/>
    <x v="6"/>
    <x v="0"/>
    <x v="1"/>
    <n v="6"/>
  </r>
  <r>
    <x v="0"/>
    <x v="0"/>
    <x v="0"/>
    <x v="3"/>
    <x v="0"/>
    <x v="0"/>
    <x v="5"/>
    <n v="2"/>
  </r>
  <r>
    <x v="0"/>
    <x v="0"/>
    <x v="0"/>
    <x v="3"/>
    <x v="0"/>
    <x v="0"/>
    <x v="2"/>
    <n v="7"/>
  </r>
  <r>
    <x v="0"/>
    <x v="0"/>
    <x v="0"/>
    <x v="3"/>
    <x v="1"/>
    <x v="0"/>
    <x v="12"/>
    <n v="4"/>
  </r>
  <r>
    <x v="0"/>
    <x v="0"/>
    <x v="0"/>
    <x v="3"/>
    <x v="1"/>
    <x v="0"/>
    <x v="9"/>
    <n v="1"/>
  </r>
  <r>
    <x v="0"/>
    <x v="0"/>
    <x v="0"/>
    <x v="3"/>
    <x v="1"/>
    <x v="0"/>
    <x v="4"/>
    <n v="2"/>
  </r>
  <r>
    <x v="0"/>
    <x v="0"/>
    <x v="0"/>
    <x v="3"/>
    <x v="5"/>
    <x v="0"/>
    <x v="12"/>
    <n v="2"/>
  </r>
  <r>
    <x v="0"/>
    <x v="0"/>
    <x v="0"/>
    <x v="3"/>
    <x v="5"/>
    <x v="0"/>
    <x v="9"/>
    <n v="1"/>
  </r>
  <r>
    <x v="0"/>
    <x v="0"/>
    <x v="0"/>
    <x v="4"/>
    <x v="8"/>
    <x v="13"/>
    <x v="8"/>
    <n v="6"/>
  </r>
  <r>
    <x v="0"/>
    <x v="0"/>
    <x v="0"/>
    <x v="4"/>
    <x v="8"/>
    <x v="13"/>
    <x v="4"/>
    <n v="1"/>
  </r>
  <r>
    <x v="0"/>
    <x v="0"/>
    <x v="0"/>
    <x v="4"/>
    <x v="8"/>
    <x v="2"/>
    <x v="9"/>
    <n v="3"/>
  </r>
  <r>
    <x v="0"/>
    <x v="0"/>
    <x v="0"/>
    <x v="4"/>
    <x v="8"/>
    <x v="2"/>
    <x v="4"/>
    <n v="1"/>
  </r>
  <r>
    <x v="0"/>
    <x v="0"/>
    <x v="0"/>
    <x v="4"/>
    <x v="8"/>
    <x v="10"/>
    <x v="12"/>
    <n v="3"/>
  </r>
  <r>
    <x v="0"/>
    <x v="0"/>
    <x v="0"/>
    <x v="4"/>
    <x v="8"/>
    <x v="10"/>
    <x v="9"/>
    <n v="3"/>
  </r>
  <r>
    <x v="0"/>
    <x v="0"/>
    <x v="0"/>
    <x v="4"/>
    <x v="8"/>
    <x v="10"/>
    <x v="3"/>
    <n v="3"/>
  </r>
  <r>
    <x v="0"/>
    <x v="0"/>
    <x v="0"/>
    <x v="4"/>
    <x v="8"/>
    <x v="3"/>
    <x v="12"/>
    <n v="3"/>
  </r>
  <r>
    <x v="0"/>
    <x v="0"/>
    <x v="0"/>
    <x v="4"/>
    <x v="8"/>
    <x v="3"/>
    <x v="9"/>
    <n v="3"/>
  </r>
  <r>
    <x v="0"/>
    <x v="0"/>
    <x v="0"/>
    <x v="4"/>
    <x v="8"/>
    <x v="4"/>
    <x v="1"/>
    <n v="2"/>
  </r>
  <r>
    <x v="0"/>
    <x v="0"/>
    <x v="0"/>
    <x v="4"/>
    <x v="8"/>
    <x v="5"/>
    <x v="1"/>
    <n v="2"/>
  </r>
  <r>
    <x v="0"/>
    <x v="0"/>
    <x v="0"/>
    <x v="4"/>
    <x v="8"/>
    <x v="11"/>
    <x v="10"/>
    <n v="5"/>
  </r>
  <r>
    <x v="0"/>
    <x v="0"/>
    <x v="0"/>
    <x v="4"/>
    <x v="8"/>
    <x v="11"/>
    <x v="1"/>
    <n v="4"/>
  </r>
  <r>
    <x v="0"/>
    <x v="0"/>
    <x v="0"/>
    <x v="4"/>
    <x v="8"/>
    <x v="6"/>
    <x v="10"/>
    <n v="5"/>
  </r>
  <r>
    <x v="0"/>
    <x v="0"/>
    <x v="0"/>
    <x v="4"/>
    <x v="8"/>
    <x v="6"/>
    <x v="1"/>
    <n v="2"/>
  </r>
  <r>
    <x v="0"/>
    <x v="0"/>
    <x v="0"/>
    <x v="4"/>
    <x v="8"/>
    <x v="9"/>
    <x v="6"/>
    <n v="14"/>
  </r>
  <r>
    <x v="0"/>
    <x v="0"/>
    <x v="0"/>
    <x v="4"/>
    <x v="8"/>
    <x v="9"/>
    <x v="10"/>
    <n v="2"/>
  </r>
  <r>
    <x v="0"/>
    <x v="0"/>
    <x v="0"/>
    <x v="4"/>
    <x v="8"/>
    <x v="9"/>
    <x v="1"/>
    <n v="4"/>
  </r>
  <r>
    <x v="0"/>
    <x v="0"/>
    <x v="0"/>
    <x v="4"/>
    <x v="8"/>
    <x v="12"/>
    <x v="6"/>
    <n v="12"/>
  </r>
  <r>
    <x v="0"/>
    <x v="0"/>
    <x v="0"/>
    <x v="4"/>
    <x v="8"/>
    <x v="12"/>
    <x v="10"/>
    <n v="5"/>
  </r>
  <r>
    <x v="0"/>
    <x v="0"/>
    <x v="0"/>
    <x v="4"/>
    <x v="8"/>
    <x v="1"/>
    <x v="6"/>
    <n v="10"/>
  </r>
  <r>
    <x v="0"/>
    <x v="0"/>
    <x v="0"/>
    <x v="4"/>
    <x v="8"/>
    <x v="1"/>
    <x v="10"/>
    <n v="8"/>
  </r>
  <r>
    <x v="0"/>
    <x v="0"/>
    <x v="0"/>
    <x v="5"/>
    <x v="1"/>
    <x v="12"/>
    <x v="1"/>
    <n v="2"/>
  </r>
  <r>
    <x v="0"/>
    <x v="0"/>
    <x v="0"/>
    <x v="5"/>
    <x v="1"/>
    <x v="7"/>
    <x v="6"/>
    <n v="1"/>
  </r>
  <r>
    <x v="0"/>
    <x v="0"/>
    <x v="0"/>
    <x v="5"/>
    <x v="1"/>
    <x v="1"/>
    <x v="1"/>
    <n v="2"/>
  </r>
  <r>
    <x v="0"/>
    <x v="0"/>
    <x v="0"/>
    <x v="5"/>
    <x v="1"/>
    <x v="8"/>
    <x v="6"/>
    <n v="1"/>
  </r>
  <r>
    <x v="0"/>
    <x v="0"/>
    <x v="0"/>
    <x v="5"/>
    <x v="1"/>
    <x v="0"/>
    <x v="1"/>
    <n v="5"/>
  </r>
  <r>
    <x v="0"/>
    <x v="0"/>
    <x v="0"/>
    <x v="5"/>
    <x v="3"/>
    <x v="13"/>
    <x v="4"/>
    <n v="1"/>
  </r>
  <r>
    <x v="0"/>
    <x v="0"/>
    <x v="0"/>
    <x v="5"/>
    <x v="3"/>
    <x v="0"/>
    <x v="14"/>
    <n v="1"/>
  </r>
  <r>
    <x v="0"/>
    <x v="0"/>
    <x v="0"/>
    <x v="5"/>
    <x v="9"/>
    <x v="7"/>
    <x v="3"/>
    <n v="1"/>
  </r>
  <r>
    <x v="0"/>
    <x v="0"/>
    <x v="0"/>
    <x v="5"/>
    <x v="9"/>
    <x v="0"/>
    <x v="3"/>
    <n v="1"/>
  </r>
  <r>
    <x v="0"/>
    <x v="0"/>
    <x v="0"/>
    <x v="5"/>
    <x v="9"/>
    <x v="0"/>
    <x v="4"/>
    <n v="3"/>
  </r>
  <r>
    <x v="0"/>
    <x v="0"/>
    <x v="0"/>
    <x v="5"/>
    <x v="9"/>
    <x v="0"/>
    <x v="5"/>
    <n v="1"/>
  </r>
  <r>
    <x v="0"/>
    <x v="0"/>
    <x v="0"/>
    <x v="5"/>
    <x v="9"/>
    <x v="0"/>
    <x v="13"/>
    <n v="1"/>
  </r>
  <r>
    <x v="0"/>
    <x v="0"/>
    <x v="0"/>
    <x v="5"/>
    <x v="9"/>
    <x v="0"/>
    <x v="11"/>
    <n v="1"/>
  </r>
  <r>
    <x v="0"/>
    <x v="0"/>
    <x v="0"/>
    <x v="5"/>
    <x v="10"/>
    <x v="5"/>
    <x v="7"/>
    <n v="5"/>
  </r>
  <r>
    <x v="0"/>
    <x v="0"/>
    <x v="0"/>
    <x v="5"/>
    <x v="10"/>
    <x v="5"/>
    <x v="6"/>
    <n v="3"/>
  </r>
  <r>
    <x v="0"/>
    <x v="0"/>
    <x v="0"/>
    <x v="5"/>
    <x v="10"/>
    <x v="11"/>
    <x v="7"/>
    <n v="16"/>
  </r>
  <r>
    <x v="0"/>
    <x v="0"/>
    <x v="0"/>
    <x v="5"/>
    <x v="10"/>
    <x v="6"/>
    <x v="7"/>
    <n v="1"/>
  </r>
  <r>
    <x v="0"/>
    <x v="0"/>
    <x v="0"/>
    <x v="5"/>
    <x v="10"/>
    <x v="7"/>
    <x v="1"/>
    <n v="5"/>
  </r>
  <r>
    <x v="0"/>
    <x v="0"/>
    <x v="0"/>
    <x v="5"/>
    <x v="10"/>
    <x v="7"/>
    <x v="12"/>
    <n v="2"/>
  </r>
  <r>
    <x v="0"/>
    <x v="0"/>
    <x v="0"/>
    <x v="5"/>
    <x v="10"/>
    <x v="8"/>
    <x v="10"/>
    <n v="2"/>
  </r>
  <r>
    <x v="0"/>
    <x v="0"/>
    <x v="0"/>
    <x v="4"/>
    <x v="8"/>
    <x v="11"/>
    <x v="6"/>
    <n v="13"/>
  </r>
  <r>
    <x v="0"/>
    <x v="0"/>
    <x v="0"/>
    <x v="4"/>
    <x v="8"/>
    <x v="11"/>
    <x v="9"/>
    <n v="3"/>
  </r>
  <r>
    <x v="0"/>
    <x v="0"/>
    <x v="0"/>
    <x v="4"/>
    <x v="8"/>
    <x v="11"/>
    <x v="3"/>
    <n v="1"/>
  </r>
  <r>
    <x v="0"/>
    <x v="0"/>
    <x v="0"/>
    <x v="4"/>
    <x v="8"/>
    <x v="11"/>
    <x v="5"/>
    <n v="1"/>
  </r>
  <r>
    <x v="0"/>
    <x v="0"/>
    <x v="0"/>
    <x v="4"/>
    <x v="8"/>
    <x v="6"/>
    <x v="6"/>
    <n v="8"/>
  </r>
  <r>
    <x v="0"/>
    <x v="0"/>
    <x v="0"/>
    <x v="4"/>
    <x v="8"/>
    <x v="6"/>
    <x v="12"/>
    <n v="3"/>
  </r>
  <r>
    <x v="0"/>
    <x v="0"/>
    <x v="0"/>
    <x v="4"/>
    <x v="8"/>
    <x v="6"/>
    <x v="3"/>
    <n v="2"/>
  </r>
  <r>
    <x v="0"/>
    <x v="0"/>
    <x v="0"/>
    <x v="4"/>
    <x v="8"/>
    <x v="6"/>
    <x v="4"/>
    <n v="1"/>
  </r>
  <r>
    <x v="0"/>
    <x v="0"/>
    <x v="0"/>
    <x v="4"/>
    <x v="8"/>
    <x v="9"/>
    <x v="7"/>
    <n v="16"/>
  </r>
  <r>
    <x v="0"/>
    <x v="0"/>
    <x v="0"/>
    <x v="4"/>
    <x v="8"/>
    <x v="9"/>
    <x v="12"/>
    <n v="1"/>
  </r>
  <r>
    <x v="0"/>
    <x v="0"/>
    <x v="0"/>
    <x v="4"/>
    <x v="8"/>
    <x v="9"/>
    <x v="9"/>
    <n v="1"/>
  </r>
  <r>
    <x v="0"/>
    <x v="0"/>
    <x v="0"/>
    <x v="4"/>
    <x v="8"/>
    <x v="12"/>
    <x v="7"/>
    <n v="7"/>
  </r>
  <r>
    <x v="0"/>
    <x v="0"/>
    <x v="0"/>
    <x v="4"/>
    <x v="8"/>
    <x v="12"/>
    <x v="12"/>
    <n v="2"/>
  </r>
  <r>
    <x v="0"/>
    <x v="0"/>
    <x v="0"/>
    <x v="4"/>
    <x v="8"/>
    <x v="8"/>
    <x v="1"/>
    <n v="1"/>
  </r>
  <r>
    <x v="0"/>
    <x v="0"/>
    <x v="0"/>
    <x v="4"/>
    <x v="8"/>
    <x v="0"/>
    <x v="12"/>
    <n v="8"/>
  </r>
  <r>
    <x v="0"/>
    <x v="0"/>
    <x v="0"/>
    <x v="4"/>
    <x v="7"/>
    <x v="8"/>
    <x v="1"/>
    <n v="4"/>
  </r>
  <r>
    <x v="0"/>
    <x v="0"/>
    <x v="0"/>
    <x v="5"/>
    <x v="3"/>
    <x v="10"/>
    <x v="4"/>
    <n v="1"/>
  </r>
  <r>
    <x v="0"/>
    <x v="0"/>
    <x v="0"/>
    <x v="5"/>
    <x v="3"/>
    <x v="3"/>
    <x v="4"/>
    <n v="1"/>
  </r>
  <r>
    <x v="0"/>
    <x v="0"/>
    <x v="0"/>
    <x v="5"/>
    <x v="3"/>
    <x v="3"/>
    <x v="5"/>
    <n v="1"/>
  </r>
  <r>
    <x v="0"/>
    <x v="0"/>
    <x v="0"/>
    <x v="5"/>
    <x v="3"/>
    <x v="4"/>
    <x v="3"/>
    <n v="1"/>
  </r>
  <r>
    <x v="0"/>
    <x v="0"/>
    <x v="0"/>
    <x v="5"/>
    <x v="3"/>
    <x v="4"/>
    <x v="5"/>
    <n v="1"/>
  </r>
  <r>
    <x v="0"/>
    <x v="0"/>
    <x v="0"/>
    <x v="5"/>
    <x v="3"/>
    <x v="5"/>
    <x v="3"/>
    <n v="1"/>
  </r>
  <r>
    <x v="0"/>
    <x v="0"/>
    <x v="0"/>
    <x v="5"/>
    <x v="10"/>
    <x v="7"/>
    <x v="10"/>
    <n v="15"/>
  </r>
  <r>
    <x v="0"/>
    <x v="0"/>
    <x v="0"/>
    <x v="5"/>
    <x v="11"/>
    <x v="5"/>
    <x v="1"/>
    <n v="1"/>
  </r>
  <r>
    <x v="0"/>
    <x v="0"/>
    <x v="0"/>
    <x v="5"/>
    <x v="11"/>
    <x v="11"/>
    <x v="6"/>
    <n v="1"/>
  </r>
  <r>
    <x v="0"/>
    <x v="0"/>
    <x v="0"/>
    <x v="5"/>
    <x v="11"/>
    <x v="6"/>
    <x v="6"/>
    <n v="1"/>
  </r>
  <r>
    <x v="0"/>
    <x v="0"/>
    <x v="0"/>
    <x v="5"/>
    <x v="11"/>
    <x v="9"/>
    <x v="6"/>
    <n v="1"/>
  </r>
  <r>
    <x v="0"/>
    <x v="0"/>
    <x v="0"/>
    <x v="5"/>
    <x v="11"/>
    <x v="12"/>
    <x v="6"/>
    <n v="1"/>
  </r>
  <r>
    <x v="0"/>
    <x v="0"/>
    <x v="0"/>
    <x v="6"/>
    <x v="3"/>
    <x v="2"/>
    <x v="6"/>
    <n v="1"/>
  </r>
  <r>
    <x v="0"/>
    <x v="0"/>
    <x v="0"/>
    <x v="6"/>
    <x v="3"/>
    <x v="10"/>
    <x v="6"/>
    <n v="1"/>
  </r>
  <r>
    <x v="0"/>
    <x v="0"/>
    <x v="0"/>
    <x v="6"/>
    <x v="3"/>
    <x v="3"/>
    <x v="7"/>
    <n v="2"/>
  </r>
  <r>
    <x v="0"/>
    <x v="0"/>
    <x v="0"/>
    <x v="7"/>
    <x v="12"/>
    <x v="8"/>
    <x v="12"/>
    <n v="1"/>
  </r>
  <r>
    <x v="0"/>
    <x v="0"/>
    <x v="0"/>
    <x v="7"/>
    <x v="12"/>
    <x v="8"/>
    <x v="4"/>
    <n v="1"/>
  </r>
  <r>
    <x v="0"/>
    <x v="0"/>
    <x v="0"/>
    <x v="7"/>
    <x v="12"/>
    <x v="0"/>
    <x v="13"/>
    <n v="1"/>
  </r>
  <r>
    <x v="0"/>
    <x v="0"/>
    <x v="0"/>
    <x v="7"/>
    <x v="12"/>
    <x v="0"/>
    <x v="11"/>
    <n v="1"/>
  </r>
  <r>
    <x v="0"/>
    <x v="0"/>
    <x v="0"/>
    <x v="7"/>
    <x v="13"/>
    <x v="6"/>
    <x v="6"/>
    <n v="1"/>
  </r>
  <r>
    <x v="0"/>
    <x v="0"/>
    <x v="0"/>
    <x v="7"/>
    <x v="13"/>
    <x v="9"/>
    <x v="6"/>
    <n v="8"/>
  </r>
  <r>
    <x v="0"/>
    <x v="0"/>
    <x v="0"/>
    <x v="7"/>
    <x v="13"/>
    <x v="12"/>
    <x v="6"/>
    <n v="6"/>
  </r>
  <r>
    <x v="0"/>
    <x v="0"/>
    <x v="0"/>
    <x v="7"/>
    <x v="13"/>
    <x v="12"/>
    <x v="10"/>
    <n v="1"/>
  </r>
  <r>
    <x v="0"/>
    <x v="0"/>
    <x v="0"/>
    <x v="7"/>
    <x v="13"/>
    <x v="12"/>
    <x v="1"/>
    <n v="1"/>
  </r>
  <r>
    <x v="0"/>
    <x v="0"/>
    <x v="0"/>
    <x v="7"/>
    <x v="13"/>
    <x v="1"/>
    <x v="10"/>
    <n v="5"/>
  </r>
  <r>
    <x v="0"/>
    <x v="0"/>
    <x v="0"/>
    <x v="7"/>
    <x v="13"/>
    <x v="0"/>
    <x v="10"/>
    <n v="2"/>
  </r>
  <r>
    <x v="0"/>
    <x v="0"/>
    <x v="0"/>
    <x v="8"/>
    <x v="13"/>
    <x v="14"/>
    <x v="5"/>
    <n v="1"/>
  </r>
  <r>
    <x v="0"/>
    <x v="0"/>
    <x v="0"/>
    <x v="8"/>
    <x v="13"/>
    <x v="13"/>
    <x v="3"/>
    <n v="2"/>
  </r>
  <r>
    <x v="0"/>
    <x v="0"/>
    <x v="0"/>
    <x v="8"/>
    <x v="14"/>
    <x v="12"/>
    <x v="7"/>
    <n v="2"/>
  </r>
  <r>
    <x v="0"/>
    <x v="0"/>
    <x v="0"/>
    <x v="8"/>
    <x v="14"/>
    <x v="1"/>
    <x v="6"/>
    <n v="1"/>
  </r>
  <r>
    <x v="0"/>
    <x v="0"/>
    <x v="0"/>
    <x v="8"/>
    <x v="10"/>
    <x v="13"/>
    <x v="16"/>
    <n v="5"/>
  </r>
  <r>
    <x v="0"/>
    <x v="0"/>
    <x v="0"/>
    <x v="8"/>
    <x v="10"/>
    <x v="2"/>
    <x v="6"/>
    <n v="1"/>
  </r>
  <r>
    <x v="0"/>
    <x v="0"/>
    <x v="0"/>
    <x v="8"/>
    <x v="10"/>
    <x v="10"/>
    <x v="7"/>
    <n v="4"/>
  </r>
  <r>
    <x v="0"/>
    <x v="0"/>
    <x v="0"/>
    <x v="8"/>
    <x v="10"/>
    <x v="10"/>
    <x v="6"/>
    <n v="3"/>
  </r>
  <r>
    <x v="0"/>
    <x v="0"/>
    <x v="0"/>
    <x v="8"/>
    <x v="10"/>
    <x v="3"/>
    <x v="7"/>
    <n v="11"/>
  </r>
  <r>
    <x v="0"/>
    <x v="0"/>
    <x v="0"/>
    <x v="8"/>
    <x v="10"/>
    <x v="3"/>
    <x v="6"/>
    <n v="2"/>
  </r>
  <r>
    <x v="0"/>
    <x v="0"/>
    <x v="0"/>
    <x v="8"/>
    <x v="10"/>
    <x v="4"/>
    <x v="8"/>
    <n v="38"/>
  </r>
  <r>
    <x v="0"/>
    <x v="0"/>
    <x v="0"/>
    <x v="8"/>
    <x v="10"/>
    <x v="4"/>
    <x v="7"/>
    <n v="45"/>
  </r>
  <r>
    <x v="0"/>
    <x v="0"/>
    <x v="0"/>
    <x v="8"/>
    <x v="10"/>
    <x v="4"/>
    <x v="6"/>
    <n v="17"/>
  </r>
  <r>
    <x v="0"/>
    <x v="0"/>
    <x v="0"/>
    <x v="8"/>
    <x v="10"/>
    <x v="5"/>
    <x v="8"/>
    <n v="13"/>
  </r>
  <r>
    <x v="0"/>
    <x v="0"/>
    <x v="0"/>
    <x v="8"/>
    <x v="10"/>
    <x v="5"/>
    <x v="7"/>
    <n v="39"/>
  </r>
  <r>
    <x v="0"/>
    <x v="0"/>
    <x v="0"/>
    <x v="8"/>
    <x v="10"/>
    <x v="11"/>
    <x v="8"/>
    <n v="4"/>
  </r>
  <r>
    <x v="0"/>
    <x v="0"/>
    <x v="0"/>
    <x v="8"/>
    <x v="10"/>
    <x v="11"/>
    <x v="7"/>
    <n v="28"/>
  </r>
  <r>
    <x v="0"/>
    <x v="0"/>
    <x v="0"/>
    <x v="8"/>
    <x v="10"/>
    <x v="9"/>
    <x v="0"/>
    <n v="1"/>
  </r>
  <r>
    <x v="0"/>
    <x v="0"/>
    <x v="0"/>
    <x v="8"/>
    <x v="10"/>
    <x v="7"/>
    <x v="10"/>
    <n v="19"/>
  </r>
  <r>
    <x v="0"/>
    <x v="0"/>
    <x v="0"/>
    <x v="8"/>
    <x v="10"/>
    <x v="7"/>
    <x v="3"/>
    <n v="3"/>
  </r>
  <r>
    <x v="0"/>
    <x v="0"/>
    <x v="0"/>
    <x v="8"/>
    <x v="10"/>
    <x v="7"/>
    <x v="4"/>
    <n v="4"/>
  </r>
  <r>
    <x v="0"/>
    <x v="0"/>
    <x v="0"/>
    <x v="8"/>
    <x v="10"/>
    <x v="7"/>
    <x v="5"/>
    <n v="5"/>
  </r>
  <r>
    <x v="0"/>
    <x v="0"/>
    <x v="0"/>
    <x v="8"/>
    <x v="10"/>
    <x v="7"/>
    <x v="2"/>
    <n v="1"/>
  </r>
  <r>
    <x v="0"/>
    <x v="0"/>
    <x v="0"/>
    <x v="8"/>
    <x v="10"/>
    <x v="7"/>
    <x v="13"/>
    <n v="1"/>
  </r>
  <r>
    <x v="0"/>
    <x v="0"/>
    <x v="0"/>
    <x v="8"/>
    <x v="10"/>
    <x v="8"/>
    <x v="9"/>
    <n v="22"/>
  </r>
  <r>
    <x v="0"/>
    <x v="0"/>
    <x v="0"/>
    <x v="8"/>
    <x v="10"/>
    <x v="8"/>
    <x v="3"/>
    <n v="21"/>
  </r>
  <r>
    <x v="0"/>
    <x v="0"/>
    <x v="0"/>
    <x v="8"/>
    <x v="10"/>
    <x v="8"/>
    <x v="4"/>
    <n v="18"/>
  </r>
  <r>
    <x v="0"/>
    <x v="0"/>
    <x v="0"/>
    <x v="8"/>
    <x v="10"/>
    <x v="8"/>
    <x v="5"/>
    <n v="7"/>
  </r>
  <r>
    <x v="0"/>
    <x v="0"/>
    <x v="0"/>
    <x v="8"/>
    <x v="10"/>
    <x v="8"/>
    <x v="2"/>
    <n v="5"/>
  </r>
  <r>
    <x v="0"/>
    <x v="0"/>
    <x v="0"/>
    <x v="8"/>
    <x v="10"/>
    <x v="8"/>
    <x v="13"/>
    <n v="3"/>
  </r>
  <r>
    <x v="0"/>
    <x v="0"/>
    <x v="0"/>
    <x v="8"/>
    <x v="10"/>
    <x v="8"/>
    <x v="11"/>
    <n v="1"/>
  </r>
  <r>
    <x v="0"/>
    <x v="0"/>
    <x v="0"/>
    <x v="8"/>
    <x v="11"/>
    <x v="6"/>
    <x v="1"/>
    <n v="2"/>
  </r>
  <r>
    <x v="0"/>
    <x v="0"/>
    <x v="0"/>
    <x v="8"/>
    <x v="11"/>
    <x v="6"/>
    <x v="2"/>
    <n v="1"/>
  </r>
  <r>
    <x v="0"/>
    <x v="0"/>
    <x v="0"/>
    <x v="8"/>
    <x v="11"/>
    <x v="9"/>
    <x v="4"/>
    <n v="1"/>
  </r>
  <r>
    <x v="0"/>
    <x v="0"/>
    <x v="0"/>
    <x v="8"/>
    <x v="11"/>
    <x v="9"/>
    <x v="11"/>
    <n v="1"/>
  </r>
  <r>
    <x v="0"/>
    <x v="0"/>
    <x v="0"/>
    <x v="8"/>
    <x v="11"/>
    <x v="12"/>
    <x v="10"/>
    <n v="11"/>
  </r>
  <r>
    <x v="0"/>
    <x v="0"/>
    <x v="0"/>
    <x v="8"/>
    <x v="11"/>
    <x v="12"/>
    <x v="3"/>
    <n v="1"/>
  </r>
  <r>
    <x v="0"/>
    <x v="0"/>
    <x v="0"/>
    <x v="8"/>
    <x v="11"/>
    <x v="12"/>
    <x v="4"/>
    <n v="2"/>
  </r>
  <r>
    <x v="0"/>
    <x v="0"/>
    <x v="0"/>
    <x v="0"/>
    <x v="1"/>
    <x v="6"/>
    <x v="6"/>
    <n v="2"/>
  </r>
  <r>
    <x v="0"/>
    <x v="0"/>
    <x v="0"/>
    <x v="0"/>
    <x v="1"/>
    <x v="9"/>
    <x v="6"/>
    <n v="3"/>
  </r>
  <r>
    <x v="0"/>
    <x v="0"/>
    <x v="0"/>
    <x v="0"/>
    <x v="1"/>
    <x v="9"/>
    <x v="10"/>
    <n v="2"/>
  </r>
  <r>
    <x v="0"/>
    <x v="0"/>
    <x v="0"/>
    <x v="0"/>
    <x v="1"/>
    <x v="9"/>
    <x v="1"/>
    <n v="2"/>
  </r>
  <r>
    <x v="0"/>
    <x v="0"/>
    <x v="0"/>
    <x v="0"/>
    <x v="1"/>
    <x v="12"/>
    <x v="7"/>
    <n v="44"/>
  </r>
  <r>
    <x v="0"/>
    <x v="0"/>
    <x v="0"/>
    <x v="0"/>
    <x v="1"/>
    <x v="12"/>
    <x v="6"/>
    <n v="12"/>
  </r>
  <r>
    <x v="0"/>
    <x v="0"/>
    <x v="0"/>
    <x v="0"/>
    <x v="1"/>
    <x v="12"/>
    <x v="10"/>
    <n v="3"/>
  </r>
  <r>
    <x v="0"/>
    <x v="0"/>
    <x v="0"/>
    <x v="0"/>
    <x v="1"/>
    <x v="12"/>
    <x v="1"/>
    <n v="1"/>
  </r>
  <r>
    <x v="0"/>
    <x v="0"/>
    <x v="0"/>
    <x v="0"/>
    <x v="1"/>
    <x v="1"/>
    <x v="7"/>
    <n v="16"/>
  </r>
  <r>
    <x v="0"/>
    <x v="0"/>
    <x v="0"/>
    <x v="0"/>
    <x v="1"/>
    <x v="1"/>
    <x v="6"/>
    <n v="6"/>
  </r>
  <r>
    <x v="0"/>
    <x v="0"/>
    <x v="0"/>
    <x v="0"/>
    <x v="1"/>
    <x v="1"/>
    <x v="10"/>
    <n v="5"/>
  </r>
  <r>
    <x v="0"/>
    <x v="0"/>
    <x v="0"/>
    <x v="0"/>
    <x v="1"/>
    <x v="8"/>
    <x v="9"/>
    <n v="1"/>
  </r>
  <r>
    <x v="0"/>
    <x v="0"/>
    <x v="0"/>
    <x v="0"/>
    <x v="1"/>
    <x v="0"/>
    <x v="7"/>
    <n v="1"/>
  </r>
  <r>
    <x v="0"/>
    <x v="0"/>
    <x v="0"/>
    <x v="0"/>
    <x v="1"/>
    <x v="0"/>
    <x v="6"/>
    <n v="29"/>
  </r>
  <r>
    <x v="0"/>
    <x v="0"/>
    <x v="0"/>
    <x v="0"/>
    <x v="1"/>
    <x v="0"/>
    <x v="10"/>
    <n v="28"/>
  </r>
  <r>
    <x v="0"/>
    <x v="0"/>
    <x v="0"/>
    <x v="1"/>
    <x v="2"/>
    <x v="14"/>
    <x v="4"/>
    <n v="2"/>
  </r>
  <r>
    <x v="0"/>
    <x v="0"/>
    <x v="0"/>
    <x v="1"/>
    <x v="2"/>
    <x v="13"/>
    <x v="4"/>
    <n v="2"/>
  </r>
  <r>
    <x v="0"/>
    <x v="0"/>
    <x v="0"/>
    <x v="1"/>
    <x v="2"/>
    <x v="13"/>
    <x v="5"/>
    <n v="1"/>
  </r>
  <r>
    <x v="0"/>
    <x v="0"/>
    <x v="0"/>
    <x v="1"/>
    <x v="2"/>
    <x v="10"/>
    <x v="12"/>
    <n v="1"/>
  </r>
  <r>
    <x v="0"/>
    <x v="0"/>
    <x v="0"/>
    <x v="1"/>
    <x v="2"/>
    <x v="10"/>
    <x v="9"/>
    <n v="1"/>
  </r>
  <r>
    <x v="0"/>
    <x v="0"/>
    <x v="0"/>
    <x v="1"/>
    <x v="2"/>
    <x v="4"/>
    <x v="10"/>
    <n v="1"/>
  </r>
  <r>
    <x v="0"/>
    <x v="0"/>
    <x v="0"/>
    <x v="1"/>
    <x v="2"/>
    <x v="5"/>
    <x v="10"/>
    <n v="1"/>
  </r>
  <r>
    <x v="0"/>
    <x v="0"/>
    <x v="0"/>
    <x v="1"/>
    <x v="2"/>
    <x v="11"/>
    <x v="6"/>
    <n v="2"/>
  </r>
  <r>
    <x v="0"/>
    <x v="0"/>
    <x v="0"/>
    <x v="1"/>
    <x v="2"/>
    <x v="11"/>
    <x v="10"/>
    <n v="1"/>
  </r>
  <r>
    <x v="0"/>
    <x v="0"/>
    <x v="0"/>
    <x v="1"/>
    <x v="2"/>
    <x v="6"/>
    <x v="7"/>
    <n v="2"/>
  </r>
  <r>
    <x v="0"/>
    <x v="0"/>
    <x v="0"/>
    <x v="1"/>
    <x v="2"/>
    <x v="9"/>
    <x v="7"/>
    <n v="1"/>
  </r>
  <r>
    <x v="0"/>
    <x v="0"/>
    <x v="0"/>
    <x v="1"/>
    <x v="2"/>
    <x v="9"/>
    <x v="10"/>
    <n v="2"/>
  </r>
  <r>
    <x v="0"/>
    <x v="0"/>
    <x v="0"/>
    <x v="1"/>
    <x v="2"/>
    <x v="12"/>
    <x v="6"/>
    <n v="2"/>
  </r>
  <r>
    <x v="0"/>
    <x v="0"/>
    <x v="0"/>
    <x v="1"/>
    <x v="2"/>
    <x v="1"/>
    <x v="7"/>
    <n v="1"/>
  </r>
  <r>
    <x v="0"/>
    <x v="0"/>
    <x v="0"/>
    <x v="1"/>
    <x v="1"/>
    <x v="9"/>
    <x v="8"/>
    <n v="1"/>
  </r>
  <r>
    <x v="0"/>
    <x v="0"/>
    <x v="0"/>
    <x v="1"/>
    <x v="1"/>
    <x v="0"/>
    <x v="12"/>
    <n v="1"/>
  </r>
  <r>
    <x v="0"/>
    <x v="0"/>
    <x v="0"/>
    <x v="1"/>
    <x v="3"/>
    <x v="2"/>
    <x v="12"/>
    <n v="1"/>
  </r>
  <r>
    <x v="0"/>
    <x v="0"/>
    <x v="0"/>
    <x v="1"/>
    <x v="3"/>
    <x v="10"/>
    <x v="9"/>
    <n v="1"/>
  </r>
  <r>
    <x v="0"/>
    <x v="0"/>
    <x v="0"/>
    <x v="1"/>
    <x v="3"/>
    <x v="3"/>
    <x v="9"/>
    <n v="1"/>
  </r>
  <r>
    <x v="0"/>
    <x v="0"/>
    <x v="0"/>
    <x v="1"/>
    <x v="3"/>
    <x v="5"/>
    <x v="1"/>
    <n v="1"/>
  </r>
  <r>
    <x v="0"/>
    <x v="0"/>
    <x v="0"/>
    <x v="1"/>
    <x v="3"/>
    <x v="5"/>
    <x v="9"/>
    <n v="1"/>
  </r>
  <r>
    <x v="0"/>
    <x v="0"/>
    <x v="0"/>
    <x v="1"/>
    <x v="3"/>
    <x v="11"/>
    <x v="10"/>
    <n v="1"/>
  </r>
  <r>
    <x v="0"/>
    <x v="0"/>
    <x v="0"/>
    <x v="2"/>
    <x v="0"/>
    <x v="5"/>
    <x v="4"/>
    <n v="1"/>
  </r>
  <r>
    <x v="0"/>
    <x v="0"/>
    <x v="0"/>
    <x v="2"/>
    <x v="0"/>
    <x v="5"/>
    <x v="5"/>
    <n v="1"/>
  </r>
  <r>
    <x v="0"/>
    <x v="0"/>
    <x v="0"/>
    <x v="2"/>
    <x v="0"/>
    <x v="11"/>
    <x v="4"/>
    <n v="1"/>
  </r>
  <r>
    <x v="0"/>
    <x v="0"/>
    <x v="0"/>
    <x v="2"/>
    <x v="0"/>
    <x v="6"/>
    <x v="12"/>
    <n v="2"/>
  </r>
  <r>
    <x v="0"/>
    <x v="0"/>
    <x v="0"/>
    <x v="2"/>
    <x v="0"/>
    <x v="6"/>
    <x v="3"/>
    <n v="1"/>
  </r>
  <r>
    <x v="0"/>
    <x v="0"/>
    <x v="0"/>
    <x v="2"/>
    <x v="0"/>
    <x v="6"/>
    <x v="5"/>
    <n v="1"/>
  </r>
  <r>
    <x v="0"/>
    <x v="0"/>
    <x v="0"/>
    <x v="2"/>
    <x v="0"/>
    <x v="6"/>
    <x v="13"/>
    <n v="1"/>
  </r>
  <r>
    <x v="0"/>
    <x v="0"/>
    <x v="0"/>
    <x v="2"/>
    <x v="0"/>
    <x v="9"/>
    <x v="5"/>
    <n v="1"/>
  </r>
  <r>
    <x v="0"/>
    <x v="0"/>
    <x v="0"/>
    <x v="2"/>
    <x v="0"/>
    <x v="9"/>
    <x v="2"/>
    <n v="1"/>
  </r>
  <r>
    <x v="0"/>
    <x v="0"/>
    <x v="0"/>
    <x v="2"/>
    <x v="0"/>
    <x v="12"/>
    <x v="12"/>
    <n v="2"/>
  </r>
  <r>
    <x v="0"/>
    <x v="0"/>
    <x v="0"/>
    <x v="2"/>
    <x v="0"/>
    <x v="1"/>
    <x v="12"/>
    <n v="1"/>
  </r>
  <r>
    <x v="0"/>
    <x v="0"/>
    <x v="0"/>
    <x v="2"/>
    <x v="0"/>
    <x v="1"/>
    <x v="9"/>
    <n v="1"/>
  </r>
  <r>
    <x v="0"/>
    <x v="0"/>
    <x v="0"/>
    <x v="2"/>
    <x v="0"/>
    <x v="0"/>
    <x v="1"/>
    <n v="4"/>
  </r>
  <r>
    <x v="0"/>
    <x v="0"/>
    <x v="0"/>
    <x v="2"/>
    <x v="0"/>
    <x v="0"/>
    <x v="12"/>
    <n v="4"/>
  </r>
  <r>
    <x v="0"/>
    <x v="0"/>
    <x v="0"/>
    <x v="2"/>
    <x v="4"/>
    <x v="0"/>
    <x v="4"/>
    <n v="2"/>
  </r>
  <r>
    <x v="0"/>
    <x v="0"/>
    <x v="0"/>
    <x v="2"/>
    <x v="5"/>
    <x v="0"/>
    <x v="10"/>
    <n v="1"/>
  </r>
  <r>
    <x v="0"/>
    <x v="0"/>
    <x v="0"/>
    <x v="2"/>
    <x v="5"/>
    <x v="0"/>
    <x v="1"/>
    <n v="1"/>
  </r>
  <r>
    <x v="0"/>
    <x v="0"/>
    <x v="0"/>
    <x v="2"/>
    <x v="7"/>
    <x v="11"/>
    <x v="10"/>
    <n v="1"/>
  </r>
  <r>
    <x v="0"/>
    <x v="0"/>
    <x v="0"/>
    <x v="2"/>
    <x v="6"/>
    <x v="5"/>
    <x v="10"/>
    <n v="2"/>
  </r>
  <r>
    <x v="0"/>
    <x v="0"/>
    <x v="0"/>
    <x v="2"/>
    <x v="6"/>
    <x v="11"/>
    <x v="7"/>
    <n v="1"/>
  </r>
  <r>
    <x v="0"/>
    <x v="0"/>
    <x v="0"/>
    <x v="2"/>
    <x v="6"/>
    <x v="11"/>
    <x v="6"/>
    <n v="10"/>
  </r>
  <r>
    <x v="0"/>
    <x v="0"/>
    <x v="0"/>
    <x v="2"/>
    <x v="6"/>
    <x v="11"/>
    <x v="10"/>
    <n v="5"/>
  </r>
  <r>
    <x v="0"/>
    <x v="0"/>
    <x v="0"/>
    <x v="2"/>
    <x v="6"/>
    <x v="6"/>
    <x v="7"/>
    <n v="42"/>
  </r>
  <r>
    <x v="0"/>
    <x v="0"/>
    <x v="0"/>
    <x v="2"/>
    <x v="6"/>
    <x v="6"/>
    <x v="6"/>
    <n v="23"/>
  </r>
  <r>
    <x v="0"/>
    <x v="0"/>
    <x v="0"/>
    <x v="2"/>
    <x v="6"/>
    <x v="9"/>
    <x v="8"/>
    <n v="6"/>
  </r>
  <r>
    <x v="0"/>
    <x v="0"/>
    <x v="0"/>
    <x v="2"/>
    <x v="6"/>
    <x v="9"/>
    <x v="7"/>
    <n v="231"/>
  </r>
  <r>
    <x v="0"/>
    <x v="0"/>
    <x v="0"/>
    <x v="2"/>
    <x v="6"/>
    <x v="9"/>
    <x v="6"/>
    <n v="33"/>
  </r>
  <r>
    <x v="0"/>
    <x v="0"/>
    <x v="0"/>
    <x v="2"/>
    <x v="6"/>
    <x v="12"/>
    <x v="7"/>
    <n v="59"/>
  </r>
  <r>
    <x v="0"/>
    <x v="0"/>
    <x v="0"/>
    <x v="2"/>
    <x v="6"/>
    <x v="7"/>
    <x v="10"/>
    <n v="6"/>
  </r>
  <r>
    <x v="0"/>
    <x v="0"/>
    <x v="0"/>
    <x v="2"/>
    <x v="6"/>
    <x v="7"/>
    <x v="1"/>
    <n v="2"/>
  </r>
  <r>
    <x v="0"/>
    <x v="0"/>
    <x v="0"/>
    <x v="2"/>
    <x v="6"/>
    <x v="1"/>
    <x v="2"/>
    <n v="1"/>
  </r>
  <r>
    <x v="0"/>
    <x v="0"/>
    <x v="0"/>
    <x v="2"/>
    <x v="6"/>
    <x v="8"/>
    <x v="10"/>
    <n v="15"/>
  </r>
  <r>
    <x v="0"/>
    <x v="0"/>
    <x v="0"/>
    <x v="2"/>
    <x v="6"/>
    <x v="8"/>
    <x v="1"/>
    <n v="1"/>
  </r>
  <r>
    <x v="0"/>
    <x v="0"/>
    <x v="0"/>
    <x v="3"/>
    <x v="1"/>
    <x v="0"/>
    <x v="10"/>
    <n v="1"/>
  </r>
  <r>
    <x v="0"/>
    <x v="0"/>
    <x v="0"/>
    <x v="3"/>
    <x v="1"/>
    <x v="0"/>
    <x v="1"/>
    <n v="4"/>
  </r>
  <r>
    <x v="0"/>
    <x v="0"/>
    <x v="0"/>
    <x v="3"/>
    <x v="10"/>
    <x v="0"/>
    <x v="12"/>
    <n v="2"/>
  </r>
  <r>
    <x v="0"/>
    <x v="0"/>
    <x v="0"/>
    <x v="3"/>
    <x v="10"/>
    <x v="0"/>
    <x v="9"/>
    <n v="1"/>
  </r>
  <r>
    <x v="0"/>
    <x v="0"/>
    <x v="0"/>
    <x v="4"/>
    <x v="8"/>
    <x v="14"/>
    <x v="12"/>
    <n v="1"/>
  </r>
  <r>
    <x v="0"/>
    <x v="0"/>
    <x v="0"/>
    <x v="4"/>
    <x v="8"/>
    <x v="13"/>
    <x v="1"/>
    <n v="1"/>
  </r>
  <r>
    <x v="0"/>
    <x v="0"/>
    <x v="0"/>
    <x v="4"/>
    <x v="8"/>
    <x v="2"/>
    <x v="7"/>
    <n v="29"/>
  </r>
  <r>
    <x v="0"/>
    <x v="0"/>
    <x v="0"/>
    <x v="4"/>
    <x v="8"/>
    <x v="2"/>
    <x v="6"/>
    <n v="11"/>
  </r>
  <r>
    <x v="0"/>
    <x v="0"/>
    <x v="0"/>
    <x v="4"/>
    <x v="8"/>
    <x v="2"/>
    <x v="10"/>
    <n v="5"/>
  </r>
  <r>
    <x v="0"/>
    <x v="0"/>
    <x v="0"/>
    <x v="4"/>
    <x v="8"/>
    <x v="2"/>
    <x v="1"/>
    <n v="4"/>
  </r>
  <r>
    <x v="0"/>
    <x v="0"/>
    <x v="0"/>
    <x v="5"/>
    <x v="10"/>
    <x v="8"/>
    <x v="1"/>
    <n v="3"/>
  </r>
  <r>
    <x v="0"/>
    <x v="0"/>
    <x v="0"/>
    <x v="5"/>
    <x v="10"/>
    <x v="8"/>
    <x v="12"/>
    <n v="1"/>
  </r>
  <r>
    <x v="0"/>
    <x v="0"/>
    <x v="0"/>
    <x v="5"/>
    <x v="10"/>
    <x v="0"/>
    <x v="4"/>
    <n v="1"/>
  </r>
  <r>
    <x v="0"/>
    <x v="0"/>
    <x v="0"/>
    <x v="5"/>
    <x v="11"/>
    <x v="4"/>
    <x v="5"/>
    <n v="1"/>
  </r>
  <r>
    <x v="0"/>
    <x v="0"/>
    <x v="0"/>
    <x v="5"/>
    <x v="11"/>
    <x v="5"/>
    <x v="2"/>
    <n v="1"/>
  </r>
  <r>
    <x v="0"/>
    <x v="0"/>
    <x v="0"/>
    <x v="5"/>
    <x v="11"/>
    <x v="6"/>
    <x v="3"/>
    <n v="1"/>
  </r>
  <r>
    <x v="0"/>
    <x v="0"/>
    <x v="0"/>
    <x v="5"/>
    <x v="11"/>
    <x v="9"/>
    <x v="3"/>
    <n v="1"/>
  </r>
  <r>
    <x v="0"/>
    <x v="0"/>
    <x v="0"/>
    <x v="5"/>
    <x v="11"/>
    <x v="1"/>
    <x v="10"/>
    <n v="3"/>
  </r>
  <r>
    <x v="0"/>
    <x v="0"/>
    <x v="0"/>
    <x v="5"/>
    <x v="11"/>
    <x v="0"/>
    <x v="10"/>
    <n v="1"/>
  </r>
  <r>
    <x v="0"/>
    <x v="0"/>
    <x v="0"/>
    <x v="5"/>
    <x v="11"/>
    <x v="0"/>
    <x v="1"/>
    <n v="2"/>
  </r>
  <r>
    <x v="0"/>
    <x v="0"/>
    <x v="0"/>
    <x v="6"/>
    <x v="15"/>
    <x v="0"/>
    <x v="17"/>
    <n v="1"/>
  </r>
  <r>
    <x v="0"/>
    <x v="0"/>
    <x v="0"/>
    <x v="6"/>
    <x v="3"/>
    <x v="10"/>
    <x v="10"/>
    <n v="1"/>
  </r>
  <r>
    <x v="0"/>
    <x v="0"/>
    <x v="0"/>
    <x v="6"/>
    <x v="3"/>
    <x v="3"/>
    <x v="6"/>
    <n v="2"/>
  </r>
  <r>
    <x v="0"/>
    <x v="0"/>
    <x v="0"/>
    <x v="6"/>
    <x v="3"/>
    <x v="4"/>
    <x v="10"/>
    <n v="2"/>
  </r>
  <r>
    <x v="0"/>
    <x v="0"/>
    <x v="0"/>
    <x v="6"/>
    <x v="3"/>
    <x v="5"/>
    <x v="6"/>
    <n v="2"/>
  </r>
  <r>
    <x v="0"/>
    <x v="0"/>
    <x v="0"/>
    <x v="6"/>
    <x v="3"/>
    <x v="11"/>
    <x v="7"/>
    <n v="1"/>
  </r>
  <r>
    <x v="0"/>
    <x v="0"/>
    <x v="0"/>
    <x v="9"/>
    <x v="6"/>
    <x v="0"/>
    <x v="9"/>
    <n v="1"/>
  </r>
  <r>
    <x v="0"/>
    <x v="0"/>
    <x v="0"/>
    <x v="7"/>
    <x v="12"/>
    <x v="8"/>
    <x v="10"/>
    <n v="3"/>
  </r>
  <r>
    <x v="0"/>
    <x v="0"/>
    <x v="0"/>
    <x v="7"/>
    <x v="12"/>
    <x v="8"/>
    <x v="1"/>
    <n v="4"/>
  </r>
  <r>
    <x v="0"/>
    <x v="0"/>
    <x v="0"/>
    <x v="7"/>
    <x v="12"/>
    <x v="0"/>
    <x v="4"/>
    <n v="1"/>
  </r>
  <r>
    <x v="0"/>
    <x v="0"/>
    <x v="0"/>
    <x v="7"/>
    <x v="12"/>
    <x v="0"/>
    <x v="5"/>
    <n v="1"/>
  </r>
  <r>
    <x v="0"/>
    <x v="0"/>
    <x v="0"/>
    <x v="7"/>
    <x v="12"/>
    <x v="0"/>
    <x v="2"/>
    <n v="1"/>
  </r>
  <r>
    <x v="0"/>
    <x v="0"/>
    <x v="0"/>
    <x v="7"/>
    <x v="13"/>
    <x v="6"/>
    <x v="7"/>
    <n v="1"/>
  </r>
  <r>
    <x v="0"/>
    <x v="0"/>
    <x v="0"/>
    <x v="7"/>
    <x v="13"/>
    <x v="1"/>
    <x v="5"/>
    <n v="1"/>
  </r>
  <r>
    <x v="0"/>
    <x v="0"/>
    <x v="0"/>
    <x v="7"/>
    <x v="13"/>
    <x v="8"/>
    <x v="1"/>
    <n v="4"/>
  </r>
  <r>
    <x v="0"/>
    <x v="0"/>
    <x v="0"/>
    <x v="7"/>
    <x v="13"/>
    <x v="8"/>
    <x v="12"/>
    <n v="1"/>
  </r>
  <r>
    <x v="0"/>
    <x v="0"/>
    <x v="0"/>
    <x v="7"/>
    <x v="13"/>
    <x v="0"/>
    <x v="4"/>
    <n v="1"/>
  </r>
  <r>
    <x v="0"/>
    <x v="0"/>
    <x v="0"/>
    <x v="7"/>
    <x v="13"/>
    <x v="0"/>
    <x v="5"/>
    <n v="2"/>
  </r>
  <r>
    <x v="0"/>
    <x v="0"/>
    <x v="0"/>
    <x v="7"/>
    <x v="6"/>
    <x v="7"/>
    <x v="6"/>
    <n v="1"/>
  </r>
  <r>
    <x v="0"/>
    <x v="0"/>
    <x v="0"/>
    <x v="8"/>
    <x v="13"/>
    <x v="6"/>
    <x v="13"/>
    <n v="1"/>
  </r>
  <r>
    <x v="0"/>
    <x v="0"/>
    <x v="0"/>
    <x v="8"/>
    <x v="13"/>
    <x v="0"/>
    <x v="5"/>
    <n v="1"/>
  </r>
  <r>
    <x v="0"/>
    <x v="0"/>
    <x v="0"/>
    <x v="8"/>
    <x v="13"/>
    <x v="0"/>
    <x v="11"/>
    <n v="1"/>
  </r>
  <r>
    <x v="0"/>
    <x v="0"/>
    <x v="0"/>
    <x v="8"/>
    <x v="14"/>
    <x v="9"/>
    <x v="8"/>
    <n v="1"/>
  </r>
  <r>
    <x v="0"/>
    <x v="0"/>
    <x v="0"/>
    <x v="8"/>
    <x v="10"/>
    <x v="13"/>
    <x v="7"/>
    <n v="1"/>
  </r>
  <r>
    <x v="0"/>
    <x v="0"/>
    <x v="0"/>
    <x v="8"/>
    <x v="10"/>
    <x v="2"/>
    <x v="8"/>
    <n v="3"/>
  </r>
  <r>
    <x v="0"/>
    <x v="0"/>
    <x v="0"/>
    <x v="8"/>
    <x v="10"/>
    <x v="10"/>
    <x v="8"/>
    <n v="34"/>
  </r>
  <r>
    <x v="0"/>
    <x v="0"/>
    <x v="0"/>
    <x v="8"/>
    <x v="10"/>
    <x v="3"/>
    <x v="8"/>
    <n v="48"/>
  </r>
  <r>
    <x v="0"/>
    <x v="0"/>
    <x v="0"/>
    <x v="8"/>
    <x v="10"/>
    <x v="3"/>
    <x v="4"/>
    <n v="1"/>
  </r>
  <r>
    <x v="0"/>
    <x v="0"/>
    <x v="0"/>
    <x v="8"/>
    <x v="10"/>
    <x v="3"/>
    <x v="5"/>
    <n v="2"/>
  </r>
  <r>
    <x v="0"/>
    <x v="0"/>
    <x v="0"/>
    <x v="8"/>
    <x v="10"/>
    <x v="4"/>
    <x v="9"/>
    <n v="3"/>
  </r>
  <r>
    <x v="0"/>
    <x v="0"/>
    <x v="0"/>
    <x v="8"/>
    <x v="10"/>
    <x v="4"/>
    <x v="3"/>
    <n v="3"/>
  </r>
  <r>
    <x v="0"/>
    <x v="0"/>
    <x v="0"/>
    <x v="8"/>
    <x v="10"/>
    <x v="4"/>
    <x v="4"/>
    <n v="1"/>
  </r>
  <r>
    <x v="0"/>
    <x v="0"/>
    <x v="0"/>
    <x v="8"/>
    <x v="10"/>
    <x v="4"/>
    <x v="13"/>
    <n v="2"/>
  </r>
  <r>
    <x v="0"/>
    <x v="0"/>
    <x v="0"/>
    <x v="8"/>
    <x v="10"/>
    <x v="5"/>
    <x v="12"/>
    <n v="5"/>
  </r>
  <r>
    <x v="0"/>
    <x v="0"/>
    <x v="0"/>
    <x v="8"/>
    <x v="10"/>
    <x v="5"/>
    <x v="9"/>
    <n v="3"/>
  </r>
  <r>
    <x v="0"/>
    <x v="0"/>
    <x v="0"/>
    <x v="8"/>
    <x v="10"/>
    <x v="5"/>
    <x v="3"/>
    <n v="1"/>
  </r>
  <r>
    <x v="0"/>
    <x v="0"/>
    <x v="0"/>
    <x v="8"/>
    <x v="10"/>
    <x v="5"/>
    <x v="4"/>
    <n v="6"/>
  </r>
  <r>
    <x v="0"/>
    <x v="0"/>
    <x v="0"/>
    <x v="8"/>
    <x v="10"/>
    <x v="5"/>
    <x v="2"/>
    <n v="1"/>
  </r>
  <r>
    <x v="0"/>
    <x v="0"/>
    <x v="0"/>
    <x v="8"/>
    <x v="10"/>
    <x v="11"/>
    <x v="12"/>
    <n v="11"/>
  </r>
  <r>
    <x v="0"/>
    <x v="0"/>
    <x v="0"/>
    <x v="8"/>
    <x v="10"/>
    <x v="11"/>
    <x v="9"/>
    <n v="5"/>
  </r>
  <r>
    <x v="0"/>
    <x v="0"/>
    <x v="0"/>
    <x v="8"/>
    <x v="10"/>
    <x v="11"/>
    <x v="3"/>
    <n v="4"/>
  </r>
  <r>
    <x v="0"/>
    <x v="0"/>
    <x v="0"/>
    <x v="8"/>
    <x v="10"/>
    <x v="11"/>
    <x v="4"/>
    <n v="2"/>
  </r>
  <r>
    <x v="0"/>
    <x v="0"/>
    <x v="0"/>
    <x v="8"/>
    <x v="10"/>
    <x v="11"/>
    <x v="5"/>
    <n v="2"/>
  </r>
  <r>
    <x v="0"/>
    <x v="0"/>
    <x v="0"/>
    <x v="8"/>
    <x v="10"/>
    <x v="6"/>
    <x v="12"/>
    <n v="11"/>
  </r>
  <r>
    <x v="0"/>
    <x v="0"/>
    <x v="0"/>
    <x v="8"/>
    <x v="10"/>
    <x v="6"/>
    <x v="9"/>
    <n v="12"/>
  </r>
  <r>
    <x v="0"/>
    <x v="0"/>
    <x v="0"/>
    <x v="8"/>
    <x v="10"/>
    <x v="6"/>
    <x v="3"/>
    <n v="2"/>
  </r>
  <r>
    <x v="0"/>
    <x v="0"/>
    <x v="0"/>
    <x v="8"/>
    <x v="10"/>
    <x v="6"/>
    <x v="4"/>
    <n v="3"/>
  </r>
  <r>
    <x v="0"/>
    <x v="0"/>
    <x v="0"/>
    <x v="8"/>
    <x v="10"/>
    <x v="9"/>
    <x v="1"/>
    <n v="21"/>
  </r>
  <r>
    <x v="0"/>
    <x v="0"/>
    <x v="0"/>
    <x v="8"/>
    <x v="10"/>
    <x v="9"/>
    <x v="12"/>
    <n v="21"/>
  </r>
  <r>
    <x v="0"/>
    <x v="0"/>
    <x v="0"/>
    <x v="8"/>
    <x v="10"/>
    <x v="9"/>
    <x v="9"/>
    <n v="8"/>
  </r>
  <r>
    <x v="0"/>
    <x v="0"/>
    <x v="0"/>
    <x v="8"/>
    <x v="10"/>
    <x v="9"/>
    <x v="3"/>
    <n v="7"/>
  </r>
  <r>
    <x v="0"/>
    <x v="0"/>
    <x v="0"/>
    <x v="8"/>
    <x v="10"/>
    <x v="12"/>
    <x v="1"/>
    <n v="21"/>
  </r>
  <r>
    <x v="0"/>
    <x v="0"/>
    <x v="0"/>
    <x v="8"/>
    <x v="10"/>
    <x v="12"/>
    <x v="12"/>
    <n v="16"/>
  </r>
  <r>
    <x v="0"/>
    <x v="0"/>
    <x v="0"/>
    <x v="8"/>
    <x v="10"/>
    <x v="12"/>
    <x v="9"/>
    <n v="13"/>
  </r>
  <r>
    <x v="0"/>
    <x v="0"/>
    <x v="0"/>
    <x v="8"/>
    <x v="10"/>
    <x v="7"/>
    <x v="6"/>
    <n v="2"/>
  </r>
  <r>
    <x v="0"/>
    <x v="0"/>
    <x v="0"/>
    <x v="8"/>
    <x v="10"/>
    <x v="1"/>
    <x v="10"/>
    <n v="6"/>
  </r>
  <r>
    <x v="0"/>
    <x v="0"/>
    <x v="0"/>
    <x v="8"/>
    <x v="10"/>
    <x v="1"/>
    <x v="1"/>
    <n v="24"/>
  </r>
  <r>
    <x v="0"/>
    <x v="0"/>
    <x v="0"/>
    <x v="8"/>
    <x v="10"/>
    <x v="1"/>
    <x v="12"/>
    <n v="16"/>
  </r>
  <r>
    <x v="0"/>
    <x v="0"/>
    <x v="0"/>
    <x v="8"/>
    <x v="10"/>
    <x v="8"/>
    <x v="14"/>
    <n v="3"/>
  </r>
  <r>
    <x v="0"/>
    <x v="0"/>
    <x v="0"/>
    <x v="8"/>
    <x v="10"/>
    <x v="8"/>
    <x v="17"/>
    <n v="1"/>
  </r>
  <r>
    <x v="0"/>
    <x v="0"/>
    <x v="0"/>
    <x v="8"/>
    <x v="10"/>
    <x v="0"/>
    <x v="10"/>
    <n v="1"/>
  </r>
  <r>
    <x v="0"/>
    <x v="0"/>
    <x v="0"/>
    <x v="8"/>
    <x v="10"/>
    <x v="0"/>
    <x v="1"/>
    <n v="5"/>
  </r>
  <r>
    <x v="0"/>
    <x v="0"/>
    <x v="0"/>
    <x v="8"/>
    <x v="10"/>
    <x v="0"/>
    <x v="0"/>
    <n v="5"/>
  </r>
  <r>
    <x v="0"/>
    <x v="0"/>
    <x v="0"/>
    <x v="8"/>
    <x v="10"/>
    <x v="0"/>
    <x v="18"/>
    <n v="1"/>
  </r>
  <r>
    <x v="0"/>
    <x v="0"/>
    <x v="0"/>
    <x v="8"/>
    <x v="11"/>
    <x v="4"/>
    <x v="10"/>
    <n v="1"/>
  </r>
  <r>
    <x v="0"/>
    <x v="0"/>
    <x v="0"/>
    <x v="8"/>
    <x v="11"/>
    <x v="5"/>
    <x v="6"/>
    <n v="1"/>
  </r>
  <r>
    <x v="0"/>
    <x v="0"/>
    <x v="0"/>
    <x v="8"/>
    <x v="11"/>
    <x v="5"/>
    <x v="10"/>
    <n v="1"/>
  </r>
  <r>
    <x v="0"/>
    <x v="0"/>
    <x v="0"/>
    <x v="8"/>
    <x v="11"/>
    <x v="5"/>
    <x v="1"/>
    <n v="1"/>
  </r>
  <r>
    <x v="0"/>
    <x v="0"/>
    <x v="0"/>
    <x v="8"/>
    <x v="11"/>
    <x v="11"/>
    <x v="6"/>
    <n v="5"/>
  </r>
  <r>
    <x v="0"/>
    <x v="0"/>
    <x v="0"/>
    <x v="8"/>
    <x v="11"/>
    <x v="11"/>
    <x v="10"/>
    <n v="5"/>
  </r>
  <r>
    <x v="0"/>
    <x v="0"/>
    <x v="0"/>
    <x v="8"/>
    <x v="11"/>
    <x v="1"/>
    <x v="9"/>
    <n v="2"/>
  </r>
  <r>
    <x v="0"/>
    <x v="0"/>
    <x v="0"/>
    <x v="8"/>
    <x v="11"/>
    <x v="1"/>
    <x v="4"/>
    <n v="1"/>
  </r>
  <r>
    <x v="0"/>
    <x v="0"/>
    <x v="0"/>
    <x v="8"/>
    <x v="11"/>
    <x v="0"/>
    <x v="12"/>
    <n v="4"/>
  </r>
  <r>
    <x v="0"/>
    <x v="0"/>
    <x v="0"/>
    <x v="8"/>
    <x v="11"/>
    <x v="0"/>
    <x v="9"/>
    <n v="6"/>
  </r>
  <r>
    <x v="0"/>
    <x v="0"/>
    <x v="0"/>
    <x v="8"/>
    <x v="11"/>
    <x v="0"/>
    <x v="3"/>
    <n v="1"/>
  </r>
  <r>
    <x v="0"/>
    <x v="0"/>
    <x v="0"/>
    <x v="8"/>
    <x v="11"/>
    <x v="0"/>
    <x v="4"/>
    <n v="1"/>
  </r>
  <r>
    <x v="0"/>
    <x v="0"/>
    <x v="0"/>
    <x v="10"/>
    <x v="16"/>
    <x v="13"/>
    <x v="6"/>
    <n v="1"/>
  </r>
  <r>
    <x v="0"/>
    <x v="0"/>
    <x v="0"/>
    <x v="10"/>
    <x v="16"/>
    <x v="3"/>
    <x v="1"/>
    <n v="4"/>
  </r>
  <r>
    <x v="0"/>
    <x v="0"/>
    <x v="0"/>
    <x v="10"/>
    <x v="16"/>
    <x v="3"/>
    <x v="3"/>
    <n v="1"/>
  </r>
  <r>
    <x v="0"/>
    <x v="0"/>
    <x v="0"/>
    <x v="10"/>
    <x v="16"/>
    <x v="3"/>
    <x v="4"/>
    <n v="2"/>
  </r>
  <r>
    <x v="0"/>
    <x v="0"/>
    <x v="0"/>
    <x v="10"/>
    <x v="16"/>
    <x v="3"/>
    <x v="5"/>
    <n v="1"/>
  </r>
  <r>
    <x v="0"/>
    <x v="0"/>
    <x v="0"/>
    <x v="10"/>
    <x v="16"/>
    <x v="3"/>
    <x v="2"/>
    <n v="1"/>
  </r>
  <r>
    <x v="0"/>
    <x v="0"/>
    <x v="0"/>
    <x v="10"/>
    <x v="16"/>
    <x v="4"/>
    <x v="10"/>
    <n v="23"/>
  </r>
  <r>
    <x v="0"/>
    <x v="0"/>
    <x v="0"/>
    <x v="10"/>
    <x v="16"/>
    <x v="4"/>
    <x v="9"/>
    <n v="2"/>
  </r>
  <r>
    <x v="0"/>
    <x v="0"/>
    <x v="0"/>
    <x v="10"/>
    <x v="16"/>
    <x v="4"/>
    <x v="3"/>
    <n v="2"/>
  </r>
  <r>
    <x v="0"/>
    <x v="0"/>
    <x v="0"/>
    <x v="10"/>
    <x v="16"/>
    <x v="4"/>
    <x v="5"/>
    <n v="1"/>
  </r>
  <r>
    <x v="0"/>
    <x v="0"/>
    <x v="0"/>
    <x v="10"/>
    <x v="16"/>
    <x v="4"/>
    <x v="2"/>
    <n v="1"/>
  </r>
  <r>
    <x v="0"/>
    <x v="0"/>
    <x v="0"/>
    <x v="10"/>
    <x v="16"/>
    <x v="5"/>
    <x v="10"/>
    <n v="25"/>
  </r>
  <r>
    <x v="0"/>
    <x v="0"/>
    <x v="0"/>
    <x v="10"/>
    <x v="16"/>
    <x v="5"/>
    <x v="12"/>
    <n v="2"/>
  </r>
  <r>
    <x v="0"/>
    <x v="0"/>
    <x v="0"/>
    <x v="10"/>
    <x v="16"/>
    <x v="5"/>
    <x v="3"/>
    <n v="2"/>
  </r>
  <r>
    <x v="0"/>
    <x v="0"/>
    <x v="0"/>
    <x v="10"/>
    <x v="16"/>
    <x v="5"/>
    <x v="4"/>
    <n v="2"/>
  </r>
  <r>
    <x v="0"/>
    <x v="0"/>
    <x v="0"/>
    <x v="10"/>
    <x v="16"/>
    <x v="11"/>
    <x v="6"/>
    <n v="27"/>
  </r>
  <r>
    <x v="0"/>
    <x v="0"/>
    <x v="0"/>
    <x v="10"/>
    <x v="16"/>
    <x v="11"/>
    <x v="4"/>
    <n v="1"/>
  </r>
  <r>
    <x v="0"/>
    <x v="0"/>
    <x v="0"/>
    <x v="10"/>
    <x v="16"/>
    <x v="6"/>
    <x v="6"/>
    <n v="18"/>
  </r>
  <r>
    <x v="0"/>
    <x v="0"/>
    <x v="0"/>
    <x v="10"/>
    <x v="16"/>
    <x v="6"/>
    <x v="4"/>
    <n v="2"/>
  </r>
  <r>
    <x v="0"/>
    <x v="0"/>
    <x v="0"/>
    <x v="10"/>
    <x v="16"/>
    <x v="6"/>
    <x v="5"/>
    <n v="1"/>
  </r>
  <r>
    <x v="0"/>
    <x v="0"/>
    <x v="0"/>
    <x v="10"/>
    <x v="16"/>
    <x v="9"/>
    <x v="7"/>
    <n v="1"/>
  </r>
  <r>
    <x v="0"/>
    <x v="0"/>
    <x v="0"/>
    <x v="10"/>
    <x v="16"/>
    <x v="9"/>
    <x v="12"/>
    <n v="1"/>
  </r>
  <r>
    <x v="0"/>
    <x v="0"/>
    <x v="0"/>
    <x v="10"/>
    <x v="16"/>
    <x v="9"/>
    <x v="9"/>
    <n v="1"/>
  </r>
  <r>
    <x v="0"/>
    <x v="0"/>
    <x v="0"/>
    <x v="10"/>
    <x v="16"/>
    <x v="9"/>
    <x v="3"/>
    <n v="1"/>
  </r>
  <r>
    <x v="0"/>
    <x v="0"/>
    <x v="0"/>
    <x v="10"/>
    <x v="16"/>
    <x v="12"/>
    <x v="12"/>
    <n v="2"/>
  </r>
  <r>
    <x v="0"/>
    <x v="0"/>
    <x v="0"/>
    <x v="10"/>
    <x v="16"/>
    <x v="12"/>
    <x v="9"/>
    <n v="1"/>
  </r>
  <r>
    <x v="0"/>
    <x v="0"/>
    <x v="0"/>
    <x v="10"/>
    <x v="16"/>
    <x v="12"/>
    <x v="3"/>
    <n v="1"/>
  </r>
  <r>
    <x v="0"/>
    <x v="0"/>
    <x v="0"/>
    <x v="10"/>
    <x v="16"/>
    <x v="7"/>
    <x v="1"/>
    <n v="6"/>
  </r>
  <r>
    <x v="0"/>
    <x v="0"/>
    <x v="0"/>
    <x v="10"/>
    <x v="16"/>
    <x v="1"/>
    <x v="12"/>
    <n v="1"/>
  </r>
  <r>
    <x v="0"/>
    <x v="0"/>
    <x v="0"/>
    <x v="10"/>
    <x v="16"/>
    <x v="0"/>
    <x v="12"/>
    <n v="1"/>
  </r>
  <r>
    <x v="0"/>
    <x v="0"/>
    <x v="0"/>
    <x v="11"/>
    <x v="0"/>
    <x v="3"/>
    <x v="15"/>
    <n v="13"/>
  </r>
  <r>
    <x v="0"/>
    <x v="0"/>
    <x v="0"/>
    <x v="11"/>
    <x v="0"/>
    <x v="4"/>
    <x v="15"/>
    <n v="60"/>
  </r>
  <r>
    <x v="0"/>
    <x v="0"/>
    <x v="0"/>
    <x v="11"/>
    <x v="0"/>
    <x v="5"/>
    <x v="15"/>
    <n v="72"/>
  </r>
  <r>
    <x v="0"/>
    <x v="0"/>
    <x v="0"/>
    <x v="11"/>
    <x v="0"/>
    <x v="11"/>
    <x v="15"/>
    <n v="40"/>
  </r>
  <r>
    <x v="0"/>
    <x v="0"/>
    <x v="0"/>
    <x v="11"/>
    <x v="0"/>
    <x v="6"/>
    <x v="1"/>
    <n v="2"/>
  </r>
  <r>
    <x v="0"/>
    <x v="0"/>
    <x v="0"/>
    <x v="11"/>
    <x v="0"/>
    <x v="9"/>
    <x v="1"/>
    <n v="1"/>
  </r>
  <r>
    <x v="0"/>
    <x v="0"/>
    <x v="0"/>
    <x v="11"/>
    <x v="0"/>
    <x v="12"/>
    <x v="10"/>
    <n v="6"/>
  </r>
  <r>
    <x v="0"/>
    <x v="0"/>
    <x v="0"/>
    <x v="11"/>
    <x v="0"/>
    <x v="12"/>
    <x v="1"/>
    <n v="1"/>
  </r>
  <r>
    <x v="0"/>
    <x v="0"/>
    <x v="0"/>
    <x v="11"/>
    <x v="0"/>
    <x v="7"/>
    <x v="7"/>
    <n v="50"/>
  </r>
  <r>
    <x v="0"/>
    <x v="0"/>
    <x v="0"/>
    <x v="11"/>
    <x v="0"/>
    <x v="7"/>
    <x v="12"/>
    <n v="2"/>
  </r>
  <r>
    <x v="0"/>
    <x v="0"/>
    <x v="0"/>
    <x v="11"/>
    <x v="0"/>
    <x v="1"/>
    <x v="10"/>
    <n v="4"/>
  </r>
  <r>
    <x v="0"/>
    <x v="0"/>
    <x v="0"/>
    <x v="11"/>
    <x v="0"/>
    <x v="1"/>
    <x v="1"/>
    <n v="3"/>
  </r>
  <r>
    <x v="0"/>
    <x v="0"/>
    <x v="0"/>
    <x v="11"/>
    <x v="0"/>
    <x v="8"/>
    <x v="7"/>
    <n v="45"/>
  </r>
  <r>
    <x v="0"/>
    <x v="0"/>
    <x v="0"/>
    <x v="11"/>
    <x v="0"/>
    <x v="0"/>
    <x v="6"/>
    <n v="51"/>
  </r>
  <r>
    <x v="0"/>
    <x v="0"/>
    <x v="0"/>
    <x v="11"/>
    <x v="0"/>
    <x v="0"/>
    <x v="10"/>
    <n v="49"/>
  </r>
  <r>
    <x v="0"/>
    <x v="0"/>
    <x v="0"/>
    <x v="11"/>
    <x v="0"/>
    <x v="0"/>
    <x v="1"/>
    <n v="16"/>
  </r>
  <r>
    <x v="0"/>
    <x v="0"/>
    <x v="0"/>
    <x v="11"/>
    <x v="8"/>
    <x v="15"/>
    <x v="9"/>
    <n v="2"/>
  </r>
  <r>
    <x v="0"/>
    <x v="0"/>
    <x v="0"/>
    <x v="11"/>
    <x v="8"/>
    <x v="15"/>
    <x v="3"/>
    <n v="2"/>
  </r>
  <r>
    <x v="0"/>
    <x v="0"/>
    <x v="0"/>
    <x v="11"/>
    <x v="8"/>
    <x v="15"/>
    <x v="4"/>
    <n v="1"/>
  </r>
  <r>
    <x v="0"/>
    <x v="0"/>
    <x v="0"/>
    <x v="11"/>
    <x v="8"/>
    <x v="14"/>
    <x v="6"/>
    <n v="2"/>
  </r>
  <r>
    <x v="0"/>
    <x v="0"/>
    <x v="0"/>
    <x v="11"/>
    <x v="8"/>
    <x v="14"/>
    <x v="12"/>
    <n v="5"/>
  </r>
  <r>
    <x v="0"/>
    <x v="0"/>
    <x v="0"/>
    <x v="11"/>
    <x v="8"/>
    <x v="14"/>
    <x v="9"/>
    <n v="6"/>
  </r>
  <r>
    <x v="0"/>
    <x v="0"/>
    <x v="0"/>
    <x v="11"/>
    <x v="8"/>
    <x v="14"/>
    <x v="3"/>
    <n v="4"/>
  </r>
  <r>
    <x v="0"/>
    <x v="0"/>
    <x v="0"/>
    <x v="11"/>
    <x v="8"/>
    <x v="14"/>
    <x v="4"/>
    <n v="1"/>
  </r>
  <r>
    <x v="0"/>
    <x v="0"/>
    <x v="0"/>
    <x v="11"/>
    <x v="8"/>
    <x v="13"/>
    <x v="7"/>
    <n v="40"/>
  </r>
  <r>
    <x v="0"/>
    <x v="0"/>
    <x v="0"/>
    <x v="11"/>
    <x v="8"/>
    <x v="13"/>
    <x v="12"/>
    <n v="2"/>
  </r>
  <r>
    <x v="0"/>
    <x v="0"/>
    <x v="0"/>
    <x v="11"/>
    <x v="8"/>
    <x v="13"/>
    <x v="9"/>
    <n v="7"/>
  </r>
  <r>
    <x v="0"/>
    <x v="0"/>
    <x v="0"/>
    <x v="11"/>
    <x v="8"/>
    <x v="13"/>
    <x v="3"/>
    <n v="3"/>
  </r>
  <r>
    <x v="0"/>
    <x v="0"/>
    <x v="0"/>
    <x v="11"/>
    <x v="8"/>
    <x v="2"/>
    <x v="6"/>
    <n v="33"/>
  </r>
  <r>
    <x v="0"/>
    <x v="0"/>
    <x v="0"/>
    <x v="11"/>
    <x v="8"/>
    <x v="2"/>
    <x v="10"/>
    <n v="9"/>
  </r>
  <r>
    <x v="0"/>
    <x v="0"/>
    <x v="0"/>
    <x v="11"/>
    <x v="8"/>
    <x v="2"/>
    <x v="1"/>
    <n v="16"/>
  </r>
  <r>
    <x v="0"/>
    <x v="0"/>
    <x v="0"/>
    <x v="11"/>
    <x v="8"/>
    <x v="10"/>
    <x v="6"/>
    <n v="30"/>
  </r>
  <r>
    <x v="0"/>
    <x v="0"/>
    <x v="0"/>
    <x v="11"/>
    <x v="8"/>
    <x v="10"/>
    <x v="10"/>
    <n v="16"/>
  </r>
  <r>
    <x v="0"/>
    <x v="0"/>
    <x v="0"/>
    <x v="11"/>
    <x v="8"/>
    <x v="10"/>
    <x v="1"/>
    <n v="10"/>
  </r>
  <r>
    <x v="0"/>
    <x v="0"/>
    <x v="0"/>
    <x v="11"/>
    <x v="8"/>
    <x v="3"/>
    <x v="7"/>
    <n v="95"/>
  </r>
  <r>
    <x v="0"/>
    <x v="0"/>
    <x v="0"/>
    <x v="11"/>
    <x v="8"/>
    <x v="3"/>
    <x v="6"/>
    <n v="27"/>
  </r>
  <r>
    <x v="0"/>
    <x v="0"/>
    <x v="0"/>
    <x v="11"/>
    <x v="8"/>
    <x v="3"/>
    <x v="10"/>
    <n v="20"/>
  </r>
  <r>
    <x v="0"/>
    <x v="0"/>
    <x v="0"/>
    <x v="11"/>
    <x v="8"/>
    <x v="3"/>
    <x v="1"/>
    <n v="11"/>
  </r>
  <r>
    <x v="0"/>
    <x v="0"/>
    <x v="0"/>
    <x v="11"/>
    <x v="8"/>
    <x v="4"/>
    <x v="7"/>
    <n v="114"/>
  </r>
  <r>
    <x v="0"/>
    <x v="0"/>
    <x v="0"/>
    <x v="11"/>
    <x v="8"/>
    <x v="4"/>
    <x v="6"/>
    <n v="40"/>
  </r>
  <r>
    <x v="0"/>
    <x v="0"/>
    <x v="0"/>
    <x v="11"/>
    <x v="8"/>
    <x v="4"/>
    <x v="10"/>
    <n v="13"/>
  </r>
  <r>
    <x v="0"/>
    <x v="0"/>
    <x v="0"/>
    <x v="11"/>
    <x v="8"/>
    <x v="5"/>
    <x v="7"/>
    <n v="108"/>
  </r>
  <r>
    <x v="0"/>
    <x v="0"/>
    <x v="0"/>
    <x v="11"/>
    <x v="8"/>
    <x v="5"/>
    <x v="6"/>
    <n v="47"/>
  </r>
  <r>
    <x v="0"/>
    <x v="0"/>
    <x v="0"/>
    <x v="11"/>
    <x v="8"/>
    <x v="5"/>
    <x v="10"/>
    <n v="25"/>
  </r>
  <r>
    <x v="0"/>
    <x v="0"/>
    <x v="0"/>
    <x v="4"/>
    <x v="8"/>
    <x v="10"/>
    <x v="7"/>
    <n v="32"/>
  </r>
  <r>
    <x v="0"/>
    <x v="0"/>
    <x v="0"/>
    <x v="4"/>
    <x v="8"/>
    <x v="10"/>
    <x v="6"/>
    <n v="22"/>
  </r>
  <r>
    <x v="0"/>
    <x v="0"/>
    <x v="0"/>
    <x v="4"/>
    <x v="8"/>
    <x v="3"/>
    <x v="7"/>
    <n v="43"/>
  </r>
  <r>
    <x v="0"/>
    <x v="0"/>
    <x v="0"/>
    <x v="4"/>
    <x v="8"/>
    <x v="3"/>
    <x v="6"/>
    <n v="16"/>
  </r>
  <r>
    <x v="0"/>
    <x v="0"/>
    <x v="0"/>
    <x v="4"/>
    <x v="8"/>
    <x v="3"/>
    <x v="10"/>
    <n v="8"/>
  </r>
  <r>
    <x v="0"/>
    <x v="0"/>
    <x v="0"/>
    <x v="4"/>
    <x v="8"/>
    <x v="4"/>
    <x v="7"/>
    <n v="43"/>
  </r>
  <r>
    <x v="0"/>
    <x v="0"/>
    <x v="0"/>
    <x v="4"/>
    <x v="8"/>
    <x v="4"/>
    <x v="6"/>
    <n v="25"/>
  </r>
  <r>
    <x v="0"/>
    <x v="0"/>
    <x v="0"/>
    <x v="4"/>
    <x v="8"/>
    <x v="5"/>
    <x v="8"/>
    <n v="59"/>
  </r>
  <r>
    <x v="0"/>
    <x v="0"/>
    <x v="0"/>
    <x v="4"/>
    <x v="8"/>
    <x v="5"/>
    <x v="7"/>
    <n v="49"/>
  </r>
  <r>
    <x v="0"/>
    <x v="0"/>
    <x v="0"/>
    <x v="4"/>
    <x v="8"/>
    <x v="5"/>
    <x v="6"/>
    <n v="17"/>
  </r>
  <r>
    <x v="0"/>
    <x v="0"/>
    <x v="0"/>
    <x v="4"/>
    <x v="8"/>
    <x v="11"/>
    <x v="8"/>
    <n v="17"/>
  </r>
  <r>
    <x v="0"/>
    <x v="0"/>
    <x v="0"/>
    <x v="4"/>
    <x v="8"/>
    <x v="11"/>
    <x v="7"/>
    <n v="42"/>
  </r>
  <r>
    <x v="0"/>
    <x v="0"/>
    <x v="0"/>
    <x v="4"/>
    <x v="8"/>
    <x v="11"/>
    <x v="13"/>
    <n v="1"/>
  </r>
  <r>
    <x v="0"/>
    <x v="0"/>
    <x v="0"/>
    <x v="4"/>
    <x v="8"/>
    <x v="6"/>
    <x v="8"/>
    <n v="1"/>
  </r>
  <r>
    <x v="0"/>
    <x v="0"/>
    <x v="0"/>
    <x v="4"/>
    <x v="8"/>
    <x v="6"/>
    <x v="7"/>
    <n v="33"/>
  </r>
  <r>
    <x v="0"/>
    <x v="0"/>
    <x v="0"/>
    <x v="4"/>
    <x v="8"/>
    <x v="9"/>
    <x v="5"/>
    <n v="1"/>
  </r>
  <r>
    <x v="0"/>
    <x v="0"/>
    <x v="0"/>
    <x v="4"/>
    <x v="8"/>
    <x v="12"/>
    <x v="5"/>
    <n v="1"/>
  </r>
  <r>
    <x v="0"/>
    <x v="0"/>
    <x v="0"/>
    <x v="4"/>
    <x v="8"/>
    <x v="7"/>
    <x v="6"/>
    <n v="19"/>
  </r>
  <r>
    <x v="0"/>
    <x v="0"/>
    <x v="0"/>
    <x v="4"/>
    <x v="8"/>
    <x v="7"/>
    <x v="10"/>
    <n v="11"/>
  </r>
  <r>
    <x v="0"/>
    <x v="0"/>
    <x v="0"/>
    <x v="4"/>
    <x v="8"/>
    <x v="8"/>
    <x v="6"/>
    <n v="5"/>
  </r>
  <r>
    <x v="0"/>
    <x v="0"/>
    <x v="0"/>
    <x v="4"/>
    <x v="8"/>
    <x v="8"/>
    <x v="10"/>
    <n v="6"/>
  </r>
  <r>
    <x v="0"/>
    <x v="0"/>
    <x v="0"/>
    <x v="4"/>
    <x v="8"/>
    <x v="0"/>
    <x v="9"/>
    <n v="2"/>
  </r>
  <r>
    <x v="0"/>
    <x v="0"/>
    <x v="0"/>
    <x v="4"/>
    <x v="8"/>
    <x v="0"/>
    <x v="3"/>
    <n v="2"/>
  </r>
  <r>
    <x v="0"/>
    <x v="0"/>
    <x v="0"/>
    <x v="4"/>
    <x v="8"/>
    <x v="0"/>
    <x v="4"/>
    <n v="1"/>
  </r>
  <r>
    <x v="0"/>
    <x v="0"/>
    <x v="0"/>
    <x v="4"/>
    <x v="8"/>
    <x v="0"/>
    <x v="5"/>
    <n v="1"/>
  </r>
  <r>
    <x v="0"/>
    <x v="0"/>
    <x v="0"/>
    <x v="4"/>
    <x v="7"/>
    <x v="0"/>
    <x v="12"/>
    <n v="1"/>
  </r>
  <r>
    <x v="0"/>
    <x v="0"/>
    <x v="0"/>
    <x v="5"/>
    <x v="1"/>
    <x v="7"/>
    <x v="1"/>
    <n v="1"/>
  </r>
  <r>
    <x v="0"/>
    <x v="0"/>
    <x v="0"/>
    <x v="5"/>
    <x v="1"/>
    <x v="1"/>
    <x v="10"/>
    <n v="1"/>
  </r>
  <r>
    <x v="0"/>
    <x v="0"/>
    <x v="0"/>
    <x v="5"/>
    <x v="1"/>
    <x v="8"/>
    <x v="1"/>
    <n v="1"/>
  </r>
  <r>
    <x v="0"/>
    <x v="0"/>
    <x v="0"/>
    <x v="5"/>
    <x v="3"/>
    <x v="5"/>
    <x v="2"/>
    <n v="1"/>
  </r>
  <r>
    <x v="0"/>
    <x v="0"/>
    <x v="0"/>
    <x v="5"/>
    <x v="3"/>
    <x v="11"/>
    <x v="4"/>
    <n v="1"/>
  </r>
  <r>
    <x v="0"/>
    <x v="0"/>
    <x v="0"/>
    <x v="5"/>
    <x v="3"/>
    <x v="6"/>
    <x v="2"/>
    <n v="1"/>
  </r>
  <r>
    <x v="0"/>
    <x v="0"/>
    <x v="0"/>
    <x v="5"/>
    <x v="3"/>
    <x v="1"/>
    <x v="5"/>
    <n v="1"/>
  </r>
  <r>
    <x v="0"/>
    <x v="0"/>
    <x v="0"/>
    <x v="5"/>
    <x v="10"/>
    <x v="9"/>
    <x v="12"/>
    <n v="1"/>
  </r>
  <r>
    <x v="0"/>
    <x v="0"/>
    <x v="0"/>
    <x v="5"/>
    <x v="10"/>
    <x v="12"/>
    <x v="1"/>
    <n v="10"/>
  </r>
  <r>
    <x v="0"/>
    <x v="0"/>
    <x v="0"/>
    <x v="5"/>
    <x v="10"/>
    <x v="12"/>
    <x v="9"/>
    <n v="2"/>
  </r>
  <r>
    <x v="0"/>
    <x v="0"/>
    <x v="0"/>
    <x v="5"/>
    <x v="10"/>
    <x v="1"/>
    <x v="1"/>
    <n v="3"/>
  </r>
  <r>
    <x v="0"/>
    <x v="0"/>
    <x v="0"/>
    <x v="5"/>
    <x v="10"/>
    <x v="1"/>
    <x v="12"/>
    <n v="1"/>
  </r>
  <r>
    <x v="0"/>
    <x v="0"/>
    <x v="0"/>
    <x v="5"/>
    <x v="10"/>
    <x v="0"/>
    <x v="1"/>
    <n v="4"/>
  </r>
  <r>
    <x v="0"/>
    <x v="0"/>
    <x v="0"/>
    <x v="5"/>
    <x v="11"/>
    <x v="5"/>
    <x v="7"/>
    <n v="2"/>
  </r>
  <r>
    <x v="0"/>
    <x v="0"/>
    <x v="0"/>
    <x v="5"/>
    <x v="11"/>
    <x v="6"/>
    <x v="7"/>
    <n v="1"/>
  </r>
  <r>
    <x v="0"/>
    <x v="0"/>
    <x v="0"/>
    <x v="5"/>
    <x v="11"/>
    <x v="6"/>
    <x v="13"/>
    <n v="1"/>
  </r>
  <r>
    <x v="0"/>
    <x v="0"/>
    <x v="0"/>
    <x v="5"/>
    <x v="11"/>
    <x v="7"/>
    <x v="1"/>
    <n v="1"/>
  </r>
  <r>
    <x v="0"/>
    <x v="0"/>
    <x v="0"/>
    <x v="5"/>
    <x v="11"/>
    <x v="8"/>
    <x v="10"/>
    <n v="2"/>
  </r>
  <r>
    <x v="0"/>
    <x v="0"/>
    <x v="0"/>
    <x v="6"/>
    <x v="3"/>
    <x v="13"/>
    <x v="6"/>
    <n v="1"/>
  </r>
  <r>
    <x v="0"/>
    <x v="0"/>
    <x v="0"/>
    <x v="6"/>
    <x v="3"/>
    <x v="2"/>
    <x v="7"/>
    <n v="2"/>
  </r>
  <r>
    <x v="0"/>
    <x v="0"/>
    <x v="0"/>
    <x v="6"/>
    <x v="3"/>
    <x v="10"/>
    <x v="7"/>
    <n v="2"/>
  </r>
  <r>
    <x v="0"/>
    <x v="0"/>
    <x v="0"/>
    <x v="9"/>
    <x v="13"/>
    <x v="9"/>
    <x v="3"/>
    <n v="1"/>
  </r>
  <r>
    <x v="0"/>
    <x v="0"/>
    <x v="0"/>
    <x v="7"/>
    <x v="12"/>
    <x v="1"/>
    <x v="1"/>
    <n v="1"/>
  </r>
  <r>
    <x v="0"/>
    <x v="0"/>
    <x v="0"/>
    <x v="7"/>
    <x v="12"/>
    <x v="8"/>
    <x v="2"/>
    <n v="1"/>
  </r>
  <r>
    <x v="0"/>
    <x v="0"/>
    <x v="0"/>
    <x v="7"/>
    <x v="12"/>
    <x v="0"/>
    <x v="10"/>
    <n v="46"/>
  </r>
  <r>
    <x v="0"/>
    <x v="0"/>
    <x v="0"/>
    <x v="7"/>
    <x v="12"/>
    <x v="0"/>
    <x v="1"/>
    <n v="34"/>
  </r>
  <r>
    <x v="0"/>
    <x v="0"/>
    <x v="0"/>
    <x v="7"/>
    <x v="13"/>
    <x v="9"/>
    <x v="4"/>
    <n v="1"/>
  </r>
  <r>
    <x v="0"/>
    <x v="0"/>
    <x v="0"/>
    <x v="7"/>
    <x v="13"/>
    <x v="1"/>
    <x v="1"/>
    <n v="1"/>
  </r>
  <r>
    <x v="0"/>
    <x v="0"/>
    <x v="0"/>
    <x v="7"/>
    <x v="13"/>
    <x v="1"/>
    <x v="12"/>
    <n v="1"/>
  </r>
  <r>
    <x v="0"/>
    <x v="0"/>
    <x v="0"/>
    <x v="7"/>
    <x v="13"/>
    <x v="0"/>
    <x v="1"/>
    <n v="7"/>
  </r>
  <r>
    <x v="0"/>
    <x v="0"/>
    <x v="0"/>
    <x v="7"/>
    <x v="13"/>
    <x v="0"/>
    <x v="12"/>
    <n v="1"/>
  </r>
  <r>
    <x v="0"/>
    <x v="0"/>
    <x v="0"/>
    <x v="7"/>
    <x v="13"/>
    <x v="0"/>
    <x v="3"/>
    <n v="1"/>
  </r>
  <r>
    <x v="0"/>
    <x v="0"/>
    <x v="0"/>
    <x v="7"/>
    <x v="6"/>
    <x v="12"/>
    <x v="10"/>
    <n v="1"/>
  </r>
  <r>
    <x v="0"/>
    <x v="0"/>
    <x v="0"/>
    <x v="7"/>
    <x v="6"/>
    <x v="0"/>
    <x v="10"/>
    <n v="2"/>
  </r>
  <r>
    <x v="0"/>
    <x v="0"/>
    <x v="0"/>
    <x v="8"/>
    <x v="13"/>
    <x v="2"/>
    <x v="2"/>
    <n v="1"/>
  </r>
  <r>
    <x v="0"/>
    <x v="0"/>
    <x v="0"/>
    <x v="8"/>
    <x v="13"/>
    <x v="3"/>
    <x v="4"/>
    <n v="1"/>
  </r>
  <r>
    <x v="0"/>
    <x v="0"/>
    <x v="0"/>
    <x v="8"/>
    <x v="13"/>
    <x v="3"/>
    <x v="5"/>
    <n v="2"/>
  </r>
  <r>
    <x v="0"/>
    <x v="0"/>
    <x v="0"/>
    <x v="8"/>
    <x v="13"/>
    <x v="4"/>
    <x v="4"/>
    <n v="1"/>
  </r>
  <r>
    <x v="0"/>
    <x v="0"/>
    <x v="0"/>
    <x v="8"/>
    <x v="13"/>
    <x v="5"/>
    <x v="2"/>
    <n v="1"/>
  </r>
  <r>
    <x v="0"/>
    <x v="0"/>
    <x v="0"/>
    <x v="8"/>
    <x v="13"/>
    <x v="11"/>
    <x v="5"/>
    <n v="2"/>
  </r>
  <r>
    <x v="0"/>
    <x v="0"/>
    <x v="0"/>
    <x v="8"/>
    <x v="13"/>
    <x v="6"/>
    <x v="9"/>
    <n v="1"/>
  </r>
  <r>
    <x v="0"/>
    <x v="0"/>
    <x v="0"/>
    <x v="8"/>
    <x v="13"/>
    <x v="7"/>
    <x v="2"/>
    <n v="1"/>
  </r>
  <r>
    <x v="0"/>
    <x v="0"/>
    <x v="0"/>
    <x v="8"/>
    <x v="14"/>
    <x v="0"/>
    <x v="10"/>
    <n v="1"/>
  </r>
  <r>
    <x v="0"/>
    <x v="0"/>
    <x v="0"/>
    <x v="8"/>
    <x v="10"/>
    <x v="13"/>
    <x v="15"/>
    <n v="1"/>
  </r>
  <r>
    <x v="0"/>
    <x v="0"/>
    <x v="0"/>
    <x v="8"/>
    <x v="10"/>
    <x v="13"/>
    <x v="5"/>
    <n v="1"/>
  </r>
  <r>
    <x v="0"/>
    <x v="0"/>
    <x v="0"/>
    <x v="8"/>
    <x v="10"/>
    <x v="10"/>
    <x v="9"/>
    <n v="1"/>
  </r>
  <r>
    <x v="0"/>
    <x v="0"/>
    <x v="0"/>
    <x v="8"/>
    <x v="10"/>
    <x v="3"/>
    <x v="10"/>
    <n v="4"/>
  </r>
  <r>
    <x v="0"/>
    <x v="0"/>
    <x v="0"/>
    <x v="8"/>
    <x v="10"/>
    <x v="3"/>
    <x v="1"/>
    <n v="2"/>
  </r>
  <r>
    <x v="0"/>
    <x v="0"/>
    <x v="0"/>
    <x v="8"/>
    <x v="10"/>
    <x v="3"/>
    <x v="12"/>
    <n v="4"/>
  </r>
  <r>
    <x v="0"/>
    <x v="0"/>
    <x v="0"/>
    <x v="8"/>
    <x v="10"/>
    <x v="3"/>
    <x v="9"/>
    <n v="1"/>
  </r>
  <r>
    <x v="0"/>
    <x v="0"/>
    <x v="0"/>
    <x v="8"/>
    <x v="10"/>
    <x v="4"/>
    <x v="10"/>
    <n v="10"/>
  </r>
  <r>
    <x v="0"/>
    <x v="0"/>
    <x v="0"/>
    <x v="8"/>
    <x v="10"/>
    <x v="4"/>
    <x v="1"/>
    <n v="4"/>
  </r>
  <r>
    <x v="0"/>
    <x v="0"/>
    <x v="0"/>
    <x v="8"/>
    <x v="10"/>
    <x v="4"/>
    <x v="12"/>
    <n v="2"/>
  </r>
  <r>
    <x v="0"/>
    <x v="0"/>
    <x v="0"/>
    <x v="8"/>
    <x v="10"/>
    <x v="5"/>
    <x v="6"/>
    <n v="28"/>
  </r>
  <r>
    <x v="0"/>
    <x v="0"/>
    <x v="0"/>
    <x v="0"/>
    <x v="1"/>
    <x v="11"/>
    <x v="4"/>
    <n v="1"/>
  </r>
  <r>
    <x v="0"/>
    <x v="0"/>
    <x v="0"/>
    <x v="0"/>
    <x v="1"/>
    <x v="6"/>
    <x v="8"/>
    <n v="51"/>
  </r>
  <r>
    <x v="0"/>
    <x v="0"/>
    <x v="0"/>
    <x v="0"/>
    <x v="1"/>
    <x v="6"/>
    <x v="7"/>
    <n v="5"/>
  </r>
  <r>
    <x v="0"/>
    <x v="0"/>
    <x v="0"/>
    <x v="0"/>
    <x v="1"/>
    <x v="9"/>
    <x v="8"/>
    <n v="33"/>
  </r>
  <r>
    <x v="0"/>
    <x v="0"/>
    <x v="0"/>
    <x v="0"/>
    <x v="1"/>
    <x v="9"/>
    <x v="7"/>
    <n v="16"/>
  </r>
  <r>
    <x v="0"/>
    <x v="0"/>
    <x v="0"/>
    <x v="0"/>
    <x v="1"/>
    <x v="9"/>
    <x v="12"/>
    <n v="1"/>
  </r>
  <r>
    <x v="0"/>
    <x v="0"/>
    <x v="0"/>
    <x v="0"/>
    <x v="1"/>
    <x v="9"/>
    <x v="9"/>
    <n v="1"/>
  </r>
  <r>
    <x v="0"/>
    <x v="0"/>
    <x v="0"/>
    <x v="0"/>
    <x v="1"/>
    <x v="12"/>
    <x v="8"/>
    <n v="3"/>
  </r>
  <r>
    <x v="0"/>
    <x v="0"/>
    <x v="0"/>
    <x v="0"/>
    <x v="1"/>
    <x v="12"/>
    <x v="12"/>
    <n v="2"/>
  </r>
  <r>
    <x v="0"/>
    <x v="0"/>
    <x v="0"/>
    <x v="0"/>
    <x v="1"/>
    <x v="7"/>
    <x v="1"/>
    <n v="1"/>
  </r>
  <r>
    <x v="0"/>
    <x v="0"/>
    <x v="0"/>
    <x v="0"/>
    <x v="1"/>
    <x v="8"/>
    <x v="1"/>
    <n v="2"/>
  </r>
  <r>
    <x v="0"/>
    <x v="0"/>
    <x v="0"/>
    <x v="0"/>
    <x v="1"/>
    <x v="8"/>
    <x v="4"/>
    <n v="1"/>
  </r>
  <r>
    <x v="0"/>
    <x v="0"/>
    <x v="0"/>
    <x v="1"/>
    <x v="2"/>
    <x v="6"/>
    <x v="5"/>
    <n v="1"/>
  </r>
  <r>
    <x v="0"/>
    <x v="0"/>
    <x v="0"/>
    <x v="1"/>
    <x v="2"/>
    <x v="12"/>
    <x v="1"/>
    <n v="2"/>
  </r>
  <r>
    <x v="0"/>
    <x v="0"/>
    <x v="0"/>
    <x v="1"/>
    <x v="2"/>
    <x v="12"/>
    <x v="4"/>
    <n v="1"/>
  </r>
  <r>
    <x v="0"/>
    <x v="0"/>
    <x v="0"/>
    <x v="1"/>
    <x v="2"/>
    <x v="12"/>
    <x v="13"/>
    <n v="1"/>
  </r>
  <r>
    <x v="0"/>
    <x v="0"/>
    <x v="0"/>
    <x v="1"/>
    <x v="2"/>
    <x v="7"/>
    <x v="9"/>
    <n v="1"/>
  </r>
  <r>
    <x v="0"/>
    <x v="0"/>
    <x v="0"/>
    <x v="1"/>
    <x v="2"/>
    <x v="1"/>
    <x v="1"/>
    <n v="1"/>
  </r>
  <r>
    <x v="0"/>
    <x v="0"/>
    <x v="0"/>
    <x v="1"/>
    <x v="2"/>
    <x v="0"/>
    <x v="10"/>
    <n v="2"/>
  </r>
  <r>
    <x v="0"/>
    <x v="0"/>
    <x v="0"/>
    <x v="1"/>
    <x v="2"/>
    <x v="0"/>
    <x v="1"/>
    <n v="1"/>
  </r>
  <r>
    <x v="0"/>
    <x v="0"/>
    <x v="0"/>
    <x v="1"/>
    <x v="2"/>
    <x v="0"/>
    <x v="12"/>
    <n v="2"/>
  </r>
  <r>
    <x v="0"/>
    <x v="0"/>
    <x v="0"/>
    <x v="1"/>
    <x v="2"/>
    <x v="0"/>
    <x v="2"/>
    <n v="1"/>
  </r>
  <r>
    <x v="0"/>
    <x v="0"/>
    <x v="0"/>
    <x v="1"/>
    <x v="1"/>
    <x v="6"/>
    <x v="6"/>
    <n v="1"/>
  </r>
  <r>
    <x v="0"/>
    <x v="0"/>
    <x v="0"/>
    <x v="1"/>
    <x v="1"/>
    <x v="9"/>
    <x v="6"/>
    <n v="2"/>
  </r>
  <r>
    <x v="0"/>
    <x v="0"/>
    <x v="0"/>
    <x v="1"/>
    <x v="3"/>
    <x v="13"/>
    <x v="6"/>
    <n v="3"/>
  </r>
  <r>
    <x v="0"/>
    <x v="0"/>
    <x v="0"/>
    <x v="1"/>
    <x v="3"/>
    <x v="2"/>
    <x v="6"/>
    <n v="7"/>
  </r>
  <r>
    <x v="0"/>
    <x v="0"/>
    <x v="0"/>
    <x v="1"/>
    <x v="3"/>
    <x v="10"/>
    <x v="6"/>
    <n v="5"/>
  </r>
  <r>
    <x v="0"/>
    <x v="0"/>
    <x v="0"/>
    <x v="1"/>
    <x v="3"/>
    <x v="10"/>
    <x v="10"/>
    <n v="3"/>
  </r>
  <r>
    <x v="0"/>
    <x v="0"/>
    <x v="0"/>
    <x v="1"/>
    <x v="3"/>
    <x v="3"/>
    <x v="7"/>
    <n v="3"/>
  </r>
  <r>
    <x v="0"/>
    <x v="0"/>
    <x v="0"/>
    <x v="1"/>
    <x v="3"/>
    <x v="3"/>
    <x v="6"/>
    <n v="5"/>
  </r>
  <r>
    <x v="0"/>
    <x v="0"/>
    <x v="0"/>
    <x v="1"/>
    <x v="3"/>
    <x v="3"/>
    <x v="10"/>
    <n v="2"/>
  </r>
  <r>
    <x v="0"/>
    <x v="0"/>
    <x v="0"/>
    <x v="1"/>
    <x v="3"/>
    <x v="3"/>
    <x v="1"/>
    <n v="1"/>
  </r>
  <r>
    <x v="0"/>
    <x v="0"/>
    <x v="0"/>
    <x v="1"/>
    <x v="3"/>
    <x v="4"/>
    <x v="7"/>
    <n v="7"/>
  </r>
  <r>
    <x v="0"/>
    <x v="0"/>
    <x v="0"/>
    <x v="1"/>
    <x v="3"/>
    <x v="4"/>
    <x v="6"/>
    <n v="5"/>
  </r>
  <r>
    <x v="0"/>
    <x v="0"/>
    <x v="0"/>
    <x v="1"/>
    <x v="3"/>
    <x v="4"/>
    <x v="10"/>
    <n v="1"/>
  </r>
  <r>
    <x v="0"/>
    <x v="0"/>
    <x v="0"/>
    <x v="1"/>
    <x v="3"/>
    <x v="4"/>
    <x v="4"/>
    <n v="1"/>
  </r>
  <r>
    <x v="0"/>
    <x v="0"/>
    <x v="0"/>
    <x v="1"/>
    <x v="3"/>
    <x v="5"/>
    <x v="7"/>
    <n v="2"/>
  </r>
  <r>
    <x v="0"/>
    <x v="0"/>
    <x v="0"/>
    <x v="1"/>
    <x v="3"/>
    <x v="5"/>
    <x v="10"/>
    <n v="3"/>
  </r>
  <r>
    <x v="0"/>
    <x v="0"/>
    <x v="0"/>
    <x v="1"/>
    <x v="3"/>
    <x v="5"/>
    <x v="4"/>
    <n v="1"/>
  </r>
  <r>
    <x v="0"/>
    <x v="0"/>
    <x v="0"/>
    <x v="1"/>
    <x v="3"/>
    <x v="5"/>
    <x v="5"/>
    <n v="1"/>
  </r>
  <r>
    <x v="0"/>
    <x v="0"/>
    <x v="0"/>
    <x v="1"/>
    <x v="3"/>
    <x v="11"/>
    <x v="6"/>
    <n v="1"/>
  </r>
  <r>
    <x v="0"/>
    <x v="0"/>
    <x v="0"/>
    <x v="1"/>
    <x v="3"/>
    <x v="6"/>
    <x v="7"/>
    <n v="1"/>
  </r>
  <r>
    <x v="0"/>
    <x v="0"/>
    <x v="0"/>
    <x v="2"/>
    <x v="0"/>
    <x v="9"/>
    <x v="13"/>
    <n v="1"/>
  </r>
  <r>
    <x v="0"/>
    <x v="0"/>
    <x v="0"/>
    <x v="2"/>
    <x v="0"/>
    <x v="12"/>
    <x v="1"/>
    <n v="1"/>
  </r>
  <r>
    <x v="0"/>
    <x v="0"/>
    <x v="0"/>
    <x v="2"/>
    <x v="0"/>
    <x v="12"/>
    <x v="13"/>
    <n v="1"/>
  </r>
  <r>
    <x v="0"/>
    <x v="0"/>
    <x v="0"/>
    <x v="2"/>
    <x v="0"/>
    <x v="1"/>
    <x v="10"/>
    <n v="3"/>
  </r>
  <r>
    <x v="0"/>
    <x v="0"/>
    <x v="0"/>
    <x v="2"/>
    <x v="0"/>
    <x v="1"/>
    <x v="1"/>
    <n v="3"/>
  </r>
  <r>
    <x v="0"/>
    <x v="0"/>
    <x v="0"/>
    <x v="2"/>
    <x v="0"/>
    <x v="0"/>
    <x v="4"/>
    <n v="2"/>
  </r>
  <r>
    <x v="0"/>
    <x v="0"/>
    <x v="0"/>
    <x v="2"/>
    <x v="5"/>
    <x v="7"/>
    <x v="6"/>
    <n v="1"/>
  </r>
  <r>
    <x v="0"/>
    <x v="0"/>
    <x v="0"/>
    <x v="2"/>
    <x v="6"/>
    <x v="6"/>
    <x v="8"/>
    <n v="13"/>
  </r>
  <r>
    <x v="0"/>
    <x v="0"/>
    <x v="0"/>
    <x v="2"/>
    <x v="6"/>
    <x v="7"/>
    <x v="6"/>
    <n v="57"/>
  </r>
  <r>
    <x v="0"/>
    <x v="0"/>
    <x v="0"/>
    <x v="2"/>
    <x v="6"/>
    <x v="7"/>
    <x v="12"/>
    <n v="1"/>
  </r>
  <r>
    <x v="0"/>
    <x v="0"/>
    <x v="0"/>
    <x v="2"/>
    <x v="6"/>
    <x v="7"/>
    <x v="4"/>
    <n v="1"/>
  </r>
  <r>
    <x v="0"/>
    <x v="0"/>
    <x v="0"/>
    <x v="2"/>
    <x v="6"/>
    <x v="8"/>
    <x v="6"/>
    <n v="18"/>
  </r>
  <r>
    <x v="0"/>
    <x v="0"/>
    <x v="0"/>
    <x v="2"/>
    <x v="17"/>
    <x v="0"/>
    <x v="10"/>
    <n v="1"/>
  </r>
  <r>
    <x v="0"/>
    <x v="0"/>
    <x v="0"/>
    <x v="3"/>
    <x v="0"/>
    <x v="0"/>
    <x v="0"/>
    <n v="1"/>
  </r>
  <r>
    <x v="0"/>
    <x v="0"/>
    <x v="0"/>
    <x v="3"/>
    <x v="7"/>
    <x v="1"/>
    <x v="1"/>
    <n v="1"/>
  </r>
  <r>
    <x v="0"/>
    <x v="0"/>
    <x v="0"/>
    <x v="3"/>
    <x v="7"/>
    <x v="8"/>
    <x v="12"/>
    <n v="1"/>
  </r>
  <r>
    <x v="0"/>
    <x v="0"/>
    <x v="0"/>
    <x v="3"/>
    <x v="7"/>
    <x v="0"/>
    <x v="10"/>
    <n v="1"/>
  </r>
  <r>
    <x v="0"/>
    <x v="0"/>
    <x v="0"/>
    <x v="3"/>
    <x v="7"/>
    <x v="0"/>
    <x v="1"/>
    <n v="1"/>
  </r>
  <r>
    <x v="0"/>
    <x v="0"/>
    <x v="0"/>
    <x v="3"/>
    <x v="10"/>
    <x v="0"/>
    <x v="1"/>
    <n v="1"/>
  </r>
  <r>
    <x v="0"/>
    <x v="0"/>
    <x v="0"/>
    <x v="4"/>
    <x v="8"/>
    <x v="2"/>
    <x v="8"/>
    <n v="23"/>
  </r>
  <r>
    <x v="0"/>
    <x v="0"/>
    <x v="0"/>
    <x v="4"/>
    <x v="8"/>
    <x v="2"/>
    <x v="12"/>
    <n v="1"/>
  </r>
  <r>
    <x v="0"/>
    <x v="0"/>
    <x v="0"/>
    <x v="4"/>
    <x v="8"/>
    <x v="10"/>
    <x v="15"/>
    <n v="76"/>
  </r>
  <r>
    <x v="0"/>
    <x v="0"/>
    <x v="0"/>
    <x v="4"/>
    <x v="8"/>
    <x v="10"/>
    <x v="8"/>
    <n v="49"/>
  </r>
  <r>
    <x v="0"/>
    <x v="0"/>
    <x v="0"/>
    <x v="4"/>
    <x v="8"/>
    <x v="3"/>
    <x v="15"/>
    <n v="24"/>
  </r>
  <r>
    <x v="0"/>
    <x v="0"/>
    <x v="0"/>
    <x v="4"/>
    <x v="8"/>
    <x v="3"/>
    <x v="8"/>
    <n v="136"/>
  </r>
  <r>
    <x v="0"/>
    <x v="0"/>
    <x v="0"/>
    <x v="4"/>
    <x v="8"/>
    <x v="4"/>
    <x v="15"/>
    <n v="3"/>
  </r>
  <r>
    <x v="0"/>
    <x v="0"/>
    <x v="0"/>
    <x v="4"/>
    <x v="8"/>
    <x v="4"/>
    <x v="8"/>
    <n v="101"/>
  </r>
  <r>
    <x v="0"/>
    <x v="0"/>
    <x v="0"/>
    <x v="4"/>
    <x v="8"/>
    <x v="12"/>
    <x v="1"/>
    <n v="1"/>
  </r>
  <r>
    <x v="0"/>
    <x v="0"/>
    <x v="0"/>
    <x v="4"/>
    <x v="8"/>
    <x v="7"/>
    <x v="7"/>
    <n v="2"/>
  </r>
  <r>
    <x v="0"/>
    <x v="0"/>
    <x v="0"/>
    <x v="4"/>
    <x v="8"/>
    <x v="7"/>
    <x v="12"/>
    <n v="1"/>
  </r>
  <r>
    <x v="0"/>
    <x v="0"/>
    <x v="0"/>
    <x v="4"/>
    <x v="8"/>
    <x v="1"/>
    <x v="1"/>
    <n v="3"/>
  </r>
  <r>
    <x v="0"/>
    <x v="0"/>
    <x v="0"/>
    <x v="4"/>
    <x v="8"/>
    <x v="8"/>
    <x v="12"/>
    <n v="1"/>
  </r>
  <r>
    <x v="0"/>
    <x v="0"/>
    <x v="0"/>
    <x v="4"/>
    <x v="8"/>
    <x v="0"/>
    <x v="10"/>
    <n v="6"/>
  </r>
  <r>
    <x v="0"/>
    <x v="0"/>
    <x v="0"/>
    <x v="4"/>
    <x v="8"/>
    <x v="0"/>
    <x v="1"/>
    <n v="3"/>
  </r>
  <r>
    <x v="0"/>
    <x v="0"/>
    <x v="0"/>
    <x v="4"/>
    <x v="7"/>
    <x v="1"/>
    <x v="10"/>
    <n v="1"/>
  </r>
  <r>
    <x v="0"/>
    <x v="0"/>
    <x v="0"/>
    <x v="4"/>
    <x v="7"/>
    <x v="0"/>
    <x v="1"/>
    <n v="2"/>
  </r>
  <r>
    <x v="0"/>
    <x v="0"/>
    <x v="0"/>
    <x v="5"/>
    <x v="6"/>
    <x v="6"/>
    <x v="13"/>
    <n v="1"/>
  </r>
  <r>
    <x v="0"/>
    <x v="0"/>
    <x v="0"/>
    <x v="5"/>
    <x v="10"/>
    <x v="5"/>
    <x v="10"/>
    <n v="6"/>
  </r>
  <r>
    <x v="0"/>
    <x v="0"/>
    <x v="0"/>
    <x v="8"/>
    <x v="10"/>
    <x v="5"/>
    <x v="10"/>
    <n v="10"/>
  </r>
  <r>
    <x v="0"/>
    <x v="0"/>
    <x v="0"/>
    <x v="8"/>
    <x v="10"/>
    <x v="5"/>
    <x v="1"/>
    <n v="11"/>
  </r>
  <r>
    <x v="0"/>
    <x v="0"/>
    <x v="0"/>
    <x v="8"/>
    <x v="10"/>
    <x v="11"/>
    <x v="6"/>
    <n v="48"/>
  </r>
  <r>
    <x v="0"/>
    <x v="0"/>
    <x v="0"/>
    <x v="8"/>
    <x v="10"/>
    <x v="11"/>
    <x v="10"/>
    <n v="29"/>
  </r>
  <r>
    <x v="0"/>
    <x v="0"/>
    <x v="0"/>
    <x v="8"/>
    <x v="10"/>
    <x v="11"/>
    <x v="1"/>
    <n v="15"/>
  </r>
  <r>
    <x v="0"/>
    <x v="0"/>
    <x v="0"/>
    <x v="8"/>
    <x v="10"/>
    <x v="6"/>
    <x v="7"/>
    <n v="20"/>
  </r>
  <r>
    <x v="0"/>
    <x v="0"/>
    <x v="0"/>
    <x v="8"/>
    <x v="10"/>
    <x v="6"/>
    <x v="6"/>
    <n v="31"/>
  </r>
  <r>
    <x v="0"/>
    <x v="0"/>
    <x v="0"/>
    <x v="8"/>
    <x v="10"/>
    <x v="6"/>
    <x v="10"/>
    <n v="33"/>
  </r>
  <r>
    <x v="0"/>
    <x v="0"/>
    <x v="0"/>
    <x v="8"/>
    <x v="10"/>
    <x v="9"/>
    <x v="7"/>
    <n v="9"/>
  </r>
  <r>
    <x v="0"/>
    <x v="0"/>
    <x v="0"/>
    <x v="8"/>
    <x v="10"/>
    <x v="9"/>
    <x v="6"/>
    <n v="32"/>
  </r>
  <r>
    <x v="0"/>
    <x v="0"/>
    <x v="0"/>
    <x v="8"/>
    <x v="10"/>
    <x v="9"/>
    <x v="10"/>
    <n v="24"/>
  </r>
  <r>
    <x v="0"/>
    <x v="0"/>
    <x v="0"/>
    <x v="8"/>
    <x v="10"/>
    <x v="12"/>
    <x v="7"/>
    <n v="1"/>
  </r>
  <r>
    <x v="0"/>
    <x v="0"/>
    <x v="0"/>
    <x v="8"/>
    <x v="10"/>
    <x v="12"/>
    <x v="6"/>
    <n v="17"/>
  </r>
  <r>
    <x v="0"/>
    <x v="0"/>
    <x v="0"/>
    <x v="8"/>
    <x v="10"/>
    <x v="7"/>
    <x v="1"/>
    <n v="23"/>
  </r>
  <r>
    <x v="0"/>
    <x v="0"/>
    <x v="0"/>
    <x v="8"/>
    <x v="10"/>
    <x v="7"/>
    <x v="12"/>
    <n v="20"/>
  </r>
  <r>
    <x v="0"/>
    <x v="0"/>
    <x v="0"/>
    <x v="8"/>
    <x v="10"/>
    <x v="7"/>
    <x v="9"/>
    <n v="32"/>
  </r>
  <r>
    <x v="0"/>
    <x v="0"/>
    <x v="0"/>
    <x v="8"/>
    <x v="10"/>
    <x v="7"/>
    <x v="0"/>
    <n v="1"/>
  </r>
  <r>
    <x v="0"/>
    <x v="0"/>
    <x v="0"/>
    <x v="8"/>
    <x v="10"/>
    <x v="1"/>
    <x v="6"/>
    <n v="1"/>
  </r>
  <r>
    <x v="0"/>
    <x v="0"/>
    <x v="0"/>
    <x v="8"/>
    <x v="10"/>
    <x v="8"/>
    <x v="10"/>
    <n v="1"/>
  </r>
  <r>
    <x v="0"/>
    <x v="0"/>
    <x v="0"/>
    <x v="8"/>
    <x v="10"/>
    <x v="8"/>
    <x v="1"/>
    <n v="8"/>
  </r>
  <r>
    <x v="0"/>
    <x v="0"/>
    <x v="0"/>
    <x v="8"/>
    <x v="10"/>
    <x v="8"/>
    <x v="12"/>
    <n v="22"/>
  </r>
  <r>
    <x v="0"/>
    <x v="0"/>
    <x v="0"/>
    <x v="8"/>
    <x v="10"/>
    <x v="8"/>
    <x v="0"/>
    <n v="2"/>
  </r>
  <r>
    <x v="0"/>
    <x v="0"/>
    <x v="0"/>
    <x v="8"/>
    <x v="10"/>
    <x v="0"/>
    <x v="11"/>
    <n v="9"/>
  </r>
  <r>
    <x v="0"/>
    <x v="0"/>
    <x v="0"/>
    <x v="8"/>
    <x v="10"/>
    <x v="0"/>
    <x v="14"/>
    <n v="6"/>
  </r>
  <r>
    <x v="0"/>
    <x v="0"/>
    <x v="0"/>
    <x v="8"/>
    <x v="11"/>
    <x v="4"/>
    <x v="4"/>
    <n v="1"/>
  </r>
  <r>
    <x v="0"/>
    <x v="0"/>
    <x v="0"/>
    <x v="8"/>
    <x v="11"/>
    <x v="5"/>
    <x v="12"/>
    <n v="1"/>
  </r>
  <r>
    <x v="0"/>
    <x v="0"/>
    <x v="0"/>
    <x v="8"/>
    <x v="11"/>
    <x v="5"/>
    <x v="2"/>
    <n v="1"/>
  </r>
  <r>
    <x v="0"/>
    <x v="0"/>
    <x v="0"/>
    <x v="8"/>
    <x v="11"/>
    <x v="11"/>
    <x v="12"/>
    <n v="2"/>
  </r>
  <r>
    <x v="0"/>
    <x v="0"/>
    <x v="0"/>
    <x v="8"/>
    <x v="11"/>
    <x v="11"/>
    <x v="9"/>
    <n v="1"/>
  </r>
  <r>
    <x v="0"/>
    <x v="0"/>
    <x v="0"/>
    <x v="8"/>
    <x v="11"/>
    <x v="6"/>
    <x v="4"/>
    <n v="1"/>
  </r>
  <r>
    <x v="0"/>
    <x v="0"/>
    <x v="0"/>
    <x v="8"/>
    <x v="11"/>
    <x v="9"/>
    <x v="1"/>
    <n v="4"/>
  </r>
  <r>
    <x v="0"/>
    <x v="0"/>
    <x v="0"/>
    <x v="8"/>
    <x v="11"/>
    <x v="9"/>
    <x v="12"/>
    <n v="2"/>
  </r>
  <r>
    <x v="0"/>
    <x v="0"/>
    <x v="0"/>
    <x v="8"/>
    <x v="11"/>
    <x v="9"/>
    <x v="3"/>
    <n v="1"/>
  </r>
  <r>
    <x v="0"/>
    <x v="0"/>
    <x v="0"/>
    <x v="8"/>
    <x v="11"/>
    <x v="12"/>
    <x v="1"/>
    <n v="3"/>
  </r>
  <r>
    <x v="0"/>
    <x v="0"/>
    <x v="0"/>
    <x v="8"/>
    <x v="11"/>
    <x v="12"/>
    <x v="12"/>
    <n v="1"/>
  </r>
  <r>
    <x v="0"/>
    <x v="0"/>
    <x v="0"/>
    <x v="8"/>
    <x v="11"/>
    <x v="12"/>
    <x v="9"/>
    <n v="1"/>
  </r>
  <r>
    <x v="0"/>
    <x v="0"/>
    <x v="0"/>
    <x v="8"/>
    <x v="11"/>
    <x v="7"/>
    <x v="6"/>
    <n v="16"/>
  </r>
  <r>
    <x v="0"/>
    <x v="0"/>
    <x v="0"/>
    <x v="8"/>
    <x v="11"/>
    <x v="1"/>
    <x v="10"/>
    <n v="11"/>
  </r>
  <r>
    <x v="0"/>
    <x v="0"/>
    <x v="0"/>
    <x v="8"/>
    <x v="11"/>
    <x v="1"/>
    <x v="1"/>
    <n v="3"/>
  </r>
  <r>
    <x v="0"/>
    <x v="0"/>
    <x v="0"/>
    <x v="8"/>
    <x v="11"/>
    <x v="1"/>
    <x v="12"/>
    <n v="2"/>
  </r>
  <r>
    <x v="0"/>
    <x v="0"/>
    <x v="0"/>
    <x v="8"/>
    <x v="11"/>
    <x v="0"/>
    <x v="10"/>
    <n v="17"/>
  </r>
  <r>
    <x v="0"/>
    <x v="0"/>
    <x v="0"/>
    <x v="8"/>
    <x v="11"/>
    <x v="0"/>
    <x v="1"/>
    <n v="6"/>
  </r>
  <r>
    <x v="0"/>
    <x v="0"/>
    <x v="0"/>
    <x v="10"/>
    <x v="16"/>
    <x v="2"/>
    <x v="6"/>
    <n v="4"/>
  </r>
  <r>
    <x v="0"/>
    <x v="0"/>
    <x v="0"/>
    <x v="10"/>
    <x v="16"/>
    <x v="2"/>
    <x v="10"/>
    <n v="3"/>
  </r>
  <r>
    <x v="0"/>
    <x v="0"/>
    <x v="0"/>
    <x v="10"/>
    <x v="16"/>
    <x v="10"/>
    <x v="7"/>
    <n v="3"/>
  </r>
  <r>
    <x v="0"/>
    <x v="0"/>
    <x v="0"/>
    <x v="10"/>
    <x v="16"/>
    <x v="10"/>
    <x v="6"/>
    <n v="8"/>
  </r>
  <r>
    <x v="0"/>
    <x v="0"/>
    <x v="0"/>
    <x v="10"/>
    <x v="16"/>
    <x v="10"/>
    <x v="10"/>
    <n v="6"/>
  </r>
  <r>
    <x v="0"/>
    <x v="0"/>
    <x v="0"/>
    <x v="10"/>
    <x v="16"/>
    <x v="3"/>
    <x v="7"/>
    <n v="5"/>
  </r>
  <r>
    <x v="0"/>
    <x v="0"/>
    <x v="0"/>
    <x v="10"/>
    <x v="16"/>
    <x v="3"/>
    <x v="6"/>
    <n v="16"/>
  </r>
  <r>
    <x v="0"/>
    <x v="0"/>
    <x v="0"/>
    <x v="10"/>
    <x v="16"/>
    <x v="3"/>
    <x v="10"/>
    <n v="9"/>
  </r>
  <r>
    <x v="0"/>
    <x v="0"/>
    <x v="0"/>
    <x v="10"/>
    <x v="16"/>
    <x v="4"/>
    <x v="7"/>
    <n v="22"/>
  </r>
  <r>
    <x v="0"/>
    <x v="0"/>
    <x v="0"/>
    <x v="10"/>
    <x v="16"/>
    <x v="4"/>
    <x v="6"/>
    <n v="28"/>
  </r>
  <r>
    <x v="0"/>
    <x v="0"/>
    <x v="0"/>
    <x v="10"/>
    <x v="16"/>
    <x v="5"/>
    <x v="7"/>
    <n v="54"/>
  </r>
  <r>
    <x v="0"/>
    <x v="0"/>
    <x v="0"/>
    <x v="10"/>
    <x v="16"/>
    <x v="5"/>
    <x v="6"/>
    <n v="18"/>
  </r>
  <r>
    <x v="0"/>
    <x v="0"/>
    <x v="0"/>
    <x v="10"/>
    <x v="16"/>
    <x v="11"/>
    <x v="7"/>
    <n v="35"/>
  </r>
  <r>
    <x v="0"/>
    <x v="0"/>
    <x v="0"/>
    <x v="10"/>
    <x v="16"/>
    <x v="6"/>
    <x v="7"/>
    <n v="9"/>
  </r>
  <r>
    <x v="0"/>
    <x v="0"/>
    <x v="0"/>
    <x v="10"/>
    <x v="16"/>
    <x v="7"/>
    <x v="6"/>
    <n v="2"/>
  </r>
  <r>
    <x v="0"/>
    <x v="0"/>
    <x v="0"/>
    <x v="10"/>
    <x v="16"/>
    <x v="7"/>
    <x v="10"/>
    <n v="1"/>
  </r>
  <r>
    <x v="0"/>
    <x v="0"/>
    <x v="0"/>
    <x v="10"/>
    <x v="16"/>
    <x v="1"/>
    <x v="3"/>
    <n v="1"/>
  </r>
  <r>
    <x v="0"/>
    <x v="0"/>
    <x v="0"/>
    <x v="10"/>
    <x v="3"/>
    <x v="8"/>
    <x v="12"/>
    <n v="1"/>
  </r>
  <r>
    <x v="0"/>
    <x v="0"/>
    <x v="0"/>
    <x v="11"/>
    <x v="0"/>
    <x v="3"/>
    <x v="8"/>
    <n v="5"/>
  </r>
  <r>
    <x v="0"/>
    <x v="0"/>
    <x v="0"/>
    <x v="11"/>
    <x v="0"/>
    <x v="3"/>
    <x v="7"/>
    <n v="1"/>
  </r>
  <r>
    <x v="0"/>
    <x v="0"/>
    <x v="0"/>
    <x v="11"/>
    <x v="0"/>
    <x v="4"/>
    <x v="8"/>
    <n v="13"/>
  </r>
  <r>
    <x v="0"/>
    <x v="0"/>
    <x v="0"/>
    <x v="11"/>
    <x v="0"/>
    <x v="4"/>
    <x v="7"/>
    <n v="9"/>
  </r>
  <r>
    <x v="0"/>
    <x v="0"/>
    <x v="0"/>
    <x v="11"/>
    <x v="0"/>
    <x v="5"/>
    <x v="8"/>
    <n v="31"/>
  </r>
  <r>
    <x v="0"/>
    <x v="0"/>
    <x v="0"/>
    <x v="11"/>
    <x v="0"/>
    <x v="5"/>
    <x v="7"/>
    <n v="16"/>
  </r>
  <r>
    <x v="0"/>
    <x v="0"/>
    <x v="0"/>
    <x v="11"/>
    <x v="0"/>
    <x v="11"/>
    <x v="8"/>
    <n v="70"/>
  </r>
  <r>
    <x v="0"/>
    <x v="0"/>
    <x v="0"/>
    <x v="11"/>
    <x v="0"/>
    <x v="6"/>
    <x v="15"/>
    <n v="2"/>
  </r>
  <r>
    <x v="0"/>
    <x v="0"/>
    <x v="0"/>
    <x v="11"/>
    <x v="0"/>
    <x v="6"/>
    <x v="8"/>
    <n v="96"/>
  </r>
  <r>
    <x v="0"/>
    <x v="0"/>
    <x v="0"/>
    <x v="11"/>
    <x v="0"/>
    <x v="6"/>
    <x v="4"/>
    <n v="1"/>
  </r>
  <r>
    <x v="0"/>
    <x v="0"/>
    <x v="0"/>
    <x v="11"/>
    <x v="0"/>
    <x v="9"/>
    <x v="8"/>
    <n v="75"/>
  </r>
  <r>
    <x v="0"/>
    <x v="0"/>
    <x v="0"/>
    <x v="11"/>
    <x v="0"/>
    <x v="9"/>
    <x v="3"/>
    <n v="1"/>
  </r>
  <r>
    <x v="0"/>
    <x v="0"/>
    <x v="0"/>
    <x v="11"/>
    <x v="0"/>
    <x v="9"/>
    <x v="4"/>
    <n v="2"/>
  </r>
  <r>
    <x v="0"/>
    <x v="0"/>
    <x v="0"/>
    <x v="11"/>
    <x v="0"/>
    <x v="12"/>
    <x v="8"/>
    <n v="57"/>
  </r>
  <r>
    <x v="0"/>
    <x v="0"/>
    <x v="0"/>
    <x v="11"/>
    <x v="0"/>
    <x v="12"/>
    <x v="9"/>
    <n v="1"/>
  </r>
  <r>
    <x v="0"/>
    <x v="0"/>
    <x v="0"/>
    <x v="11"/>
    <x v="0"/>
    <x v="7"/>
    <x v="6"/>
    <n v="16"/>
  </r>
  <r>
    <x v="0"/>
    <x v="0"/>
    <x v="0"/>
    <x v="11"/>
    <x v="0"/>
    <x v="1"/>
    <x v="9"/>
    <n v="2"/>
  </r>
  <r>
    <x v="0"/>
    <x v="0"/>
    <x v="0"/>
    <x v="11"/>
    <x v="0"/>
    <x v="0"/>
    <x v="12"/>
    <n v="8"/>
  </r>
  <r>
    <x v="0"/>
    <x v="0"/>
    <x v="0"/>
    <x v="11"/>
    <x v="0"/>
    <x v="0"/>
    <x v="9"/>
    <n v="9"/>
  </r>
  <r>
    <x v="0"/>
    <x v="0"/>
    <x v="0"/>
    <x v="11"/>
    <x v="0"/>
    <x v="0"/>
    <x v="3"/>
    <n v="6"/>
  </r>
  <r>
    <x v="0"/>
    <x v="0"/>
    <x v="0"/>
    <x v="5"/>
    <x v="10"/>
    <x v="5"/>
    <x v="1"/>
    <n v="1"/>
  </r>
  <r>
    <x v="0"/>
    <x v="0"/>
    <x v="0"/>
    <x v="5"/>
    <x v="10"/>
    <x v="11"/>
    <x v="6"/>
    <n v="32"/>
  </r>
  <r>
    <x v="0"/>
    <x v="0"/>
    <x v="0"/>
    <x v="5"/>
    <x v="10"/>
    <x v="11"/>
    <x v="10"/>
    <n v="10"/>
  </r>
  <r>
    <x v="0"/>
    <x v="0"/>
    <x v="0"/>
    <x v="5"/>
    <x v="10"/>
    <x v="11"/>
    <x v="1"/>
    <n v="2"/>
  </r>
  <r>
    <x v="0"/>
    <x v="0"/>
    <x v="0"/>
    <x v="5"/>
    <x v="10"/>
    <x v="6"/>
    <x v="6"/>
    <n v="49"/>
  </r>
  <r>
    <x v="0"/>
    <x v="0"/>
    <x v="0"/>
    <x v="5"/>
    <x v="10"/>
    <x v="6"/>
    <x v="10"/>
    <n v="9"/>
  </r>
  <r>
    <x v="0"/>
    <x v="0"/>
    <x v="0"/>
    <x v="5"/>
    <x v="10"/>
    <x v="6"/>
    <x v="1"/>
    <n v="3"/>
  </r>
  <r>
    <x v="0"/>
    <x v="0"/>
    <x v="0"/>
    <x v="5"/>
    <x v="10"/>
    <x v="9"/>
    <x v="6"/>
    <n v="27"/>
  </r>
  <r>
    <x v="0"/>
    <x v="0"/>
    <x v="0"/>
    <x v="5"/>
    <x v="10"/>
    <x v="9"/>
    <x v="10"/>
    <n v="12"/>
  </r>
  <r>
    <x v="0"/>
    <x v="0"/>
    <x v="0"/>
    <x v="5"/>
    <x v="10"/>
    <x v="9"/>
    <x v="1"/>
    <n v="6"/>
  </r>
  <r>
    <x v="0"/>
    <x v="0"/>
    <x v="0"/>
    <x v="5"/>
    <x v="10"/>
    <x v="12"/>
    <x v="6"/>
    <n v="6"/>
  </r>
  <r>
    <x v="0"/>
    <x v="0"/>
    <x v="0"/>
    <x v="5"/>
    <x v="10"/>
    <x v="12"/>
    <x v="10"/>
    <n v="29"/>
  </r>
  <r>
    <x v="0"/>
    <x v="0"/>
    <x v="0"/>
    <x v="5"/>
    <x v="10"/>
    <x v="1"/>
    <x v="10"/>
    <n v="7"/>
  </r>
  <r>
    <x v="0"/>
    <x v="0"/>
    <x v="0"/>
    <x v="5"/>
    <x v="10"/>
    <x v="1"/>
    <x v="9"/>
    <n v="1"/>
  </r>
  <r>
    <x v="0"/>
    <x v="0"/>
    <x v="0"/>
    <x v="5"/>
    <x v="10"/>
    <x v="0"/>
    <x v="12"/>
    <n v="1"/>
  </r>
  <r>
    <x v="0"/>
    <x v="0"/>
    <x v="0"/>
    <x v="5"/>
    <x v="10"/>
    <x v="0"/>
    <x v="0"/>
    <n v="1"/>
  </r>
  <r>
    <x v="0"/>
    <x v="0"/>
    <x v="0"/>
    <x v="5"/>
    <x v="11"/>
    <x v="7"/>
    <x v="6"/>
    <n v="1"/>
  </r>
  <r>
    <x v="0"/>
    <x v="0"/>
    <x v="0"/>
    <x v="7"/>
    <x v="12"/>
    <x v="0"/>
    <x v="12"/>
    <n v="8"/>
  </r>
  <r>
    <x v="0"/>
    <x v="0"/>
    <x v="0"/>
    <x v="7"/>
    <x v="12"/>
    <x v="0"/>
    <x v="9"/>
    <n v="7"/>
  </r>
  <r>
    <x v="0"/>
    <x v="0"/>
    <x v="0"/>
    <x v="7"/>
    <x v="12"/>
    <x v="0"/>
    <x v="3"/>
    <n v="1"/>
  </r>
  <r>
    <x v="0"/>
    <x v="0"/>
    <x v="0"/>
    <x v="7"/>
    <x v="13"/>
    <x v="7"/>
    <x v="6"/>
    <n v="7"/>
  </r>
  <r>
    <x v="0"/>
    <x v="0"/>
    <x v="0"/>
    <x v="7"/>
    <x v="13"/>
    <x v="7"/>
    <x v="10"/>
    <n v="3"/>
  </r>
  <r>
    <x v="0"/>
    <x v="0"/>
    <x v="0"/>
    <x v="7"/>
    <x v="13"/>
    <x v="7"/>
    <x v="1"/>
    <n v="3"/>
  </r>
  <r>
    <x v="0"/>
    <x v="0"/>
    <x v="0"/>
    <x v="7"/>
    <x v="13"/>
    <x v="8"/>
    <x v="6"/>
    <n v="1"/>
  </r>
  <r>
    <x v="0"/>
    <x v="0"/>
    <x v="0"/>
    <x v="7"/>
    <x v="13"/>
    <x v="8"/>
    <x v="10"/>
    <n v="6"/>
  </r>
  <r>
    <x v="0"/>
    <x v="0"/>
    <x v="0"/>
    <x v="8"/>
    <x v="13"/>
    <x v="4"/>
    <x v="9"/>
    <n v="2"/>
  </r>
  <r>
    <x v="0"/>
    <x v="0"/>
    <x v="0"/>
    <x v="8"/>
    <x v="14"/>
    <x v="8"/>
    <x v="7"/>
    <n v="1"/>
  </r>
  <r>
    <x v="0"/>
    <x v="0"/>
    <x v="0"/>
    <x v="8"/>
    <x v="10"/>
    <x v="13"/>
    <x v="10"/>
    <n v="2"/>
  </r>
  <r>
    <x v="0"/>
    <x v="0"/>
    <x v="0"/>
    <x v="8"/>
    <x v="10"/>
    <x v="2"/>
    <x v="15"/>
    <n v="32"/>
  </r>
  <r>
    <x v="0"/>
    <x v="0"/>
    <x v="0"/>
    <x v="8"/>
    <x v="10"/>
    <x v="10"/>
    <x v="15"/>
    <n v="33"/>
  </r>
  <r>
    <x v="0"/>
    <x v="0"/>
    <x v="0"/>
    <x v="8"/>
    <x v="10"/>
    <x v="3"/>
    <x v="15"/>
    <n v="17"/>
  </r>
  <r>
    <x v="0"/>
    <x v="0"/>
    <x v="0"/>
    <x v="8"/>
    <x v="10"/>
    <x v="4"/>
    <x v="15"/>
    <n v="3"/>
  </r>
  <r>
    <x v="0"/>
    <x v="0"/>
    <x v="0"/>
    <x v="8"/>
    <x v="10"/>
    <x v="4"/>
    <x v="11"/>
    <n v="1"/>
  </r>
  <r>
    <x v="0"/>
    <x v="0"/>
    <x v="0"/>
    <x v="8"/>
    <x v="10"/>
    <x v="11"/>
    <x v="2"/>
    <n v="1"/>
  </r>
  <r>
    <x v="0"/>
    <x v="0"/>
    <x v="0"/>
    <x v="8"/>
    <x v="10"/>
    <x v="11"/>
    <x v="13"/>
    <n v="3"/>
  </r>
  <r>
    <x v="0"/>
    <x v="0"/>
    <x v="0"/>
    <x v="8"/>
    <x v="10"/>
    <x v="6"/>
    <x v="1"/>
    <n v="24"/>
  </r>
  <r>
    <x v="0"/>
    <x v="0"/>
    <x v="0"/>
    <x v="8"/>
    <x v="10"/>
    <x v="6"/>
    <x v="5"/>
    <n v="7"/>
  </r>
  <r>
    <x v="0"/>
    <x v="0"/>
    <x v="0"/>
    <x v="8"/>
    <x v="10"/>
    <x v="6"/>
    <x v="2"/>
    <n v="2"/>
  </r>
  <r>
    <x v="0"/>
    <x v="0"/>
    <x v="0"/>
    <x v="8"/>
    <x v="10"/>
    <x v="6"/>
    <x v="13"/>
    <n v="2"/>
  </r>
  <r>
    <x v="0"/>
    <x v="0"/>
    <x v="0"/>
    <x v="8"/>
    <x v="10"/>
    <x v="6"/>
    <x v="11"/>
    <n v="2"/>
  </r>
  <r>
    <x v="0"/>
    <x v="0"/>
    <x v="0"/>
    <x v="8"/>
    <x v="10"/>
    <x v="9"/>
    <x v="4"/>
    <n v="6"/>
  </r>
  <r>
    <x v="0"/>
    <x v="0"/>
    <x v="0"/>
    <x v="8"/>
    <x v="10"/>
    <x v="9"/>
    <x v="5"/>
    <n v="1"/>
  </r>
  <r>
    <x v="0"/>
    <x v="0"/>
    <x v="0"/>
    <x v="8"/>
    <x v="10"/>
    <x v="9"/>
    <x v="2"/>
    <n v="2"/>
  </r>
  <r>
    <x v="0"/>
    <x v="0"/>
    <x v="0"/>
    <x v="8"/>
    <x v="10"/>
    <x v="9"/>
    <x v="11"/>
    <n v="2"/>
  </r>
  <r>
    <x v="0"/>
    <x v="0"/>
    <x v="0"/>
    <x v="8"/>
    <x v="10"/>
    <x v="9"/>
    <x v="14"/>
    <n v="1"/>
  </r>
  <r>
    <x v="0"/>
    <x v="0"/>
    <x v="0"/>
    <x v="8"/>
    <x v="10"/>
    <x v="12"/>
    <x v="10"/>
    <n v="22"/>
  </r>
  <r>
    <x v="0"/>
    <x v="0"/>
    <x v="0"/>
    <x v="8"/>
    <x v="10"/>
    <x v="12"/>
    <x v="3"/>
    <n v="9"/>
  </r>
  <r>
    <x v="0"/>
    <x v="0"/>
    <x v="0"/>
    <x v="8"/>
    <x v="10"/>
    <x v="12"/>
    <x v="4"/>
    <n v="5"/>
  </r>
  <r>
    <x v="0"/>
    <x v="0"/>
    <x v="0"/>
    <x v="8"/>
    <x v="10"/>
    <x v="12"/>
    <x v="5"/>
    <n v="2"/>
  </r>
  <r>
    <x v="0"/>
    <x v="0"/>
    <x v="0"/>
    <x v="8"/>
    <x v="10"/>
    <x v="12"/>
    <x v="2"/>
    <n v="1"/>
  </r>
  <r>
    <x v="0"/>
    <x v="0"/>
    <x v="0"/>
    <x v="8"/>
    <x v="10"/>
    <x v="12"/>
    <x v="13"/>
    <n v="2"/>
  </r>
  <r>
    <x v="0"/>
    <x v="0"/>
    <x v="0"/>
    <x v="8"/>
    <x v="10"/>
    <x v="12"/>
    <x v="11"/>
    <n v="1"/>
  </r>
  <r>
    <x v="0"/>
    <x v="0"/>
    <x v="0"/>
    <x v="8"/>
    <x v="10"/>
    <x v="12"/>
    <x v="14"/>
    <n v="1"/>
  </r>
  <r>
    <x v="0"/>
    <x v="0"/>
    <x v="0"/>
    <x v="8"/>
    <x v="10"/>
    <x v="1"/>
    <x v="9"/>
    <n v="20"/>
  </r>
  <r>
    <x v="0"/>
    <x v="0"/>
    <x v="0"/>
    <x v="8"/>
    <x v="10"/>
    <x v="1"/>
    <x v="3"/>
    <n v="14"/>
  </r>
  <r>
    <x v="0"/>
    <x v="0"/>
    <x v="0"/>
    <x v="8"/>
    <x v="10"/>
    <x v="1"/>
    <x v="4"/>
    <n v="8"/>
  </r>
  <r>
    <x v="0"/>
    <x v="0"/>
    <x v="0"/>
    <x v="8"/>
    <x v="10"/>
    <x v="1"/>
    <x v="5"/>
    <n v="2"/>
  </r>
  <r>
    <x v="0"/>
    <x v="0"/>
    <x v="0"/>
    <x v="8"/>
    <x v="10"/>
    <x v="1"/>
    <x v="2"/>
    <n v="5"/>
  </r>
  <r>
    <x v="0"/>
    <x v="0"/>
    <x v="0"/>
    <x v="8"/>
    <x v="10"/>
    <x v="1"/>
    <x v="11"/>
    <n v="1"/>
  </r>
  <r>
    <x v="0"/>
    <x v="0"/>
    <x v="0"/>
    <x v="8"/>
    <x v="10"/>
    <x v="0"/>
    <x v="12"/>
    <n v="16"/>
  </r>
  <r>
    <x v="0"/>
    <x v="0"/>
    <x v="0"/>
    <x v="8"/>
    <x v="10"/>
    <x v="0"/>
    <x v="9"/>
    <n v="50"/>
  </r>
  <r>
    <x v="0"/>
    <x v="0"/>
    <x v="0"/>
    <x v="8"/>
    <x v="10"/>
    <x v="0"/>
    <x v="3"/>
    <n v="68"/>
  </r>
  <r>
    <x v="0"/>
    <x v="0"/>
    <x v="0"/>
    <x v="8"/>
    <x v="10"/>
    <x v="0"/>
    <x v="4"/>
    <n v="76"/>
  </r>
  <r>
    <x v="0"/>
    <x v="0"/>
    <x v="0"/>
    <x v="8"/>
    <x v="10"/>
    <x v="0"/>
    <x v="5"/>
    <n v="85"/>
  </r>
  <r>
    <x v="0"/>
    <x v="0"/>
    <x v="0"/>
    <x v="8"/>
    <x v="10"/>
    <x v="0"/>
    <x v="2"/>
    <n v="58"/>
  </r>
  <r>
    <x v="0"/>
    <x v="0"/>
    <x v="0"/>
    <x v="8"/>
    <x v="10"/>
    <x v="0"/>
    <x v="13"/>
    <n v="22"/>
  </r>
  <r>
    <x v="0"/>
    <x v="0"/>
    <x v="0"/>
    <x v="8"/>
    <x v="11"/>
    <x v="5"/>
    <x v="7"/>
    <n v="4"/>
  </r>
  <r>
    <x v="0"/>
    <x v="0"/>
    <x v="0"/>
    <x v="8"/>
    <x v="11"/>
    <x v="11"/>
    <x v="7"/>
    <n v="15"/>
  </r>
  <r>
    <x v="0"/>
    <x v="0"/>
    <x v="0"/>
    <x v="8"/>
    <x v="11"/>
    <x v="7"/>
    <x v="9"/>
    <n v="1"/>
  </r>
  <r>
    <x v="0"/>
    <x v="0"/>
    <x v="0"/>
    <x v="8"/>
    <x v="11"/>
    <x v="7"/>
    <x v="3"/>
    <n v="2"/>
  </r>
  <r>
    <x v="0"/>
    <x v="0"/>
    <x v="0"/>
    <x v="8"/>
    <x v="11"/>
    <x v="7"/>
    <x v="4"/>
    <n v="1"/>
  </r>
  <r>
    <x v="0"/>
    <x v="0"/>
    <x v="0"/>
    <x v="8"/>
    <x v="11"/>
    <x v="7"/>
    <x v="5"/>
    <n v="1"/>
  </r>
  <r>
    <x v="0"/>
    <x v="0"/>
    <x v="0"/>
    <x v="8"/>
    <x v="11"/>
    <x v="7"/>
    <x v="2"/>
    <n v="1"/>
  </r>
  <r>
    <x v="0"/>
    <x v="0"/>
    <x v="0"/>
    <x v="8"/>
    <x v="11"/>
    <x v="7"/>
    <x v="13"/>
    <n v="1"/>
  </r>
  <r>
    <x v="0"/>
    <x v="0"/>
    <x v="0"/>
    <x v="8"/>
    <x v="11"/>
    <x v="8"/>
    <x v="6"/>
    <n v="6"/>
  </r>
  <r>
    <x v="0"/>
    <x v="0"/>
    <x v="0"/>
    <x v="8"/>
    <x v="11"/>
    <x v="8"/>
    <x v="12"/>
    <n v="1"/>
  </r>
  <r>
    <x v="0"/>
    <x v="0"/>
    <x v="0"/>
    <x v="8"/>
    <x v="11"/>
    <x v="8"/>
    <x v="9"/>
    <n v="1"/>
  </r>
  <r>
    <x v="0"/>
    <x v="0"/>
    <x v="0"/>
    <x v="10"/>
    <x v="16"/>
    <x v="4"/>
    <x v="8"/>
    <n v="12"/>
  </r>
  <r>
    <x v="0"/>
    <x v="0"/>
    <x v="0"/>
    <x v="10"/>
    <x v="16"/>
    <x v="12"/>
    <x v="1"/>
    <n v="1"/>
  </r>
  <r>
    <x v="0"/>
    <x v="0"/>
    <x v="0"/>
    <x v="10"/>
    <x v="16"/>
    <x v="7"/>
    <x v="12"/>
    <n v="3"/>
  </r>
  <r>
    <x v="0"/>
    <x v="0"/>
    <x v="0"/>
    <x v="11"/>
    <x v="8"/>
    <x v="11"/>
    <x v="7"/>
    <n v="271"/>
  </r>
  <r>
    <x v="0"/>
    <x v="0"/>
    <x v="0"/>
    <x v="11"/>
    <x v="8"/>
    <x v="11"/>
    <x v="6"/>
    <n v="41"/>
  </r>
  <r>
    <x v="0"/>
    <x v="0"/>
    <x v="0"/>
    <x v="11"/>
    <x v="8"/>
    <x v="6"/>
    <x v="8"/>
    <n v="156"/>
  </r>
  <r>
    <x v="0"/>
    <x v="0"/>
    <x v="0"/>
    <x v="11"/>
    <x v="8"/>
    <x v="6"/>
    <x v="7"/>
    <n v="470"/>
  </r>
  <r>
    <x v="0"/>
    <x v="0"/>
    <x v="0"/>
    <x v="11"/>
    <x v="8"/>
    <x v="6"/>
    <x v="6"/>
    <n v="37"/>
  </r>
  <r>
    <x v="0"/>
    <x v="0"/>
    <x v="0"/>
    <x v="11"/>
    <x v="8"/>
    <x v="9"/>
    <x v="8"/>
    <n v="10"/>
  </r>
  <r>
    <x v="0"/>
    <x v="0"/>
    <x v="0"/>
    <x v="11"/>
    <x v="8"/>
    <x v="9"/>
    <x v="7"/>
    <n v="237"/>
  </r>
  <r>
    <x v="0"/>
    <x v="0"/>
    <x v="0"/>
    <x v="11"/>
    <x v="8"/>
    <x v="12"/>
    <x v="7"/>
    <n v="127"/>
  </r>
  <r>
    <x v="0"/>
    <x v="0"/>
    <x v="0"/>
    <x v="11"/>
    <x v="8"/>
    <x v="7"/>
    <x v="2"/>
    <n v="1"/>
  </r>
  <r>
    <x v="0"/>
    <x v="0"/>
    <x v="0"/>
    <x v="11"/>
    <x v="8"/>
    <x v="8"/>
    <x v="1"/>
    <n v="2"/>
  </r>
  <r>
    <x v="0"/>
    <x v="0"/>
    <x v="0"/>
    <x v="11"/>
    <x v="7"/>
    <x v="7"/>
    <x v="5"/>
    <n v="1"/>
  </r>
  <r>
    <x v="0"/>
    <x v="0"/>
    <x v="0"/>
    <x v="11"/>
    <x v="7"/>
    <x v="8"/>
    <x v="3"/>
    <n v="1"/>
  </r>
  <r>
    <x v="0"/>
    <x v="0"/>
    <x v="0"/>
    <x v="11"/>
    <x v="18"/>
    <x v="0"/>
    <x v="12"/>
    <n v="3"/>
  </r>
  <r>
    <x v="0"/>
    <x v="0"/>
    <x v="0"/>
    <x v="11"/>
    <x v="18"/>
    <x v="0"/>
    <x v="9"/>
    <n v="1"/>
  </r>
  <r>
    <x v="0"/>
    <x v="0"/>
    <x v="0"/>
    <x v="11"/>
    <x v="18"/>
    <x v="0"/>
    <x v="3"/>
    <n v="1"/>
  </r>
  <r>
    <x v="0"/>
    <x v="0"/>
    <x v="0"/>
    <x v="11"/>
    <x v="18"/>
    <x v="0"/>
    <x v="4"/>
    <n v="1"/>
  </r>
  <r>
    <x v="0"/>
    <x v="0"/>
    <x v="0"/>
    <x v="12"/>
    <x v="12"/>
    <x v="5"/>
    <x v="8"/>
    <n v="2"/>
  </r>
  <r>
    <x v="0"/>
    <x v="0"/>
    <x v="0"/>
    <x v="12"/>
    <x v="12"/>
    <x v="12"/>
    <x v="2"/>
    <n v="1"/>
  </r>
  <r>
    <x v="0"/>
    <x v="0"/>
    <x v="0"/>
    <x v="12"/>
    <x v="12"/>
    <x v="0"/>
    <x v="1"/>
    <n v="1"/>
  </r>
  <r>
    <x v="0"/>
    <x v="0"/>
    <x v="0"/>
    <x v="12"/>
    <x v="1"/>
    <x v="2"/>
    <x v="4"/>
    <n v="2"/>
  </r>
  <r>
    <x v="0"/>
    <x v="0"/>
    <x v="0"/>
    <x v="12"/>
    <x v="1"/>
    <x v="10"/>
    <x v="4"/>
    <n v="1"/>
  </r>
  <r>
    <x v="0"/>
    <x v="0"/>
    <x v="0"/>
    <x v="12"/>
    <x v="1"/>
    <x v="10"/>
    <x v="5"/>
    <n v="1"/>
  </r>
  <r>
    <x v="0"/>
    <x v="0"/>
    <x v="0"/>
    <x v="12"/>
    <x v="6"/>
    <x v="2"/>
    <x v="6"/>
    <n v="1"/>
  </r>
  <r>
    <x v="0"/>
    <x v="0"/>
    <x v="0"/>
    <x v="12"/>
    <x v="6"/>
    <x v="10"/>
    <x v="6"/>
    <n v="4"/>
  </r>
  <r>
    <x v="0"/>
    <x v="0"/>
    <x v="0"/>
    <x v="12"/>
    <x v="6"/>
    <x v="3"/>
    <x v="6"/>
    <n v="2"/>
  </r>
  <r>
    <x v="0"/>
    <x v="0"/>
    <x v="0"/>
    <x v="12"/>
    <x v="6"/>
    <x v="8"/>
    <x v="9"/>
    <n v="1"/>
  </r>
  <r>
    <x v="0"/>
    <x v="0"/>
    <x v="0"/>
    <x v="12"/>
    <x v="6"/>
    <x v="8"/>
    <x v="4"/>
    <n v="1"/>
  </r>
  <r>
    <x v="0"/>
    <x v="0"/>
    <x v="0"/>
    <x v="13"/>
    <x v="17"/>
    <x v="2"/>
    <x v="7"/>
    <n v="1"/>
  </r>
  <r>
    <x v="0"/>
    <x v="0"/>
    <x v="0"/>
    <x v="13"/>
    <x v="17"/>
    <x v="3"/>
    <x v="15"/>
    <n v="109"/>
  </r>
  <r>
    <x v="0"/>
    <x v="0"/>
    <x v="0"/>
    <x v="13"/>
    <x v="17"/>
    <x v="3"/>
    <x v="8"/>
    <n v="3"/>
  </r>
  <r>
    <x v="0"/>
    <x v="0"/>
    <x v="0"/>
    <x v="13"/>
    <x v="17"/>
    <x v="4"/>
    <x v="15"/>
    <n v="104"/>
  </r>
  <r>
    <x v="0"/>
    <x v="0"/>
    <x v="0"/>
    <x v="13"/>
    <x v="17"/>
    <x v="4"/>
    <x v="8"/>
    <n v="1"/>
  </r>
  <r>
    <x v="0"/>
    <x v="0"/>
    <x v="0"/>
    <x v="13"/>
    <x v="17"/>
    <x v="5"/>
    <x v="15"/>
    <n v="57"/>
  </r>
  <r>
    <x v="0"/>
    <x v="0"/>
    <x v="0"/>
    <x v="13"/>
    <x v="17"/>
    <x v="5"/>
    <x v="8"/>
    <n v="17"/>
  </r>
  <r>
    <x v="0"/>
    <x v="0"/>
    <x v="0"/>
    <x v="13"/>
    <x v="17"/>
    <x v="12"/>
    <x v="11"/>
    <n v="1"/>
  </r>
  <r>
    <x v="0"/>
    <x v="0"/>
    <x v="0"/>
    <x v="13"/>
    <x v="17"/>
    <x v="7"/>
    <x v="3"/>
    <n v="1"/>
  </r>
  <r>
    <x v="0"/>
    <x v="0"/>
    <x v="0"/>
    <x v="13"/>
    <x v="17"/>
    <x v="7"/>
    <x v="4"/>
    <n v="2"/>
  </r>
  <r>
    <x v="0"/>
    <x v="0"/>
    <x v="0"/>
    <x v="13"/>
    <x v="17"/>
    <x v="1"/>
    <x v="13"/>
    <n v="1"/>
  </r>
  <r>
    <x v="0"/>
    <x v="0"/>
    <x v="0"/>
    <x v="13"/>
    <x v="17"/>
    <x v="8"/>
    <x v="12"/>
    <n v="1"/>
  </r>
  <r>
    <x v="0"/>
    <x v="0"/>
    <x v="0"/>
    <x v="14"/>
    <x v="4"/>
    <x v="8"/>
    <x v="1"/>
    <n v="2"/>
  </r>
  <r>
    <x v="0"/>
    <x v="0"/>
    <x v="0"/>
    <x v="14"/>
    <x v="16"/>
    <x v="2"/>
    <x v="10"/>
    <n v="2"/>
  </r>
  <r>
    <x v="0"/>
    <x v="0"/>
    <x v="0"/>
    <x v="14"/>
    <x v="16"/>
    <x v="2"/>
    <x v="12"/>
    <n v="1"/>
  </r>
  <r>
    <x v="0"/>
    <x v="0"/>
    <x v="0"/>
    <x v="14"/>
    <x v="16"/>
    <x v="10"/>
    <x v="6"/>
    <n v="12"/>
  </r>
  <r>
    <x v="0"/>
    <x v="0"/>
    <x v="0"/>
    <x v="14"/>
    <x v="16"/>
    <x v="10"/>
    <x v="9"/>
    <n v="1"/>
  </r>
  <r>
    <x v="0"/>
    <x v="0"/>
    <x v="0"/>
    <x v="14"/>
    <x v="16"/>
    <x v="10"/>
    <x v="3"/>
    <n v="2"/>
  </r>
  <r>
    <x v="0"/>
    <x v="0"/>
    <x v="0"/>
    <x v="14"/>
    <x v="16"/>
    <x v="3"/>
    <x v="6"/>
    <n v="17"/>
  </r>
  <r>
    <x v="0"/>
    <x v="0"/>
    <x v="0"/>
    <x v="14"/>
    <x v="16"/>
    <x v="3"/>
    <x v="12"/>
    <n v="3"/>
  </r>
  <r>
    <x v="0"/>
    <x v="0"/>
    <x v="0"/>
    <x v="14"/>
    <x v="16"/>
    <x v="3"/>
    <x v="9"/>
    <n v="1"/>
  </r>
  <r>
    <x v="0"/>
    <x v="0"/>
    <x v="0"/>
    <x v="14"/>
    <x v="16"/>
    <x v="3"/>
    <x v="3"/>
    <n v="2"/>
  </r>
  <r>
    <x v="0"/>
    <x v="0"/>
    <x v="0"/>
    <x v="14"/>
    <x v="16"/>
    <x v="4"/>
    <x v="7"/>
    <n v="30"/>
  </r>
  <r>
    <x v="0"/>
    <x v="0"/>
    <x v="0"/>
    <x v="14"/>
    <x v="16"/>
    <x v="4"/>
    <x v="4"/>
    <n v="1"/>
  </r>
  <r>
    <x v="0"/>
    <x v="0"/>
    <x v="0"/>
    <x v="14"/>
    <x v="16"/>
    <x v="5"/>
    <x v="7"/>
    <n v="27"/>
  </r>
  <r>
    <x v="0"/>
    <x v="0"/>
    <x v="0"/>
    <x v="14"/>
    <x v="16"/>
    <x v="5"/>
    <x v="12"/>
    <n v="1"/>
  </r>
  <r>
    <x v="0"/>
    <x v="0"/>
    <x v="0"/>
    <x v="14"/>
    <x v="16"/>
    <x v="5"/>
    <x v="3"/>
    <n v="1"/>
  </r>
  <r>
    <x v="0"/>
    <x v="0"/>
    <x v="0"/>
    <x v="14"/>
    <x v="16"/>
    <x v="11"/>
    <x v="12"/>
    <n v="1"/>
  </r>
  <r>
    <x v="0"/>
    <x v="0"/>
    <x v="0"/>
    <x v="14"/>
    <x v="16"/>
    <x v="9"/>
    <x v="8"/>
    <n v="3"/>
  </r>
  <r>
    <x v="0"/>
    <x v="0"/>
    <x v="0"/>
    <x v="14"/>
    <x v="16"/>
    <x v="7"/>
    <x v="6"/>
    <n v="1"/>
  </r>
  <r>
    <x v="0"/>
    <x v="0"/>
    <x v="0"/>
    <x v="14"/>
    <x v="16"/>
    <x v="7"/>
    <x v="10"/>
    <n v="1"/>
  </r>
  <r>
    <x v="0"/>
    <x v="0"/>
    <x v="0"/>
    <x v="14"/>
    <x v="16"/>
    <x v="7"/>
    <x v="1"/>
    <n v="1"/>
  </r>
  <r>
    <x v="0"/>
    <x v="0"/>
    <x v="0"/>
    <x v="14"/>
    <x v="18"/>
    <x v="0"/>
    <x v="12"/>
    <n v="2"/>
  </r>
  <r>
    <x v="0"/>
    <x v="0"/>
    <x v="0"/>
    <x v="15"/>
    <x v="1"/>
    <x v="11"/>
    <x v="10"/>
    <n v="3"/>
  </r>
  <r>
    <x v="0"/>
    <x v="0"/>
    <x v="0"/>
    <x v="15"/>
    <x v="1"/>
    <x v="11"/>
    <x v="1"/>
    <n v="1"/>
  </r>
  <r>
    <x v="0"/>
    <x v="0"/>
    <x v="0"/>
    <x v="15"/>
    <x v="1"/>
    <x v="6"/>
    <x v="6"/>
    <n v="14"/>
  </r>
  <r>
    <x v="0"/>
    <x v="0"/>
    <x v="0"/>
    <x v="15"/>
    <x v="1"/>
    <x v="6"/>
    <x v="10"/>
    <n v="10"/>
  </r>
  <r>
    <x v="0"/>
    <x v="0"/>
    <x v="0"/>
    <x v="15"/>
    <x v="1"/>
    <x v="6"/>
    <x v="1"/>
    <n v="4"/>
  </r>
  <r>
    <x v="0"/>
    <x v="0"/>
    <x v="0"/>
    <x v="15"/>
    <x v="1"/>
    <x v="9"/>
    <x v="6"/>
    <n v="5"/>
  </r>
  <r>
    <x v="0"/>
    <x v="0"/>
    <x v="0"/>
    <x v="15"/>
    <x v="1"/>
    <x v="9"/>
    <x v="10"/>
    <n v="22"/>
  </r>
  <r>
    <x v="0"/>
    <x v="0"/>
    <x v="0"/>
    <x v="15"/>
    <x v="1"/>
    <x v="12"/>
    <x v="10"/>
    <n v="24"/>
  </r>
  <r>
    <x v="0"/>
    <x v="0"/>
    <x v="0"/>
    <x v="15"/>
    <x v="1"/>
    <x v="12"/>
    <x v="3"/>
    <n v="2"/>
  </r>
  <r>
    <x v="0"/>
    <x v="0"/>
    <x v="0"/>
    <x v="15"/>
    <x v="1"/>
    <x v="0"/>
    <x v="12"/>
    <n v="7"/>
  </r>
  <r>
    <x v="0"/>
    <x v="0"/>
    <x v="0"/>
    <x v="15"/>
    <x v="17"/>
    <x v="7"/>
    <x v="5"/>
    <n v="1"/>
  </r>
  <r>
    <x v="0"/>
    <x v="0"/>
    <x v="0"/>
    <x v="16"/>
    <x v="19"/>
    <x v="9"/>
    <x v="5"/>
    <n v="2"/>
  </r>
  <r>
    <x v="0"/>
    <x v="0"/>
    <x v="0"/>
    <x v="16"/>
    <x v="19"/>
    <x v="12"/>
    <x v="2"/>
    <n v="1"/>
  </r>
  <r>
    <x v="0"/>
    <x v="0"/>
    <x v="0"/>
    <x v="16"/>
    <x v="19"/>
    <x v="1"/>
    <x v="5"/>
    <n v="1"/>
  </r>
  <r>
    <x v="0"/>
    <x v="0"/>
    <x v="0"/>
    <x v="16"/>
    <x v="19"/>
    <x v="0"/>
    <x v="1"/>
    <n v="1"/>
  </r>
  <r>
    <x v="0"/>
    <x v="0"/>
    <x v="0"/>
    <x v="16"/>
    <x v="19"/>
    <x v="0"/>
    <x v="9"/>
    <n v="5"/>
  </r>
  <r>
    <x v="0"/>
    <x v="0"/>
    <x v="0"/>
    <x v="16"/>
    <x v="19"/>
    <x v="0"/>
    <x v="3"/>
    <n v="4"/>
  </r>
  <r>
    <x v="0"/>
    <x v="0"/>
    <x v="0"/>
    <x v="16"/>
    <x v="19"/>
    <x v="0"/>
    <x v="4"/>
    <n v="7"/>
  </r>
  <r>
    <x v="0"/>
    <x v="0"/>
    <x v="0"/>
    <x v="17"/>
    <x v="14"/>
    <x v="0"/>
    <x v="13"/>
    <n v="1"/>
  </r>
  <r>
    <x v="0"/>
    <x v="0"/>
    <x v="0"/>
    <x v="17"/>
    <x v="3"/>
    <x v="0"/>
    <x v="12"/>
    <n v="5"/>
  </r>
  <r>
    <x v="0"/>
    <x v="0"/>
    <x v="0"/>
    <x v="8"/>
    <x v="11"/>
    <x v="11"/>
    <x v="1"/>
    <n v="3"/>
  </r>
  <r>
    <x v="0"/>
    <x v="0"/>
    <x v="0"/>
    <x v="8"/>
    <x v="11"/>
    <x v="6"/>
    <x v="7"/>
    <n v="24"/>
  </r>
  <r>
    <x v="0"/>
    <x v="0"/>
    <x v="0"/>
    <x v="8"/>
    <x v="11"/>
    <x v="6"/>
    <x v="6"/>
    <n v="6"/>
  </r>
  <r>
    <x v="0"/>
    <x v="0"/>
    <x v="0"/>
    <x v="8"/>
    <x v="11"/>
    <x v="6"/>
    <x v="10"/>
    <n v="2"/>
  </r>
  <r>
    <x v="0"/>
    <x v="0"/>
    <x v="0"/>
    <x v="8"/>
    <x v="11"/>
    <x v="9"/>
    <x v="7"/>
    <n v="16"/>
  </r>
  <r>
    <x v="0"/>
    <x v="0"/>
    <x v="0"/>
    <x v="8"/>
    <x v="11"/>
    <x v="9"/>
    <x v="6"/>
    <n v="17"/>
  </r>
  <r>
    <x v="0"/>
    <x v="0"/>
    <x v="0"/>
    <x v="8"/>
    <x v="11"/>
    <x v="9"/>
    <x v="10"/>
    <n v="7"/>
  </r>
  <r>
    <x v="0"/>
    <x v="0"/>
    <x v="0"/>
    <x v="8"/>
    <x v="11"/>
    <x v="12"/>
    <x v="7"/>
    <n v="7"/>
  </r>
  <r>
    <x v="0"/>
    <x v="0"/>
    <x v="0"/>
    <x v="8"/>
    <x v="11"/>
    <x v="12"/>
    <x v="6"/>
    <n v="21"/>
  </r>
  <r>
    <x v="0"/>
    <x v="0"/>
    <x v="0"/>
    <x v="8"/>
    <x v="11"/>
    <x v="7"/>
    <x v="10"/>
    <n v="9"/>
  </r>
  <r>
    <x v="0"/>
    <x v="0"/>
    <x v="0"/>
    <x v="8"/>
    <x v="11"/>
    <x v="7"/>
    <x v="1"/>
    <n v="11"/>
  </r>
  <r>
    <x v="0"/>
    <x v="0"/>
    <x v="0"/>
    <x v="8"/>
    <x v="11"/>
    <x v="7"/>
    <x v="12"/>
    <n v="2"/>
  </r>
  <r>
    <x v="0"/>
    <x v="0"/>
    <x v="0"/>
    <x v="8"/>
    <x v="11"/>
    <x v="1"/>
    <x v="6"/>
    <n v="9"/>
  </r>
  <r>
    <x v="0"/>
    <x v="0"/>
    <x v="0"/>
    <x v="8"/>
    <x v="11"/>
    <x v="8"/>
    <x v="10"/>
    <n v="13"/>
  </r>
  <r>
    <x v="0"/>
    <x v="0"/>
    <x v="0"/>
    <x v="8"/>
    <x v="11"/>
    <x v="8"/>
    <x v="1"/>
    <n v="1"/>
  </r>
  <r>
    <x v="0"/>
    <x v="0"/>
    <x v="0"/>
    <x v="8"/>
    <x v="11"/>
    <x v="0"/>
    <x v="11"/>
    <n v="1"/>
  </r>
  <r>
    <x v="0"/>
    <x v="0"/>
    <x v="0"/>
    <x v="10"/>
    <x v="16"/>
    <x v="2"/>
    <x v="9"/>
    <n v="1"/>
  </r>
  <r>
    <x v="0"/>
    <x v="0"/>
    <x v="0"/>
    <x v="10"/>
    <x v="16"/>
    <x v="2"/>
    <x v="4"/>
    <n v="1"/>
  </r>
  <r>
    <x v="0"/>
    <x v="0"/>
    <x v="0"/>
    <x v="10"/>
    <x v="16"/>
    <x v="10"/>
    <x v="12"/>
    <n v="1"/>
  </r>
  <r>
    <x v="0"/>
    <x v="0"/>
    <x v="0"/>
    <x v="10"/>
    <x v="16"/>
    <x v="4"/>
    <x v="1"/>
    <n v="7"/>
  </r>
  <r>
    <x v="0"/>
    <x v="0"/>
    <x v="0"/>
    <x v="10"/>
    <x v="16"/>
    <x v="4"/>
    <x v="12"/>
    <n v="2"/>
  </r>
  <r>
    <x v="0"/>
    <x v="0"/>
    <x v="0"/>
    <x v="10"/>
    <x v="16"/>
    <x v="5"/>
    <x v="1"/>
    <n v="6"/>
  </r>
  <r>
    <x v="0"/>
    <x v="0"/>
    <x v="0"/>
    <x v="10"/>
    <x v="16"/>
    <x v="11"/>
    <x v="10"/>
    <n v="17"/>
  </r>
  <r>
    <x v="0"/>
    <x v="0"/>
    <x v="0"/>
    <x v="10"/>
    <x v="16"/>
    <x v="11"/>
    <x v="1"/>
    <n v="4"/>
  </r>
  <r>
    <x v="0"/>
    <x v="0"/>
    <x v="0"/>
    <x v="10"/>
    <x v="16"/>
    <x v="6"/>
    <x v="10"/>
    <n v="17"/>
  </r>
  <r>
    <x v="0"/>
    <x v="0"/>
    <x v="0"/>
    <x v="10"/>
    <x v="16"/>
    <x v="6"/>
    <x v="1"/>
    <n v="10"/>
  </r>
  <r>
    <x v="0"/>
    <x v="0"/>
    <x v="0"/>
    <x v="10"/>
    <x v="16"/>
    <x v="9"/>
    <x v="6"/>
    <n v="21"/>
  </r>
  <r>
    <x v="0"/>
    <x v="0"/>
    <x v="0"/>
    <x v="10"/>
    <x v="16"/>
    <x v="9"/>
    <x v="10"/>
    <n v="11"/>
  </r>
  <r>
    <x v="0"/>
    <x v="0"/>
    <x v="0"/>
    <x v="10"/>
    <x v="16"/>
    <x v="9"/>
    <x v="1"/>
    <n v="5"/>
  </r>
  <r>
    <x v="0"/>
    <x v="0"/>
    <x v="0"/>
    <x v="10"/>
    <x v="16"/>
    <x v="12"/>
    <x v="6"/>
    <n v="5"/>
  </r>
  <r>
    <x v="0"/>
    <x v="0"/>
    <x v="0"/>
    <x v="10"/>
    <x v="16"/>
    <x v="12"/>
    <x v="10"/>
    <n v="5"/>
  </r>
  <r>
    <x v="0"/>
    <x v="0"/>
    <x v="0"/>
    <x v="10"/>
    <x v="16"/>
    <x v="1"/>
    <x v="6"/>
    <n v="1"/>
  </r>
  <r>
    <x v="0"/>
    <x v="0"/>
    <x v="0"/>
    <x v="10"/>
    <x v="16"/>
    <x v="1"/>
    <x v="10"/>
    <n v="1"/>
  </r>
  <r>
    <x v="0"/>
    <x v="0"/>
    <x v="0"/>
    <x v="10"/>
    <x v="16"/>
    <x v="8"/>
    <x v="3"/>
    <n v="1"/>
  </r>
  <r>
    <x v="0"/>
    <x v="0"/>
    <x v="0"/>
    <x v="10"/>
    <x v="3"/>
    <x v="0"/>
    <x v="12"/>
    <n v="1"/>
  </r>
  <r>
    <x v="0"/>
    <x v="0"/>
    <x v="0"/>
    <x v="10"/>
    <x v="3"/>
    <x v="0"/>
    <x v="9"/>
    <n v="2"/>
  </r>
  <r>
    <x v="0"/>
    <x v="0"/>
    <x v="0"/>
    <x v="10"/>
    <x v="3"/>
    <x v="0"/>
    <x v="3"/>
    <n v="4"/>
  </r>
  <r>
    <x v="0"/>
    <x v="0"/>
    <x v="0"/>
    <x v="11"/>
    <x v="0"/>
    <x v="11"/>
    <x v="1"/>
    <n v="1"/>
  </r>
  <r>
    <x v="0"/>
    <x v="0"/>
    <x v="0"/>
    <x v="11"/>
    <x v="0"/>
    <x v="6"/>
    <x v="10"/>
    <n v="3"/>
  </r>
  <r>
    <x v="0"/>
    <x v="0"/>
    <x v="0"/>
    <x v="11"/>
    <x v="0"/>
    <x v="9"/>
    <x v="10"/>
    <n v="8"/>
  </r>
  <r>
    <x v="0"/>
    <x v="0"/>
    <x v="0"/>
    <x v="11"/>
    <x v="0"/>
    <x v="12"/>
    <x v="6"/>
    <n v="9"/>
  </r>
  <r>
    <x v="0"/>
    <x v="0"/>
    <x v="0"/>
    <x v="11"/>
    <x v="0"/>
    <x v="7"/>
    <x v="8"/>
    <n v="21"/>
  </r>
  <r>
    <x v="0"/>
    <x v="0"/>
    <x v="0"/>
    <x v="11"/>
    <x v="0"/>
    <x v="7"/>
    <x v="9"/>
    <n v="2"/>
  </r>
  <r>
    <x v="0"/>
    <x v="0"/>
    <x v="0"/>
    <x v="11"/>
    <x v="0"/>
    <x v="7"/>
    <x v="4"/>
    <n v="1"/>
  </r>
  <r>
    <x v="0"/>
    <x v="0"/>
    <x v="0"/>
    <x v="11"/>
    <x v="0"/>
    <x v="7"/>
    <x v="5"/>
    <n v="1"/>
  </r>
  <r>
    <x v="0"/>
    <x v="0"/>
    <x v="0"/>
    <x v="11"/>
    <x v="0"/>
    <x v="1"/>
    <x v="6"/>
    <n v="14"/>
  </r>
  <r>
    <x v="0"/>
    <x v="0"/>
    <x v="0"/>
    <x v="11"/>
    <x v="0"/>
    <x v="8"/>
    <x v="12"/>
    <n v="1"/>
  </r>
  <r>
    <x v="0"/>
    <x v="0"/>
    <x v="0"/>
    <x v="11"/>
    <x v="0"/>
    <x v="8"/>
    <x v="9"/>
    <n v="1"/>
  </r>
  <r>
    <x v="0"/>
    <x v="0"/>
    <x v="0"/>
    <x v="11"/>
    <x v="0"/>
    <x v="0"/>
    <x v="7"/>
    <n v="26"/>
  </r>
  <r>
    <x v="0"/>
    <x v="0"/>
    <x v="0"/>
    <x v="11"/>
    <x v="16"/>
    <x v="8"/>
    <x v="9"/>
    <n v="1"/>
  </r>
  <r>
    <x v="0"/>
    <x v="0"/>
    <x v="0"/>
    <x v="11"/>
    <x v="1"/>
    <x v="7"/>
    <x v="3"/>
    <n v="1"/>
  </r>
  <r>
    <x v="0"/>
    <x v="0"/>
    <x v="0"/>
    <x v="11"/>
    <x v="13"/>
    <x v="0"/>
    <x v="3"/>
    <n v="1"/>
  </r>
  <r>
    <x v="0"/>
    <x v="0"/>
    <x v="0"/>
    <x v="11"/>
    <x v="13"/>
    <x v="0"/>
    <x v="4"/>
    <n v="1"/>
  </r>
  <r>
    <x v="0"/>
    <x v="0"/>
    <x v="0"/>
    <x v="11"/>
    <x v="8"/>
    <x v="14"/>
    <x v="10"/>
    <n v="2"/>
  </r>
  <r>
    <x v="0"/>
    <x v="0"/>
    <x v="0"/>
    <x v="11"/>
    <x v="8"/>
    <x v="14"/>
    <x v="1"/>
    <n v="2"/>
  </r>
  <r>
    <x v="0"/>
    <x v="0"/>
    <x v="0"/>
    <x v="11"/>
    <x v="8"/>
    <x v="13"/>
    <x v="6"/>
    <n v="11"/>
  </r>
  <r>
    <x v="0"/>
    <x v="0"/>
    <x v="0"/>
    <x v="11"/>
    <x v="8"/>
    <x v="13"/>
    <x v="10"/>
    <n v="16"/>
  </r>
  <r>
    <x v="0"/>
    <x v="0"/>
    <x v="0"/>
    <x v="11"/>
    <x v="8"/>
    <x v="2"/>
    <x v="7"/>
    <n v="60"/>
  </r>
  <r>
    <x v="0"/>
    <x v="0"/>
    <x v="0"/>
    <x v="11"/>
    <x v="8"/>
    <x v="10"/>
    <x v="7"/>
    <n v="63"/>
  </r>
  <r>
    <x v="0"/>
    <x v="0"/>
    <x v="0"/>
    <x v="11"/>
    <x v="8"/>
    <x v="4"/>
    <x v="8"/>
    <n v="975"/>
  </r>
  <r>
    <x v="0"/>
    <x v="0"/>
    <x v="0"/>
    <x v="11"/>
    <x v="8"/>
    <x v="5"/>
    <x v="8"/>
    <n v="940"/>
  </r>
  <r>
    <x v="0"/>
    <x v="0"/>
    <x v="0"/>
    <x v="11"/>
    <x v="8"/>
    <x v="5"/>
    <x v="4"/>
    <n v="6"/>
  </r>
  <r>
    <x v="0"/>
    <x v="0"/>
    <x v="0"/>
    <x v="11"/>
    <x v="8"/>
    <x v="11"/>
    <x v="8"/>
    <n v="489"/>
  </r>
  <r>
    <x v="0"/>
    <x v="0"/>
    <x v="0"/>
    <x v="11"/>
    <x v="8"/>
    <x v="11"/>
    <x v="3"/>
    <n v="1"/>
  </r>
  <r>
    <x v="0"/>
    <x v="0"/>
    <x v="0"/>
    <x v="11"/>
    <x v="8"/>
    <x v="11"/>
    <x v="4"/>
    <n v="1"/>
  </r>
  <r>
    <x v="0"/>
    <x v="0"/>
    <x v="0"/>
    <x v="11"/>
    <x v="8"/>
    <x v="11"/>
    <x v="5"/>
    <n v="1"/>
  </r>
  <r>
    <x v="0"/>
    <x v="0"/>
    <x v="0"/>
    <x v="11"/>
    <x v="8"/>
    <x v="6"/>
    <x v="9"/>
    <n v="2"/>
  </r>
  <r>
    <x v="0"/>
    <x v="0"/>
    <x v="0"/>
    <x v="11"/>
    <x v="8"/>
    <x v="6"/>
    <x v="3"/>
    <n v="3"/>
  </r>
  <r>
    <x v="0"/>
    <x v="0"/>
    <x v="0"/>
    <x v="11"/>
    <x v="8"/>
    <x v="6"/>
    <x v="4"/>
    <n v="1"/>
  </r>
  <r>
    <x v="0"/>
    <x v="0"/>
    <x v="0"/>
    <x v="11"/>
    <x v="8"/>
    <x v="9"/>
    <x v="12"/>
    <n v="3"/>
  </r>
  <r>
    <x v="0"/>
    <x v="0"/>
    <x v="0"/>
    <x v="11"/>
    <x v="8"/>
    <x v="9"/>
    <x v="3"/>
    <n v="3"/>
  </r>
  <r>
    <x v="0"/>
    <x v="0"/>
    <x v="0"/>
    <x v="11"/>
    <x v="8"/>
    <x v="9"/>
    <x v="5"/>
    <n v="1"/>
  </r>
  <r>
    <x v="0"/>
    <x v="0"/>
    <x v="0"/>
    <x v="11"/>
    <x v="8"/>
    <x v="12"/>
    <x v="12"/>
    <n v="3"/>
  </r>
  <r>
    <x v="0"/>
    <x v="0"/>
    <x v="0"/>
    <x v="11"/>
    <x v="8"/>
    <x v="12"/>
    <x v="9"/>
    <n v="2"/>
  </r>
  <r>
    <x v="0"/>
    <x v="0"/>
    <x v="0"/>
    <x v="11"/>
    <x v="8"/>
    <x v="12"/>
    <x v="4"/>
    <n v="2"/>
  </r>
  <r>
    <x v="0"/>
    <x v="0"/>
    <x v="0"/>
    <x v="11"/>
    <x v="8"/>
    <x v="7"/>
    <x v="6"/>
    <n v="92"/>
  </r>
  <r>
    <x v="0"/>
    <x v="0"/>
    <x v="0"/>
    <x v="11"/>
    <x v="8"/>
    <x v="7"/>
    <x v="10"/>
    <n v="18"/>
  </r>
  <r>
    <x v="0"/>
    <x v="0"/>
    <x v="0"/>
    <x v="11"/>
    <x v="8"/>
    <x v="7"/>
    <x v="1"/>
    <n v="5"/>
  </r>
  <r>
    <x v="0"/>
    <x v="0"/>
    <x v="0"/>
    <x v="11"/>
    <x v="8"/>
    <x v="8"/>
    <x v="6"/>
    <n v="29"/>
  </r>
  <r>
    <x v="0"/>
    <x v="0"/>
    <x v="0"/>
    <x v="11"/>
    <x v="8"/>
    <x v="8"/>
    <x v="10"/>
    <n v="11"/>
  </r>
  <r>
    <x v="0"/>
    <x v="0"/>
    <x v="0"/>
    <x v="11"/>
    <x v="8"/>
    <x v="0"/>
    <x v="1"/>
    <n v="5"/>
  </r>
  <r>
    <x v="0"/>
    <x v="0"/>
    <x v="0"/>
    <x v="11"/>
    <x v="8"/>
    <x v="0"/>
    <x v="12"/>
    <n v="1"/>
  </r>
  <r>
    <x v="0"/>
    <x v="0"/>
    <x v="0"/>
    <x v="11"/>
    <x v="7"/>
    <x v="0"/>
    <x v="0"/>
    <n v="1"/>
  </r>
  <r>
    <x v="0"/>
    <x v="0"/>
    <x v="0"/>
    <x v="12"/>
    <x v="12"/>
    <x v="6"/>
    <x v="4"/>
    <n v="1"/>
  </r>
  <r>
    <x v="0"/>
    <x v="0"/>
    <x v="0"/>
    <x v="12"/>
    <x v="12"/>
    <x v="7"/>
    <x v="7"/>
    <n v="1"/>
  </r>
  <r>
    <x v="0"/>
    <x v="0"/>
    <x v="0"/>
    <x v="12"/>
    <x v="12"/>
    <x v="7"/>
    <x v="6"/>
    <n v="1"/>
  </r>
  <r>
    <x v="0"/>
    <x v="0"/>
    <x v="0"/>
    <x v="12"/>
    <x v="12"/>
    <x v="8"/>
    <x v="10"/>
    <n v="1"/>
  </r>
  <r>
    <x v="0"/>
    <x v="0"/>
    <x v="0"/>
    <x v="12"/>
    <x v="12"/>
    <x v="0"/>
    <x v="12"/>
    <n v="1"/>
  </r>
  <r>
    <x v="0"/>
    <x v="0"/>
    <x v="0"/>
    <x v="12"/>
    <x v="5"/>
    <x v="0"/>
    <x v="2"/>
    <n v="1"/>
  </r>
  <r>
    <x v="0"/>
    <x v="0"/>
    <x v="0"/>
    <x v="12"/>
    <x v="6"/>
    <x v="4"/>
    <x v="12"/>
    <n v="1"/>
  </r>
  <r>
    <x v="0"/>
    <x v="0"/>
    <x v="0"/>
    <x v="12"/>
    <x v="6"/>
    <x v="6"/>
    <x v="1"/>
    <n v="1"/>
  </r>
  <r>
    <x v="0"/>
    <x v="0"/>
    <x v="0"/>
    <x v="12"/>
    <x v="6"/>
    <x v="9"/>
    <x v="1"/>
    <n v="1"/>
  </r>
  <r>
    <x v="0"/>
    <x v="0"/>
    <x v="0"/>
    <x v="12"/>
    <x v="6"/>
    <x v="12"/>
    <x v="10"/>
    <n v="2"/>
  </r>
  <r>
    <x v="0"/>
    <x v="0"/>
    <x v="0"/>
    <x v="12"/>
    <x v="6"/>
    <x v="12"/>
    <x v="1"/>
    <n v="1"/>
  </r>
  <r>
    <x v="0"/>
    <x v="0"/>
    <x v="0"/>
    <x v="12"/>
    <x v="6"/>
    <x v="1"/>
    <x v="1"/>
    <n v="1"/>
  </r>
  <r>
    <x v="0"/>
    <x v="0"/>
    <x v="0"/>
    <x v="13"/>
    <x v="13"/>
    <x v="0"/>
    <x v="12"/>
    <n v="1"/>
  </r>
  <r>
    <x v="0"/>
    <x v="0"/>
    <x v="0"/>
    <x v="13"/>
    <x v="15"/>
    <x v="1"/>
    <x v="1"/>
    <n v="1"/>
  </r>
  <r>
    <x v="0"/>
    <x v="0"/>
    <x v="0"/>
    <x v="13"/>
    <x v="15"/>
    <x v="1"/>
    <x v="12"/>
    <n v="1"/>
  </r>
  <r>
    <x v="0"/>
    <x v="0"/>
    <x v="0"/>
    <x v="13"/>
    <x v="15"/>
    <x v="0"/>
    <x v="1"/>
    <n v="1"/>
  </r>
  <r>
    <x v="0"/>
    <x v="0"/>
    <x v="0"/>
    <x v="13"/>
    <x v="15"/>
    <x v="0"/>
    <x v="12"/>
    <n v="2"/>
  </r>
  <r>
    <x v="0"/>
    <x v="0"/>
    <x v="0"/>
    <x v="13"/>
    <x v="17"/>
    <x v="14"/>
    <x v="5"/>
    <n v="75"/>
  </r>
  <r>
    <x v="0"/>
    <x v="0"/>
    <x v="0"/>
    <x v="13"/>
    <x v="17"/>
    <x v="14"/>
    <x v="2"/>
    <n v="14"/>
  </r>
  <r>
    <x v="0"/>
    <x v="0"/>
    <x v="0"/>
    <x v="13"/>
    <x v="17"/>
    <x v="14"/>
    <x v="13"/>
    <n v="1"/>
  </r>
  <r>
    <x v="0"/>
    <x v="0"/>
    <x v="0"/>
    <x v="13"/>
    <x v="17"/>
    <x v="13"/>
    <x v="3"/>
    <n v="61"/>
  </r>
  <r>
    <x v="0"/>
    <x v="0"/>
    <x v="0"/>
    <x v="13"/>
    <x v="17"/>
    <x v="13"/>
    <x v="4"/>
    <n v="77"/>
  </r>
  <r>
    <x v="0"/>
    <x v="0"/>
    <x v="0"/>
    <x v="13"/>
    <x v="17"/>
    <x v="13"/>
    <x v="5"/>
    <n v="82"/>
  </r>
  <r>
    <x v="0"/>
    <x v="0"/>
    <x v="0"/>
    <x v="13"/>
    <x v="17"/>
    <x v="13"/>
    <x v="2"/>
    <n v="13"/>
  </r>
  <r>
    <x v="0"/>
    <x v="0"/>
    <x v="0"/>
    <x v="13"/>
    <x v="17"/>
    <x v="13"/>
    <x v="13"/>
    <n v="3"/>
  </r>
  <r>
    <x v="0"/>
    <x v="0"/>
    <x v="0"/>
    <x v="13"/>
    <x v="17"/>
    <x v="2"/>
    <x v="12"/>
    <n v="42"/>
  </r>
  <r>
    <x v="0"/>
    <x v="0"/>
    <x v="0"/>
    <x v="13"/>
    <x v="17"/>
    <x v="2"/>
    <x v="9"/>
    <n v="55"/>
  </r>
  <r>
    <x v="0"/>
    <x v="0"/>
    <x v="0"/>
    <x v="13"/>
    <x v="17"/>
    <x v="2"/>
    <x v="3"/>
    <n v="34"/>
  </r>
  <r>
    <x v="0"/>
    <x v="0"/>
    <x v="0"/>
    <x v="13"/>
    <x v="17"/>
    <x v="2"/>
    <x v="4"/>
    <n v="45"/>
  </r>
  <r>
    <x v="0"/>
    <x v="0"/>
    <x v="0"/>
    <x v="13"/>
    <x v="17"/>
    <x v="2"/>
    <x v="5"/>
    <n v="66"/>
  </r>
  <r>
    <x v="0"/>
    <x v="0"/>
    <x v="0"/>
    <x v="13"/>
    <x v="17"/>
    <x v="10"/>
    <x v="15"/>
    <n v="1"/>
  </r>
  <r>
    <x v="0"/>
    <x v="0"/>
    <x v="0"/>
    <x v="13"/>
    <x v="17"/>
    <x v="10"/>
    <x v="12"/>
    <n v="38"/>
  </r>
  <r>
    <x v="0"/>
    <x v="0"/>
    <x v="0"/>
    <x v="13"/>
    <x v="17"/>
    <x v="10"/>
    <x v="9"/>
    <n v="21"/>
  </r>
  <r>
    <x v="0"/>
    <x v="0"/>
    <x v="0"/>
    <x v="13"/>
    <x v="17"/>
    <x v="10"/>
    <x v="3"/>
    <n v="38"/>
  </r>
  <r>
    <x v="0"/>
    <x v="0"/>
    <x v="0"/>
    <x v="13"/>
    <x v="17"/>
    <x v="10"/>
    <x v="4"/>
    <n v="39"/>
  </r>
  <r>
    <x v="0"/>
    <x v="0"/>
    <x v="0"/>
    <x v="13"/>
    <x v="17"/>
    <x v="3"/>
    <x v="1"/>
    <n v="17"/>
  </r>
  <r>
    <x v="0"/>
    <x v="0"/>
    <x v="0"/>
    <x v="13"/>
    <x v="17"/>
    <x v="3"/>
    <x v="12"/>
    <n v="8"/>
  </r>
  <r>
    <x v="0"/>
    <x v="0"/>
    <x v="0"/>
    <x v="13"/>
    <x v="17"/>
    <x v="3"/>
    <x v="9"/>
    <n v="24"/>
  </r>
  <r>
    <x v="0"/>
    <x v="0"/>
    <x v="0"/>
    <x v="13"/>
    <x v="17"/>
    <x v="3"/>
    <x v="3"/>
    <n v="25"/>
  </r>
  <r>
    <x v="0"/>
    <x v="0"/>
    <x v="0"/>
    <x v="13"/>
    <x v="17"/>
    <x v="4"/>
    <x v="1"/>
    <n v="19"/>
  </r>
  <r>
    <x v="0"/>
    <x v="0"/>
    <x v="0"/>
    <x v="13"/>
    <x v="17"/>
    <x v="4"/>
    <x v="12"/>
    <n v="13"/>
  </r>
  <r>
    <x v="0"/>
    <x v="0"/>
    <x v="0"/>
    <x v="13"/>
    <x v="17"/>
    <x v="4"/>
    <x v="9"/>
    <n v="18"/>
  </r>
  <r>
    <x v="0"/>
    <x v="0"/>
    <x v="0"/>
    <x v="13"/>
    <x v="17"/>
    <x v="5"/>
    <x v="10"/>
    <n v="8"/>
  </r>
  <r>
    <x v="0"/>
    <x v="0"/>
    <x v="0"/>
    <x v="13"/>
    <x v="17"/>
    <x v="5"/>
    <x v="1"/>
    <n v="9"/>
  </r>
  <r>
    <x v="0"/>
    <x v="0"/>
    <x v="0"/>
    <x v="13"/>
    <x v="17"/>
    <x v="5"/>
    <x v="12"/>
    <n v="11"/>
  </r>
  <r>
    <x v="0"/>
    <x v="0"/>
    <x v="0"/>
    <x v="13"/>
    <x v="17"/>
    <x v="11"/>
    <x v="10"/>
    <n v="4"/>
  </r>
  <r>
    <x v="0"/>
    <x v="0"/>
    <x v="0"/>
    <x v="13"/>
    <x v="17"/>
    <x v="11"/>
    <x v="1"/>
    <n v="5"/>
  </r>
  <r>
    <x v="0"/>
    <x v="0"/>
    <x v="0"/>
    <x v="13"/>
    <x v="17"/>
    <x v="6"/>
    <x v="10"/>
    <n v="1"/>
  </r>
  <r>
    <x v="0"/>
    <x v="0"/>
    <x v="0"/>
    <x v="13"/>
    <x v="17"/>
    <x v="6"/>
    <x v="1"/>
    <n v="2"/>
  </r>
  <r>
    <x v="0"/>
    <x v="0"/>
    <x v="0"/>
    <x v="13"/>
    <x v="17"/>
    <x v="9"/>
    <x v="10"/>
    <n v="1"/>
  </r>
  <r>
    <x v="0"/>
    <x v="0"/>
    <x v="0"/>
    <x v="13"/>
    <x v="17"/>
    <x v="12"/>
    <x v="1"/>
    <n v="1"/>
  </r>
  <r>
    <x v="0"/>
    <x v="0"/>
    <x v="0"/>
    <x v="13"/>
    <x v="17"/>
    <x v="7"/>
    <x v="5"/>
    <n v="1"/>
  </r>
  <r>
    <x v="0"/>
    <x v="0"/>
    <x v="0"/>
    <x v="13"/>
    <x v="17"/>
    <x v="7"/>
    <x v="2"/>
    <n v="1"/>
  </r>
  <r>
    <x v="0"/>
    <x v="0"/>
    <x v="0"/>
    <x v="13"/>
    <x v="17"/>
    <x v="7"/>
    <x v="13"/>
    <n v="1"/>
  </r>
  <r>
    <x v="0"/>
    <x v="0"/>
    <x v="0"/>
    <x v="14"/>
    <x v="16"/>
    <x v="2"/>
    <x v="1"/>
    <n v="1"/>
  </r>
  <r>
    <x v="0"/>
    <x v="0"/>
    <x v="0"/>
    <x v="14"/>
    <x v="16"/>
    <x v="10"/>
    <x v="10"/>
    <n v="1"/>
  </r>
  <r>
    <x v="0"/>
    <x v="0"/>
    <x v="0"/>
    <x v="14"/>
    <x v="16"/>
    <x v="10"/>
    <x v="1"/>
    <n v="1"/>
  </r>
  <r>
    <x v="0"/>
    <x v="0"/>
    <x v="0"/>
    <x v="14"/>
    <x v="16"/>
    <x v="3"/>
    <x v="10"/>
    <n v="1"/>
  </r>
  <r>
    <x v="0"/>
    <x v="0"/>
    <x v="0"/>
    <x v="14"/>
    <x v="16"/>
    <x v="3"/>
    <x v="1"/>
    <n v="2"/>
  </r>
  <r>
    <x v="0"/>
    <x v="0"/>
    <x v="0"/>
    <x v="14"/>
    <x v="16"/>
    <x v="4"/>
    <x v="6"/>
    <n v="15"/>
  </r>
  <r>
    <x v="0"/>
    <x v="0"/>
    <x v="0"/>
    <x v="14"/>
    <x v="16"/>
    <x v="4"/>
    <x v="10"/>
    <n v="2"/>
  </r>
  <r>
    <x v="0"/>
    <x v="0"/>
    <x v="0"/>
    <x v="14"/>
    <x v="16"/>
    <x v="5"/>
    <x v="6"/>
    <n v="12"/>
  </r>
  <r>
    <x v="0"/>
    <x v="0"/>
    <x v="0"/>
    <x v="14"/>
    <x v="16"/>
    <x v="5"/>
    <x v="10"/>
    <n v="2"/>
  </r>
  <r>
    <x v="0"/>
    <x v="0"/>
    <x v="0"/>
    <x v="14"/>
    <x v="16"/>
    <x v="11"/>
    <x v="7"/>
    <n v="19"/>
  </r>
  <r>
    <x v="0"/>
    <x v="0"/>
    <x v="0"/>
    <x v="14"/>
    <x v="16"/>
    <x v="11"/>
    <x v="6"/>
    <n v="9"/>
  </r>
  <r>
    <x v="0"/>
    <x v="0"/>
    <x v="0"/>
    <x v="14"/>
    <x v="16"/>
    <x v="11"/>
    <x v="10"/>
    <n v="1"/>
  </r>
  <r>
    <x v="0"/>
    <x v="0"/>
    <x v="0"/>
    <x v="14"/>
    <x v="16"/>
    <x v="6"/>
    <x v="7"/>
    <n v="7"/>
  </r>
  <r>
    <x v="0"/>
    <x v="0"/>
    <x v="0"/>
    <x v="14"/>
    <x v="16"/>
    <x v="6"/>
    <x v="6"/>
    <n v="3"/>
  </r>
  <r>
    <x v="0"/>
    <x v="0"/>
    <x v="0"/>
    <x v="14"/>
    <x v="16"/>
    <x v="9"/>
    <x v="7"/>
    <n v="3"/>
  </r>
  <r>
    <x v="0"/>
    <x v="0"/>
    <x v="0"/>
    <x v="14"/>
    <x v="16"/>
    <x v="9"/>
    <x v="6"/>
    <n v="2"/>
  </r>
  <r>
    <x v="0"/>
    <x v="0"/>
    <x v="0"/>
    <x v="14"/>
    <x v="16"/>
    <x v="12"/>
    <x v="7"/>
    <n v="2"/>
  </r>
  <r>
    <x v="0"/>
    <x v="0"/>
    <x v="0"/>
    <x v="14"/>
    <x v="18"/>
    <x v="7"/>
    <x v="6"/>
    <n v="1"/>
  </r>
  <r>
    <x v="0"/>
    <x v="0"/>
    <x v="0"/>
    <x v="14"/>
    <x v="18"/>
    <x v="0"/>
    <x v="9"/>
    <n v="1"/>
  </r>
  <r>
    <x v="0"/>
    <x v="0"/>
    <x v="0"/>
    <x v="14"/>
    <x v="18"/>
    <x v="0"/>
    <x v="3"/>
    <n v="1"/>
  </r>
  <r>
    <x v="0"/>
    <x v="0"/>
    <x v="0"/>
    <x v="18"/>
    <x v="0"/>
    <x v="0"/>
    <x v="5"/>
    <n v="1"/>
  </r>
  <r>
    <x v="0"/>
    <x v="0"/>
    <x v="0"/>
    <x v="18"/>
    <x v="0"/>
    <x v="0"/>
    <x v="13"/>
    <n v="2"/>
  </r>
  <r>
    <x v="0"/>
    <x v="0"/>
    <x v="0"/>
    <x v="18"/>
    <x v="0"/>
    <x v="0"/>
    <x v="11"/>
    <n v="1"/>
  </r>
  <r>
    <x v="0"/>
    <x v="0"/>
    <x v="0"/>
    <x v="10"/>
    <x v="16"/>
    <x v="7"/>
    <x v="9"/>
    <n v="1"/>
  </r>
  <r>
    <x v="0"/>
    <x v="0"/>
    <x v="0"/>
    <x v="10"/>
    <x v="16"/>
    <x v="1"/>
    <x v="1"/>
    <n v="2"/>
  </r>
  <r>
    <x v="0"/>
    <x v="0"/>
    <x v="0"/>
    <x v="10"/>
    <x v="16"/>
    <x v="8"/>
    <x v="12"/>
    <n v="1"/>
  </r>
  <r>
    <x v="0"/>
    <x v="0"/>
    <x v="0"/>
    <x v="10"/>
    <x v="3"/>
    <x v="0"/>
    <x v="4"/>
    <n v="8"/>
  </r>
  <r>
    <x v="0"/>
    <x v="0"/>
    <x v="0"/>
    <x v="10"/>
    <x v="3"/>
    <x v="0"/>
    <x v="5"/>
    <n v="6"/>
  </r>
  <r>
    <x v="0"/>
    <x v="0"/>
    <x v="0"/>
    <x v="10"/>
    <x v="3"/>
    <x v="0"/>
    <x v="2"/>
    <n v="10"/>
  </r>
  <r>
    <x v="0"/>
    <x v="0"/>
    <x v="0"/>
    <x v="10"/>
    <x v="3"/>
    <x v="0"/>
    <x v="13"/>
    <n v="2"/>
  </r>
  <r>
    <x v="0"/>
    <x v="0"/>
    <x v="0"/>
    <x v="10"/>
    <x v="3"/>
    <x v="0"/>
    <x v="11"/>
    <n v="2"/>
  </r>
  <r>
    <x v="0"/>
    <x v="0"/>
    <x v="0"/>
    <x v="11"/>
    <x v="0"/>
    <x v="4"/>
    <x v="6"/>
    <n v="4"/>
  </r>
  <r>
    <x v="0"/>
    <x v="0"/>
    <x v="0"/>
    <x v="11"/>
    <x v="0"/>
    <x v="4"/>
    <x v="10"/>
    <n v="3"/>
  </r>
  <r>
    <x v="0"/>
    <x v="0"/>
    <x v="0"/>
    <x v="11"/>
    <x v="0"/>
    <x v="4"/>
    <x v="1"/>
    <n v="1"/>
  </r>
  <r>
    <x v="0"/>
    <x v="0"/>
    <x v="0"/>
    <x v="11"/>
    <x v="0"/>
    <x v="4"/>
    <x v="9"/>
    <n v="1"/>
  </r>
  <r>
    <x v="0"/>
    <x v="0"/>
    <x v="0"/>
    <x v="11"/>
    <x v="0"/>
    <x v="5"/>
    <x v="6"/>
    <n v="10"/>
  </r>
  <r>
    <x v="0"/>
    <x v="0"/>
    <x v="0"/>
    <x v="11"/>
    <x v="0"/>
    <x v="5"/>
    <x v="10"/>
    <n v="6"/>
  </r>
  <r>
    <x v="0"/>
    <x v="0"/>
    <x v="0"/>
    <x v="11"/>
    <x v="0"/>
    <x v="5"/>
    <x v="9"/>
    <n v="1"/>
  </r>
  <r>
    <x v="0"/>
    <x v="0"/>
    <x v="0"/>
    <x v="11"/>
    <x v="0"/>
    <x v="5"/>
    <x v="3"/>
    <n v="1"/>
  </r>
  <r>
    <x v="0"/>
    <x v="0"/>
    <x v="0"/>
    <x v="11"/>
    <x v="0"/>
    <x v="5"/>
    <x v="4"/>
    <n v="1"/>
  </r>
  <r>
    <x v="0"/>
    <x v="0"/>
    <x v="0"/>
    <x v="11"/>
    <x v="0"/>
    <x v="11"/>
    <x v="7"/>
    <n v="26"/>
  </r>
  <r>
    <x v="0"/>
    <x v="0"/>
    <x v="0"/>
    <x v="11"/>
    <x v="0"/>
    <x v="11"/>
    <x v="6"/>
    <n v="6"/>
  </r>
  <r>
    <x v="0"/>
    <x v="0"/>
    <x v="0"/>
    <x v="11"/>
    <x v="0"/>
    <x v="11"/>
    <x v="10"/>
    <n v="6"/>
  </r>
  <r>
    <x v="0"/>
    <x v="0"/>
    <x v="0"/>
    <x v="11"/>
    <x v="0"/>
    <x v="11"/>
    <x v="12"/>
    <n v="1"/>
  </r>
  <r>
    <x v="0"/>
    <x v="0"/>
    <x v="0"/>
    <x v="11"/>
    <x v="0"/>
    <x v="11"/>
    <x v="3"/>
    <n v="2"/>
  </r>
  <r>
    <x v="0"/>
    <x v="0"/>
    <x v="0"/>
    <x v="11"/>
    <x v="0"/>
    <x v="6"/>
    <x v="7"/>
    <n v="10"/>
  </r>
  <r>
    <x v="0"/>
    <x v="0"/>
    <x v="0"/>
    <x v="11"/>
    <x v="0"/>
    <x v="6"/>
    <x v="6"/>
    <n v="9"/>
  </r>
  <r>
    <x v="0"/>
    <x v="0"/>
    <x v="0"/>
    <x v="11"/>
    <x v="0"/>
    <x v="6"/>
    <x v="12"/>
    <n v="3"/>
  </r>
  <r>
    <x v="0"/>
    <x v="0"/>
    <x v="0"/>
    <x v="11"/>
    <x v="0"/>
    <x v="6"/>
    <x v="3"/>
    <n v="2"/>
  </r>
  <r>
    <x v="0"/>
    <x v="0"/>
    <x v="0"/>
    <x v="11"/>
    <x v="0"/>
    <x v="9"/>
    <x v="7"/>
    <n v="19"/>
  </r>
  <r>
    <x v="0"/>
    <x v="0"/>
    <x v="0"/>
    <x v="11"/>
    <x v="0"/>
    <x v="9"/>
    <x v="6"/>
    <n v="6"/>
  </r>
  <r>
    <x v="0"/>
    <x v="0"/>
    <x v="0"/>
    <x v="11"/>
    <x v="0"/>
    <x v="9"/>
    <x v="9"/>
    <n v="3"/>
  </r>
  <r>
    <x v="0"/>
    <x v="0"/>
    <x v="0"/>
    <x v="11"/>
    <x v="0"/>
    <x v="12"/>
    <x v="7"/>
    <n v="30"/>
  </r>
  <r>
    <x v="0"/>
    <x v="0"/>
    <x v="0"/>
    <x v="11"/>
    <x v="0"/>
    <x v="12"/>
    <x v="12"/>
    <n v="1"/>
  </r>
  <r>
    <x v="0"/>
    <x v="0"/>
    <x v="0"/>
    <x v="11"/>
    <x v="0"/>
    <x v="7"/>
    <x v="10"/>
    <n v="10"/>
  </r>
  <r>
    <x v="0"/>
    <x v="0"/>
    <x v="0"/>
    <x v="11"/>
    <x v="0"/>
    <x v="7"/>
    <x v="1"/>
    <n v="1"/>
  </r>
  <r>
    <x v="0"/>
    <x v="0"/>
    <x v="0"/>
    <x v="11"/>
    <x v="0"/>
    <x v="1"/>
    <x v="8"/>
    <n v="5"/>
  </r>
  <r>
    <x v="0"/>
    <x v="0"/>
    <x v="0"/>
    <x v="11"/>
    <x v="0"/>
    <x v="1"/>
    <x v="7"/>
    <n v="54"/>
  </r>
  <r>
    <x v="0"/>
    <x v="0"/>
    <x v="0"/>
    <x v="11"/>
    <x v="0"/>
    <x v="8"/>
    <x v="6"/>
    <n v="25"/>
  </r>
  <r>
    <x v="0"/>
    <x v="0"/>
    <x v="0"/>
    <x v="11"/>
    <x v="0"/>
    <x v="8"/>
    <x v="10"/>
    <n v="2"/>
  </r>
  <r>
    <x v="0"/>
    <x v="0"/>
    <x v="0"/>
    <x v="11"/>
    <x v="0"/>
    <x v="8"/>
    <x v="1"/>
    <n v="3"/>
  </r>
  <r>
    <x v="0"/>
    <x v="0"/>
    <x v="0"/>
    <x v="11"/>
    <x v="16"/>
    <x v="0"/>
    <x v="10"/>
    <n v="1"/>
  </r>
  <r>
    <x v="0"/>
    <x v="0"/>
    <x v="0"/>
    <x v="11"/>
    <x v="16"/>
    <x v="0"/>
    <x v="13"/>
    <n v="1"/>
  </r>
  <r>
    <x v="0"/>
    <x v="0"/>
    <x v="0"/>
    <x v="11"/>
    <x v="1"/>
    <x v="0"/>
    <x v="5"/>
    <n v="3"/>
  </r>
  <r>
    <x v="0"/>
    <x v="0"/>
    <x v="0"/>
    <x v="11"/>
    <x v="8"/>
    <x v="13"/>
    <x v="16"/>
    <n v="526"/>
  </r>
  <r>
    <x v="0"/>
    <x v="0"/>
    <x v="0"/>
    <x v="11"/>
    <x v="8"/>
    <x v="13"/>
    <x v="1"/>
    <n v="12"/>
  </r>
  <r>
    <x v="0"/>
    <x v="0"/>
    <x v="0"/>
    <x v="11"/>
    <x v="8"/>
    <x v="2"/>
    <x v="16"/>
    <n v="108"/>
  </r>
  <r>
    <x v="0"/>
    <x v="0"/>
    <x v="0"/>
    <x v="11"/>
    <x v="8"/>
    <x v="2"/>
    <x v="8"/>
    <n v="160"/>
  </r>
  <r>
    <x v="0"/>
    <x v="0"/>
    <x v="0"/>
    <x v="11"/>
    <x v="8"/>
    <x v="10"/>
    <x v="8"/>
    <n v="163"/>
  </r>
  <r>
    <x v="0"/>
    <x v="0"/>
    <x v="0"/>
    <x v="11"/>
    <x v="8"/>
    <x v="3"/>
    <x v="8"/>
    <n v="400"/>
  </r>
  <r>
    <x v="0"/>
    <x v="0"/>
    <x v="0"/>
    <x v="11"/>
    <x v="8"/>
    <x v="4"/>
    <x v="15"/>
    <n v="327"/>
  </r>
  <r>
    <x v="0"/>
    <x v="0"/>
    <x v="0"/>
    <x v="11"/>
    <x v="8"/>
    <x v="5"/>
    <x v="15"/>
    <n v="25"/>
  </r>
  <r>
    <x v="0"/>
    <x v="0"/>
    <x v="0"/>
    <x v="11"/>
    <x v="8"/>
    <x v="9"/>
    <x v="11"/>
    <n v="1"/>
  </r>
  <r>
    <x v="0"/>
    <x v="0"/>
    <x v="0"/>
    <x v="11"/>
    <x v="8"/>
    <x v="12"/>
    <x v="2"/>
    <n v="2"/>
  </r>
  <r>
    <x v="0"/>
    <x v="0"/>
    <x v="0"/>
    <x v="11"/>
    <x v="8"/>
    <x v="7"/>
    <x v="7"/>
    <n v="31"/>
  </r>
  <r>
    <x v="0"/>
    <x v="0"/>
    <x v="0"/>
    <x v="11"/>
    <x v="8"/>
    <x v="1"/>
    <x v="1"/>
    <n v="8"/>
  </r>
  <r>
    <x v="0"/>
    <x v="0"/>
    <x v="0"/>
    <x v="11"/>
    <x v="8"/>
    <x v="0"/>
    <x v="5"/>
    <n v="1"/>
  </r>
  <r>
    <x v="0"/>
    <x v="0"/>
    <x v="0"/>
    <x v="11"/>
    <x v="7"/>
    <x v="1"/>
    <x v="3"/>
    <n v="1"/>
  </r>
  <r>
    <x v="0"/>
    <x v="0"/>
    <x v="0"/>
    <x v="11"/>
    <x v="7"/>
    <x v="1"/>
    <x v="5"/>
    <n v="1"/>
  </r>
  <r>
    <x v="0"/>
    <x v="0"/>
    <x v="0"/>
    <x v="11"/>
    <x v="7"/>
    <x v="1"/>
    <x v="13"/>
    <n v="1"/>
  </r>
  <r>
    <x v="0"/>
    <x v="0"/>
    <x v="0"/>
    <x v="11"/>
    <x v="7"/>
    <x v="0"/>
    <x v="2"/>
    <n v="2"/>
  </r>
  <r>
    <x v="0"/>
    <x v="0"/>
    <x v="0"/>
    <x v="11"/>
    <x v="7"/>
    <x v="0"/>
    <x v="13"/>
    <n v="4"/>
  </r>
  <r>
    <x v="0"/>
    <x v="0"/>
    <x v="0"/>
    <x v="11"/>
    <x v="7"/>
    <x v="0"/>
    <x v="11"/>
    <n v="3"/>
  </r>
  <r>
    <x v="0"/>
    <x v="0"/>
    <x v="0"/>
    <x v="11"/>
    <x v="6"/>
    <x v="0"/>
    <x v="3"/>
    <n v="1"/>
  </r>
  <r>
    <x v="0"/>
    <x v="0"/>
    <x v="0"/>
    <x v="11"/>
    <x v="6"/>
    <x v="0"/>
    <x v="4"/>
    <n v="5"/>
  </r>
  <r>
    <x v="0"/>
    <x v="0"/>
    <x v="0"/>
    <x v="11"/>
    <x v="6"/>
    <x v="0"/>
    <x v="5"/>
    <n v="2"/>
  </r>
  <r>
    <x v="0"/>
    <x v="0"/>
    <x v="0"/>
    <x v="11"/>
    <x v="6"/>
    <x v="0"/>
    <x v="2"/>
    <n v="3"/>
  </r>
  <r>
    <x v="0"/>
    <x v="0"/>
    <x v="0"/>
    <x v="11"/>
    <x v="6"/>
    <x v="0"/>
    <x v="13"/>
    <n v="1"/>
  </r>
  <r>
    <x v="0"/>
    <x v="0"/>
    <x v="0"/>
    <x v="12"/>
    <x v="12"/>
    <x v="5"/>
    <x v="7"/>
    <n v="1"/>
  </r>
  <r>
    <x v="0"/>
    <x v="0"/>
    <x v="0"/>
    <x v="12"/>
    <x v="12"/>
    <x v="5"/>
    <x v="6"/>
    <n v="1"/>
  </r>
  <r>
    <x v="0"/>
    <x v="0"/>
    <x v="0"/>
    <x v="12"/>
    <x v="12"/>
    <x v="11"/>
    <x v="8"/>
    <n v="4"/>
  </r>
  <r>
    <x v="0"/>
    <x v="0"/>
    <x v="0"/>
    <x v="12"/>
    <x v="12"/>
    <x v="11"/>
    <x v="7"/>
    <n v="4"/>
  </r>
  <r>
    <x v="0"/>
    <x v="0"/>
    <x v="0"/>
    <x v="12"/>
    <x v="12"/>
    <x v="11"/>
    <x v="6"/>
    <n v="2"/>
  </r>
  <r>
    <x v="0"/>
    <x v="0"/>
    <x v="0"/>
    <x v="12"/>
    <x v="12"/>
    <x v="6"/>
    <x v="8"/>
    <n v="1"/>
  </r>
  <r>
    <x v="0"/>
    <x v="0"/>
    <x v="0"/>
    <x v="12"/>
    <x v="12"/>
    <x v="6"/>
    <x v="7"/>
    <n v="3"/>
  </r>
  <r>
    <x v="0"/>
    <x v="0"/>
    <x v="0"/>
    <x v="12"/>
    <x v="12"/>
    <x v="6"/>
    <x v="9"/>
    <n v="1"/>
  </r>
  <r>
    <x v="0"/>
    <x v="0"/>
    <x v="0"/>
    <x v="12"/>
    <x v="12"/>
    <x v="9"/>
    <x v="7"/>
    <n v="3"/>
  </r>
  <r>
    <x v="0"/>
    <x v="0"/>
    <x v="0"/>
    <x v="12"/>
    <x v="6"/>
    <x v="1"/>
    <x v="3"/>
    <n v="1"/>
  </r>
  <r>
    <x v="0"/>
    <x v="0"/>
    <x v="0"/>
    <x v="13"/>
    <x v="13"/>
    <x v="1"/>
    <x v="13"/>
    <n v="1"/>
  </r>
  <r>
    <x v="0"/>
    <x v="0"/>
    <x v="0"/>
    <x v="13"/>
    <x v="13"/>
    <x v="0"/>
    <x v="1"/>
    <n v="1"/>
  </r>
  <r>
    <x v="0"/>
    <x v="0"/>
    <x v="0"/>
    <x v="13"/>
    <x v="17"/>
    <x v="15"/>
    <x v="2"/>
    <n v="10"/>
  </r>
  <r>
    <x v="0"/>
    <x v="0"/>
    <x v="0"/>
    <x v="13"/>
    <x v="17"/>
    <x v="14"/>
    <x v="10"/>
    <n v="27"/>
  </r>
  <r>
    <x v="0"/>
    <x v="0"/>
    <x v="0"/>
    <x v="13"/>
    <x v="17"/>
    <x v="14"/>
    <x v="1"/>
    <n v="35"/>
  </r>
  <r>
    <x v="0"/>
    <x v="0"/>
    <x v="0"/>
    <x v="13"/>
    <x v="17"/>
    <x v="14"/>
    <x v="4"/>
    <n v="76"/>
  </r>
  <r>
    <x v="0"/>
    <x v="0"/>
    <x v="0"/>
    <x v="13"/>
    <x v="17"/>
    <x v="13"/>
    <x v="7"/>
    <n v="1"/>
  </r>
  <r>
    <x v="0"/>
    <x v="0"/>
    <x v="0"/>
    <x v="13"/>
    <x v="17"/>
    <x v="13"/>
    <x v="6"/>
    <n v="34"/>
  </r>
  <r>
    <x v="0"/>
    <x v="0"/>
    <x v="0"/>
    <x v="13"/>
    <x v="17"/>
    <x v="13"/>
    <x v="10"/>
    <n v="35"/>
  </r>
  <r>
    <x v="0"/>
    <x v="0"/>
    <x v="0"/>
    <x v="13"/>
    <x v="17"/>
    <x v="13"/>
    <x v="9"/>
    <n v="49"/>
  </r>
  <r>
    <x v="0"/>
    <x v="0"/>
    <x v="0"/>
    <x v="13"/>
    <x v="17"/>
    <x v="2"/>
    <x v="2"/>
    <n v="6"/>
  </r>
  <r>
    <x v="0"/>
    <x v="0"/>
    <x v="0"/>
    <x v="13"/>
    <x v="17"/>
    <x v="2"/>
    <x v="13"/>
    <n v="1"/>
  </r>
  <r>
    <x v="0"/>
    <x v="0"/>
    <x v="0"/>
    <x v="13"/>
    <x v="17"/>
    <x v="10"/>
    <x v="1"/>
    <n v="25"/>
  </r>
  <r>
    <x v="0"/>
    <x v="0"/>
    <x v="0"/>
    <x v="13"/>
    <x v="17"/>
    <x v="10"/>
    <x v="5"/>
    <n v="37"/>
  </r>
  <r>
    <x v="0"/>
    <x v="0"/>
    <x v="0"/>
    <x v="13"/>
    <x v="17"/>
    <x v="10"/>
    <x v="2"/>
    <n v="8"/>
  </r>
  <r>
    <x v="0"/>
    <x v="0"/>
    <x v="0"/>
    <x v="13"/>
    <x v="17"/>
    <x v="10"/>
    <x v="13"/>
    <n v="1"/>
  </r>
  <r>
    <x v="0"/>
    <x v="0"/>
    <x v="0"/>
    <x v="13"/>
    <x v="17"/>
    <x v="3"/>
    <x v="4"/>
    <n v="29"/>
  </r>
  <r>
    <x v="0"/>
    <x v="0"/>
    <x v="0"/>
    <x v="13"/>
    <x v="17"/>
    <x v="3"/>
    <x v="5"/>
    <n v="34"/>
  </r>
  <r>
    <x v="0"/>
    <x v="0"/>
    <x v="0"/>
    <x v="13"/>
    <x v="17"/>
    <x v="3"/>
    <x v="2"/>
    <n v="15"/>
  </r>
  <r>
    <x v="0"/>
    <x v="0"/>
    <x v="0"/>
    <x v="13"/>
    <x v="17"/>
    <x v="3"/>
    <x v="13"/>
    <n v="3"/>
  </r>
  <r>
    <x v="0"/>
    <x v="0"/>
    <x v="0"/>
    <x v="13"/>
    <x v="17"/>
    <x v="4"/>
    <x v="10"/>
    <n v="12"/>
  </r>
  <r>
    <x v="0"/>
    <x v="0"/>
    <x v="0"/>
    <x v="13"/>
    <x v="17"/>
    <x v="4"/>
    <x v="3"/>
    <n v="11"/>
  </r>
  <r>
    <x v="0"/>
    <x v="0"/>
    <x v="0"/>
    <x v="13"/>
    <x v="17"/>
    <x v="4"/>
    <x v="4"/>
    <n v="18"/>
  </r>
  <r>
    <x v="0"/>
    <x v="0"/>
    <x v="0"/>
    <x v="13"/>
    <x v="17"/>
    <x v="4"/>
    <x v="5"/>
    <n v="27"/>
  </r>
  <r>
    <x v="0"/>
    <x v="0"/>
    <x v="0"/>
    <x v="13"/>
    <x v="17"/>
    <x v="4"/>
    <x v="2"/>
    <n v="10"/>
  </r>
  <r>
    <x v="0"/>
    <x v="0"/>
    <x v="0"/>
    <x v="13"/>
    <x v="17"/>
    <x v="5"/>
    <x v="9"/>
    <n v="11"/>
  </r>
  <r>
    <x v="0"/>
    <x v="0"/>
    <x v="0"/>
    <x v="13"/>
    <x v="17"/>
    <x v="5"/>
    <x v="3"/>
    <n v="13"/>
  </r>
  <r>
    <x v="0"/>
    <x v="0"/>
    <x v="0"/>
    <x v="13"/>
    <x v="17"/>
    <x v="5"/>
    <x v="4"/>
    <n v="15"/>
  </r>
  <r>
    <x v="0"/>
    <x v="0"/>
    <x v="0"/>
    <x v="13"/>
    <x v="17"/>
    <x v="5"/>
    <x v="5"/>
    <n v="8"/>
  </r>
  <r>
    <x v="0"/>
    <x v="0"/>
    <x v="0"/>
    <x v="13"/>
    <x v="17"/>
    <x v="5"/>
    <x v="2"/>
    <n v="6"/>
  </r>
  <r>
    <x v="0"/>
    <x v="0"/>
    <x v="0"/>
    <x v="13"/>
    <x v="17"/>
    <x v="5"/>
    <x v="13"/>
    <n v="5"/>
  </r>
  <r>
    <x v="0"/>
    <x v="0"/>
    <x v="0"/>
    <x v="13"/>
    <x v="17"/>
    <x v="11"/>
    <x v="6"/>
    <n v="2"/>
  </r>
  <r>
    <x v="0"/>
    <x v="0"/>
    <x v="0"/>
    <x v="13"/>
    <x v="17"/>
    <x v="11"/>
    <x v="12"/>
    <n v="1"/>
  </r>
  <r>
    <x v="0"/>
    <x v="0"/>
    <x v="0"/>
    <x v="13"/>
    <x v="17"/>
    <x v="11"/>
    <x v="9"/>
    <n v="5"/>
  </r>
  <r>
    <x v="0"/>
    <x v="0"/>
    <x v="0"/>
    <x v="13"/>
    <x v="17"/>
    <x v="11"/>
    <x v="3"/>
    <n v="3"/>
  </r>
  <r>
    <x v="0"/>
    <x v="0"/>
    <x v="0"/>
    <x v="13"/>
    <x v="17"/>
    <x v="11"/>
    <x v="4"/>
    <n v="5"/>
  </r>
  <r>
    <x v="0"/>
    <x v="0"/>
    <x v="0"/>
    <x v="13"/>
    <x v="17"/>
    <x v="11"/>
    <x v="5"/>
    <n v="15"/>
  </r>
  <r>
    <x v="0"/>
    <x v="0"/>
    <x v="0"/>
    <x v="13"/>
    <x v="17"/>
    <x v="11"/>
    <x v="2"/>
    <n v="5"/>
  </r>
  <r>
    <x v="0"/>
    <x v="0"/>
    <x v="0"/>
    <x v="13"/>
    <x v="17"/>
    <x v="11"/>
    <x v="13"/>
    <n v="4"/>
  </r>
  <r>
    <x v="0"/>
    <x v="0"/>
    <x v="0"/>
    <x v="13"/>
    <x v="17"/>
    <x v="6"/>
    <x v="12"/>
    <n v="5"/>
  </r>
  <r>
    <x v="0"/>
    <x v="0"/>
    <x v="0"/>
    <x v="13"/>
    <x v="17"/>
    <x v="6"/>
    <x v="9"/>
    <n v="4"/>
  </r>
  <r>
    <x v="0"/>
    <x v="0"/>
    <x v="0"/>
    <x v="13"/>
    <x v="17"/>
    <x v="6"/>
    <x v="3"/>
    <n v="11"/>
  </r>
  <r>
    <x v="0"/>
    <x v="0"/>
    <x v="0"/>
    <x v="13"/>
    <x v="17"/>
    <x v="6"/>
    <x v="4"/>
    <n v="5"/>
  </r>
  <r>
    <x v="0"/>
    <x v="0"/>
    <x v="0"/>
    <x v="13"/>
    <x v="17"/>
    <x v="6"/>
    <x v="5"/>
    <n v="4"/>
  </r>
  <r>
    <x v="0"/>
    <x v="0"/>
    <x v="0"/>
    <x v="13"/>
    <x v="17"/>
    <x v="6"/>
    <x v="2"/>
    <n v="5"/>
  </r>
  <r>
    <x v="0"/>
    <x v="0"/>
    <x v="0"/>
    <x v="13"/>
    <x v="17"/>
    <x v="9"/>
    <x v="12"/>
    <n v="1"/>
  </r>
  <r>
    <x v="0"/>
    <x v="0"/>
    <x v="0"/>
    <x v="13"/>
    <x v="17"/>
    <x v="9"/>
    <x v="9"/>
    <n v="3"/>
  </r>
  <r>
    <x v="0"/>
    <x v="0"/>
    <x v="0"/>
    <x v="13"/>
    <x v="17"/>
    <x v="9"/>
    <x v="3"/>
    <n v="3"/>
  </r>
  <r>
    <x v="0"/>
    <x v="0"/>
    <x v="0"/>
    <x v="13"/>
    <x v="17"/>
    <x v="9"/>
    <x v="4"/>
    <n v="1"/>
  </r>
  <r>
    <x v="0"/>
    <x v="0"/>
    <x v="0"/>
    <x v="13"/>
    <x v="17"/>
    <x v="9"/>
    <x v="5"/>
    <n v="4"/>
  </r>
  <r>
    <x v="0"/>
    <x v="0"/>
    <x v="0"/>
    <x v="13"/>
    <x v="17"/>
    <x v="12"/>
    <x v="9"/>
    <n v="1"/>
  </r>
  <r>
    <x v="0"/>
    <x v="0"/>
    <x v="0"/>
    <x v="13"/>
    <x v="17"/>
    <x v="12"/>
    <x v="3"/>
    <n v="6"/>
  </r>
  <r>
    <x v="0"/>
    <x v="0"/>
    <x v="0"/>
    <x v="13"/>
    <x v="17"/>
    <x v="12"/>
    <x v="4"/>
    <n v="1"/>
  </r>
  <r>
    <x v="0"/>
    <x v="0"/>
    <x v="0"/>
    <x v="13"/>
    <x v="17"/>
    <x v="1"/>
    <x v="9"/>
    <n v="1"/>
  </r>
  <r>
    <x v="0"/>
    <x v="0"/>
    <x v="0"/>
    <x v="13"/>
    <x v="17"/>
    <x v="8"/>
    <x v="13"/>
    <n v="1"/>
  </r>
  <r>
    <x v="0"/>
    <x v="0"/>
    <x v="0"/>
    <x v="13"/>
    <x v="17"/>
    <x v="8"/>
    <x v="11"/>
    <n v="1"/>
  </r>
  <r>
    <x v="0"/>
    <x v="0"/>
    <x v="0"/>
    <x v="14"/>
    <x v="4"/>
    <x v="0"/>
    <x v="1"/>
    <n v="3"/>
  </r>
  <r>
    <x v="0"/>
    <x v="0"/>
    <x v="0"/>
    <x v="14"/>
    <x v="16"/>
    <x v="3"/>
    <x v="15"/>
    <n v="14"/>
  </r>
  <r>
    <x v="0"/>
    <x v="0"/>
    <x v="0"/>
    <x v="14"/>
    <x v="16"/>
    <x v="4"/>
    <x v="15"/>
    <n v="206"/>
  </r>
  <r>
    <x v="0"/>
    <x v="0"/>
    <x v="0"/>
    <x v="14"/>
    <x v="16"/>
    <x v="5"/>
    <x v="1"/>
    <n v="2"/>
  </r>
  <r>
    <x v="0"/>
    <x v="0"/>
    <x v="0"/>
    <x v="14"/>
    <x v="16"/>
    <x v="11"/>
    <x v="1"/>
    <n v="1"/>
  </r>
  <r>
    <x v="0"/>
    <x v="0"/>
    <x v="0"/>
    <x v="14"/>
    <x v="16"/>
    <x v="6"/>
    <x v="10"/>
    <n v="4"/>
  </r>
  <r>
    <x v="0"/>
    <x v="0"/>
    <x v="0"/>
    <x v="14"/>
    <x v="16"/>
    <x v="9"/>
    <x v="10"/>
    <n v="1"/>
  </r>
  <r>
    <x v="0"/>
    <x v="0"/>
    <x v="0"/>
    <x v="14"/>
    <x v="16"/>
    <x v="9"/>
    <x v="1"/>
    <n v="1"/>
  </r>
  <r>
    <x v="0"/>
    <x v="0"/>
    <x v="0"/>
    <x v="14"/>
    <x v="16"/>
    <x v="12"/>
    <x v="6"/>
    <n v="2"/>
  </r>
  <r>
    <x v="0"/>
    <x v="0"/>
    <x v="0"/>
    <x v="14"/>
    <x v="16"/>
    <x v="12"/>
    <x v="10"/>
    <n v="2"/>
  </r>
  <r>
    <x v="0"/>
    <x v="0"/>
    <x v="0"/>
    <x v="14"/>
    <x v="16"/>
    <x v="1"/>
    <x v="1"/>
    <n v="2"/>
  </r>
  <r>
    <x v="0"/>
    <x v="0"/>
    <x v="0"/>
    <x v="14"/>
    <x v="18"/>
    <x v="0"/>
    <x v="10"/>
    <n v="6"/>
  </r>
  <r>
    <x v="0"/>
    <x v="0"/>
    <x v="0"/>
    <x v="14"/>
    <x v="18"/>
    <x v="0"/>
    <x v="1"/>
    <n v="2"/>
  </r>
  <r>
    <x v="0"/>
    <x v="0"/>
    <x v="0"/>
    <x v="15"/>
    <x v="1"/>
    <x v="7"/>
    <x v="10"/>
    <n v="13"/>
  </r>
  <r>
    <x v="0"/>
    <x v="0"/>
    <x v="0"/>
    <x v="15"/>
    <x v="1"/>
    <x v="7"/>
    <x v="9"/>
    <n v="1"/>
  </r>
  <r>
    <x v="0"/>
    <x v="0"/>
    <x v="0"/>
    <x v="15"/>
    <x v="1"/>
    <x v="8"/>
    <x v="12"/>
    <n v="1"/>
  </r>
  <r>
    <x v="0"/>
    <x v="0"/>
    <x v="0"/>
    <x v="15"/>
    <x v="17"/>
    <x v="0"/>
    <x v="4"/>
    <n v="2"/>
  </r>
  <r>
    <x v="0"/>
    <x v="0"/>
    <x v="0"/>
    <x v="15"/>
    <x v="17"/>
    <x v="0"/>
    <x v="2"/>
    <n v="1"/>
  </r>
  <r>
    <x v="0"/>
    <x v="0"/>
    <x v="0"/>
    <x v="15"/>
    <x v="17"/>
    <x v="0"/>
    <x v="13"/>
    <n v="1"/>
  </r>
  <r>
    <x v="0"/>
    <x v="0"/>
    <x v="0"/>
    <x v="16"/>
    <x v="14"/>
    <x v="0"/>
    <x v="9"/>
    <n v="1"/>
  </r>
  <r>
    <x v="0"/>
    <x v="0"/>
    <x v="0"/>
    <x v="16"/>
    <x v="14"/>
    <x v="0"/>
    <x v="3"/>
    <n v="1"/>
  </r>
  <r>
    <x v="0"/>
    <x v="0"/>
    <x v="0"/>
    <x v="16"/>
    <x v="14"/>
    <x v="0"/>
    <x v="5"/>
    <n v="1"/>
  </r>
  <r>
    <x v="0"/>
    <x v="0"/>
    <x v="0"/>
    <x v="16"/>
    <x v="15"/>
    <x v="0"/>
    <x v="12"/>
    <n v="4"/>
  </r>
  <r>
    <x v="0"/>
    <x v="0"/>
    <x v="0"/>
    <x v="16"/>
    <x v="19"/>
    <x v="4"/>
    <x v="5"/>
    <n v="1"/>
  </r>
  <r>
    <x v="0"/>
    <x v="0"/>
    <x v="0"/>
    <x v="16"/>
    <x v="19"/>
    <x v="7"/>
    <x v="4"/>
    <n v="1"/>
  </r>
  <r>
    <x v="0"/>
    <x v="0"/>
    <x v="0"/>
    <x v="16"/>
    <x v="19"/>
    <x v="8"/>
    <x v="2"/>
    <n v="1"/>
  </r>
  <r>
    <x v="0"/>
    <x v="0"/>
    <x v="0"/>
    <x v="17"/>
    <x v="3"/>
    <x v="0"/>
    <x v="11"/>
    <n v="1"/>
  </r>
  <r>
    <x v="0"/>
    <x v="0"/>
    <x v="0"/>
    <x v="17"/>
    <x v="3"/>
    <x v="0"/>
    <x v="17"/>
    <n v="1"/>
  </r>
  <r>
    <x v="0"/>
    <x v="0"/>
    <x v="0"/>
    <x v="17"/>
    <x v="7"/>
    <x v="0"/>
    <x v="1"/>
    <n v="1"/>
  </r>
  <r>
    <x v="0"/>
    <x v="0"/>
    <x v="0"/>
    <x v="11"/>
    <x v="16"/>
    <x v="0"/>
    <x v="5"/>
    <n v="1"/>
  </r>
  <r>
    <x v="0"/>
    <x v="0"/>
    <x v="0"/>
    <x v="11"/>
    <x v="8"/>
    <x v="14"/>
    <x v="8"/>
    <n v="12"/>
  </r>
  <r>
    <x v="0"/>
    <x v="0"/>
    <x v="0"/>
    <x v="11"/>
    <x v="8"/>
    <x v="14"/>
    <x v="7"/>
    <n v="12"/>
  </r>
  <r>
    <x v="0"/>
    <x v="0"/>
    <x v="0"/>
    <x v="11"/>
    <x v="8"/>
    <x v="13"/>
    <x v="15"/>
    <n v="208"/>
  </r>
  <r>
    <x v="0"/>
    <x v="0"/>
    <x v="0"/>
    <x v="11"/>
    <x v="8"/>
    <x v="13"/>
    <x v="8"/>
    <n v="132"/>
  </r>
  <r>
    <x v="0"/>
    <x v="0"/>
    <x v="0"/>
    <x v="11"/>
    <x v="8"/>
    <x v="13"/>
    <x v="4"/>
    <n v="2"/>
  </r>
  <r>
    <x v="0"/>
    <x v="0"/>
    <x v="0"/>
    <x v="11"/>
    <x v="8"/>
    <x v="2"/>
    <x v="15"/>
    <n v="1423"/>
  </r>
  <r>
    <x v="0"/>
    <x v="0"/>
    <x v="0"/>
    <x v="11"/>
    <x v="8"/>
    <x v="2"/>
    <x v="12"/>
    <n v="5"/>
  </r>
  <r>
    <x v="0"/>
    <x v="0"/>
    <x v="0"/>
    <x v="11"/>
    <x v="8"/>
    <x v="2"/>
    <x v="9"/>
    <n v="1"/>
  </r>
  <r>
    <x v="0"/>
    <x v="0"/>
    <x v="0"/>
    <x v="11"/>
    <x v="8"/>
    <x v="2"/>
    <x v="3"/>
    <n v="2"/>
  </r>
  <r>
    <x v="0"/>
    <x v="0"/>
    <x v="0"/>
    <x v="11"/>
    <x v="8"/>
    <x v="2"/>
    <x v="5"/>
    <n v="1"/>
  </r>
  <r>
    <x v="0"/>
    <x v="0"/>
    <x v="0"/>
    <x v="11"/>
    <x v="8"/>
    <x v="10"/>
    <x v="15"/>
    <n v="1653"/>
  </r>
  <r>
    <x v="0"/>
    <x v="0"/>
    <x v="0"/>
    <x v="11"/>
    <x v="8"/>
    <x v="10"/>
    <x v="12"/>
    <n v="7"/>
  </r>
  <r>
    <x v="0"/>
    <x v="0"/>
    <x v="0"/>
    <x v="11"/>
    <x v="8"/>
    <x v="10"/>
    <x v="9"/>
    <n v="4"/>
  </r>
  <r>
    <x v="0"/>
    <x v="0"/>
    <x v="0"/>
    <x v="11"/>
    <x v="8"/>
    <x v="10"/>
    <x v="3"/>
    <n v="5"/>
  </r>
  <r>
    <x v="0"/>
    <x v="0"/>
    <x v="0"/>
    <x v="11"/>
    <x v="8"/>
    <x v="10"/>
    <x v="4"/>
    <n v="1"/>
  </r>
  <r>
    <x v="0"/>
    <x v="0"/>
    <x v="0"/>
    <x v="11"/>
    <x v="8"/>
    <x v="3"/>
    <x v="15"/>
    <n v="1126"/>
  </r>
  <r>
    <x v="0"/>
    <x v="0"/>
    <x v="0"/>
    <x v="11"/>
    <x v="8"/>
    <x v="3"/>
    <x v="12"/>
    <n v="7"/>
  </r>
  <r>
    <x v="0"/>
    <x v="0"/>
    <x v="0"/>
    <x v="11"/>
    <x v="8"/>
    <x v="3"/>
    <x v="9"/>
    <n v="4"/>
  </r>
  <r>
    <x v="0"/>
    <x v="0"/>
    <x v="0"/>
    <x v="11"/>
    <x v="8"/>
    <x v="3"/>
    <x v="3"/>
    <n v="1"/>
  </r>
  <r>
    <x v="0"/>
    <x v="0"/>
    <x v="0"/>
    <x v="11"/>
    <x v="8"/>
    <x v="3"/>
    <x v="4"/>
    <n v="1"/>
  </r>
  <r>
    <x v="0"/>
    <x v="0"/>
    <x v="0"/>
    <x v="11"/>
    <x v="8"/>
    <x v="3"/>
    <x v="5"/>
    <n v="1"/>
  </r>
  <r>
    <x v="0"/>
    <x v="0"/>
    <x v="0"/>
    <x v="11"/>
    <x v="8"/>
    <x v="4"/>
    <x v="1"/>
    <n v="7"/>
  </r>
  <r>
    <x v="0"/>
    <x v="0"/>
    <x v="0"/>
    <x v="11"/>
    <x v="8"/>
    <x v="4"/>
    <x v="12"/>
    <n v="9"/>
  </r>
  <r>
    <x v="0"/>
    <x v="0"/>
    <x v="0"/>
    <x v="11"/>
    <x v="8"/>
    <x v="4"/>
    <x v="9"/>
    <n v="3"/>
  </r>
  <r>
    <x v="0"/>
    <x v="0"/>
    <x v="0"/>
    <x v="11"/>
    <x v="8"/>
    <x v="4"/>
    <x v="4"/>
    <n v="2"/>
  </r>
  <r>
    <x v="0"/>
    <x v="0"/>
    <x v="0"/>
    <x v="11"/>
    <x v="8"/>
    <x v="5"/>
    <x v="1"/>
    <n v="10"/>
  </r>
  <r>
    <x v="0"/>
    <x v="0"/>
    <x v="0"/>
    <x v="11"/>
    <x v="8"/>
    <x v="5"/>
    <x v="12"/>
    <n v="6"/>
  </r>
  <r>
    <x v="0"/>
    <x v="0"/>
    <x v="0"/>
    <x v="11"/>
    <x v="8"/>
    <x v="5"/>
    <x v="9"/>
    <n v="6"/>
  </r>
  <r>
    <x v="0"/>
    <x v="0"/>
    <x v="0"/>
    <x v="11"/>
    <x v="8"/>
    <x v="5"/>
    <x v="3"/>
    <n v="4"/>
  </r>
  <r>
    <x v="0"/>
    <x v="0"/>
    <x v="0"/>
    <x v="11"/>
    <x v="8"/>
    <x v="11"/>
    <x v="10"/>
    <n v="20"/>
  </r>
  <r>
    <x v="0"/>
    <x v="0"/>
    <x v="0"/>
    <x v="11"/>
    <x v="8"/>
    <x v="11"/>
    <x v="1"/>
    <n v="10"/>
  </r>
  <r>
    <x v="0"/>
    <x v="0"/>
    <x v="0"/>
    <x v="11"/>
    <x v="8"/>
    <x v="11"/>
    <x v="12"/>
    <n v="7"/>
  </r>
  <r>
    <x v="0"/>
    <x v="0"/>
    <x v="0"/>
    <x v="11"/>
    <x v="8"/>
    <x v="11"/>
    <x v="9"/>
    <n v="5"/>
  </r>
  <r>
    <x v="0"/>
    <x v="0"/>
    <x v="0"/>
    <x v="11"/>
    <x v="8"/>
    <x v="6"/>
    <x v="10"/>
    <n v="15"/>
  </r>
  <r>
    <x v="0"/>
    <x v="0"/>
    <x v="0"/>
    <x v="11"/>
    <x v="8"/>
    <x v="6"/>
    <x v="1"/>
    <n v="6"/>
  </r>
  <r>
    <x v="0"/>
    <x v="0"/>
    <x v="0"/>
    <x v="11"/>
    <x v="8"/>
    <x v="6"/>
    <x v="12"/>
    <n v="4"/>
  </r>
  <r>
    <x v="0"/>
    <x v="0"/>
    <x v="0"/>
    <x v="11"/>
    <x v="8"/>
    <x v="9"/>
    <x v="6"/>
    <n v="43"/>
  </r>
  <r>
    <x v="0"/>
    <x v="0"/>
    <x v="0"/>
    <x v="11"/>
    <x v="8"/>
    <x v="9"/>
    <x v="10"/>
    <n v="8"/>
  </r>
  <r>
    <x v="0"/>
    <x v="0"/>
    <x v="0"/>
    <x v="11"/>
    <x v="8"/>
    <x v="9"/>
    <x v="1"/>
    <n v="6"/>
  </r>
  <r>
    <x v="0"/>
    <x v="0"/>
    <x v="0"/>
    <x v="11"/>
    <x v="8"/>
    <x v="12"/>
    <x v="6"/>
    <n v="64"/>
  </r>
  <r>
    <x v="0"/>
    <x v="0"/>
    <x v="0"/>
    <x v="11"/>
    <x v="8"/>
    <x v="12"/>
    <x v="10"/>
    <n v="5"/>
  </r>
  <r>
    <x v="0"/>
    <x v="0"/>
    <x v="0"/>
    <x v="11"/>
    <x v="8"/>
    <x v="12"/>
    <x v="1"/>
    <n v="5"/>
  </r>
  <r>
    <x v="0"/>
    <x v="0"/>
    <x v="0"/>
    <x v="11"/>
    <x v="8"/>
    <x v="7"/>
    <x v="9"/>
    <n v="1"/>
  </r>
  <r>
    <x v="0"/>
    <x v="0"/>
    <x v="0"/>
    <x v="11"/>
    <x v="8"/>
    <x v="7"/>
    <x v="3"/>
    <n v="1"/>
  </r>
  <r>
    <x v="0"/>
    <x v="0"/>
    <x v="0"/>
    <x v="11"/>
    <x v="8"/>
    <x v="7"/>
    <x v="5"/>
    <n v="1"/>
  </r>
  <r>
    <x v="0"/>
    <x v="0"/>
    <x v="0"/>
    <x v="11"/>
    <x v="8"/>
    <x v="1"/>
    <x v="6"/>
    <n v="75"/>
  </r>
  <r>
    <x v="0"/>
    <x v="0"/>
    <x v="0"/>
    <x v="11"/>
    <x v="8"/>
    <x v="1"/>
    <x v="10"/>
    <n v="10"/>
  </r>
  <r>
    <x v="0"/>
    <x v="0"/>
    <x v="0"/>
    <x v="11"/>
    <x v="8"/>
    <x v="8"/>
    <x v="12"/>
    <n v="1"/>
  </r>
  <r>
    <x v="0"/>
    <x v="0"/>
    <x v="0"/>
    <x v="11"/>
    <x v="8"/>
    <x v="8"/>
    <x v="9"/>
    <n v="1"/>
  </r>
  <r>
    <x v="0"/>
    <x v="0"/>
    <x v="0"/>
    <x v="11"/>
    <x v="8"/>
    <x v="0"/>
    <x v="6"/>
    <n v="3"/>
  </r>
  <r>
    <x v="0"/>
    <x v="0"/>
    <x v="0"/>
    <x v="11"/>
    <x v="8"/>
    <x v="0"/>
    <x v="10"/>
    <n v="18"/>
  </r>
  <r>
    <x v="0"/>
    <x v="0"/>
    <x v="0"/>
    <x v="11"/>
    <x v="7"/>
    <x v="0"/>
    <x v="17"/>
    <n v="1"/>
  </r>
  <r>
    <x v="0"/>
    <x v="0"/>
    <x v="0"/>
    <x v="11"/>
    <x v="6"/>
    <x v="0"/>
    <x v="11"/>
    <n v="2"/>
  </r>
  <r>
    <x v="0"/>
    <x v="0"/>
    <x v="0"/>
    <x v="11"/>
    <x v="9"/>
    <x v="0"/>
    <x v="13"/>
    <n v="1"/>
  </r>
  <r>
    <x v="0"/>
    <x v="0"/>
    <x v="0"/>
    <x v="11"/>
    <x v="18"/>
    <x v="0"/>
    <x v="10"/>
    <n v="2"/>
  </r>
  <r>
    <x v="0"/>
    <x v="0"/>
    <x v="0"/>
    <x v="11"/>
    <x v="18"/>
    <x v="0"/>
    <x v="1"/>
    <n v="3"/>
  </r>
  <r>
    <x v="0"/>
    <x v="0"/>
    <x v="0"/>
    <x v="12"/>
    <x v="12"/>
    <x v="5"/>
    <x v="10"/>
    <n v="1"/>
  </r>
  <r>
    <x v="0"/>
    <x v="0"/>
    <x v="0"/>
    <x v="12"/>
    <x v="12"/>
    <x v="5"/>
    <x v="1"/>
    <n v="1"/>
  </r>
  <r>
    <x v="0"/>
    <x v="0"/>
    <x v="0"/>
    <x v="12"/>
    <x v="12"/>
    <x v="6"/>
    <x v="10"/>
    <n v="1"/>
  </r>
  <r>
    <x v="0"/>
    <x v="0"/>
    <x v="0"/>
    <x v="12"/>
    <x v="12"/>
    <x v="9"/>
    <x v="6"/>
    <n v="1"/>
  </r>
  <r>
    <x v="0"/>
    <x v="0"/>
    <x v="0"/>
    <x v="12"/>
    <x v="12"/>
    <x v="9"/>
    <x v="10"/>
    <n v="1"/>
  </r>
  <r>
    <x v="0"/>
    <x v="0"/>
    <x v="0"/>
    <x v="12"/>
    <x v="12"/>
    <x v="9"/>
    <x v="1"/>
    <n v="1"/>
  </r>
  <r>
    <x v="0"/>
    <x v="0"/>
    <x v="0"/>
    <x v="12"/>
    <x v="12"/>
    <x v="12"/>
    <x v="7"/>
    <n v="1"/>
  </r>
  <r>
    <x v="0"/>
    <x v="0"/>
    <x v="0"/>
    <x v="12"/>
    <x v="12"/>
    <x v="12"/>
    <x v="6"/>
    <n v="1"/>
  </r>
  <r>
    <x v="0"/>
    <x v="0"/>
    <x v="0"/>
    <x v="12"/>
    <x v="12"/>
    <x v="12"/>
    <x v="10"/>
    <n v="1"/>
  </r>
  <r>
    <x v="0"/>
    <x v="0"/>
    <x v="0"/>
    <x v="12"/>
    <x v="12"/>
    <x v="1"/>
    <x v="6"/>
    <n v="3"/>
  </r>
  <r>
    <x v="0"/>
    <x v="0"/>
    <x v="0"/>
    <x v="12"/>
    <x v="12"/>
    <x v="1"/>
    <x v="10"/>
    <n v="1"/>
  </r>
  <r>
    <x v="0"/>
    <x v="0"/>
    <x v="0"/>
    <x v="12"/>
    <x v="1"/>
    <x v="11"/>
    <x v="4"/>
    <n v="1"/>
  </r>
  <r>
    <x v="0"/>
    <x v="0"/>
    <x v="0"/>
    <x v="12"/>
    <x v="1"/>
    <x v="11"/>
    <x v="2"/>
    <n v="1"/>
  </r>
  <r>
    <x v="0"/>
    <x v="0"/>
    <x v="0"/>
    <x v="12"/>
    <x v="6"/>
    <x v="2"/>
    <x v="12"/>
    <n v="1"/>
  </r>
  <r>
    <x v="0"/>
    <x v="0"/>
    <x v="0"/>
    <x v="12"/>
    <x v="6"/>
    <x v="10"/>
    <x v="10"/>
    <n v="1"/>
  </r>
  <r>
    <x v="0"/>
    <x v="0"/>
    <x v="0"/>
    <x v="12"/>
    <x v="6"/>
    <x v="3"/>
    <x v="10"/>
    <n v="3"/>
  </r>
  <r>
    <x v="0"/>
    <x v="0"/>
    <x v="0"/>
    <x v="12"/>
    <x v="6"/>
    <x v="4"/>
    <x v="6"/>
    <n v="1"/>
  </r>
  <r>
    <x v="0"/>
    <x v="0"/>
    <x v="0"/>
    <x v="12"/>
    <x v="6"/>
    <x v="4"/>
    <x v="10"/>
    <n v="1"/>
  </r>
  <r>
    <x v="0"/>
    <x v="0"/>
    <x v="0"/>
    <x v="12"/>
    <x v="6"/>
    <x v="5"/>
    <x v="6"/>
    <n v="1"/>
  </r>
  <r>
    <x v="0"/>
    <x v="0"/>
    <x v="0"/>
    <x v="12"/>
    <x v="6"/>
    <x v="5"/>
    <x v="10"/>
    <n v="2"/>
  </r>
  <r>
    <x v="0"/>
    <x v="0"/>
    <x v="0"/>
    <x v="12"/>
    <x v="6"/>
    <x v="11"/>
    <x v="10"/>
    <n v="3"/>
  </r>
  <r>
    <x v="0"/>
    <x v="0"/>
    <x v="0"/>
    <x v="13"/>
    <x v="13"/>
    <x v="1"/>
    <x v="6"/>
    <n v="3"/>
  </r>
  <r>
    <x v="0"/>
    <x v="0"/>
    <x v="0"/>
    <x v="13"/>
    <x v="13"/>
    <x v="0"/>
    <x v="6"/>
    <n v="2"/>
  </r>
  <r>
    <x v="0"/>
    <x v="0"/>
    <x v="0"/>
    <x v="13"/>
    <x v="13"/>
    <x v="0"/>
    <x v="10"/>
    <n v="2"/>
  </r>
  <r>
    <x v="0"/>
    <x v="0"/>
    <x v="0"/>
    <x v="13"/>
    <x v="15"/>
    <x v="7"/>
    <x v="12"/>
    <n v="1"/>
  </r>
  <r>
    <x v="0"/>
    <x v="0"/>
    <x v="0"/>
    <x v="13"/>
    <x v="15"/>
    <x v="8"/>
    <x v="1"/>
    <n v="1"/>
  </r>
  <r>
    <x v="0"/>
    <x v="0"/>
    <x v="0"/>
    <x v="13"/>
    <x v="17"/>
    <x v="16"/>
    <x v="4"/>
    <n v="1"/>
  </r>
  <r>
    <x v="0"/>
    <x v="0"/>
    <x v="0"/>
    <x v="13"/>
    <x v="17"/>
    <x v="16"/>
    <x v="5"/>
    <n v="4"/>
  </r>
  <r>
    <x v="0"/>
    <x v="0"/>
    <x v="0"/>
    <x v="13"/>
    <x v="17"/>
    <x v="16"/>
    <x v="2"/>
    <n v="3"/>
  </r>
  <r>
    <x v="0"/>
    <x v="0"/>
    <x v="0"/>
    <x v="13"/>
    <x v="17"/>
    <x v="15"/>
    <x v="12"/>
    <n v="1"/>
  </r>
  <r>
    <x v="0"/>
    <x v="0"/>
    <x v="0"/>
    <x v="13"/>
    <x v="17"/>
    <x v="15"/>
    <x v="9"/>
    <n v="6"/>
  </r>
  <r>
    <x v="0"/>
    <x v="0"/>
    <x v="0"/>
    <x v="13"/>
    <x v="17"/>
    <x v="15"/>
    <x v="3"/>
    <n v="16"/>
  </r>
  <r>
    <x v="0"/>
    <x v="0"/>
    <x v="0"/>
    <x v="13"/>
    <x v="17"/>
    <x v="15"/>
    <x v="4"/>
    <n v="30"/>
  </r>
  <r>
    <x v="0"/>
    <x v="0"/>
    <x v="0"/>
    <x v="13"/>
    <x v="17"/>
    <x v="15"/>
    <x v="5"/>
    <n v="41"/>
  </r>
  <r>
    <x v="0"/>
    <x v="0"/>
    <x v="0"/>
    <x v="13"/>
    <x v="17"/>
    <x v="14"/>
    <x v="12"/>
    <n v="44"/>
  </r>
  <r>
    <x v="0"/>
    <x v="0"/>
    <x v="0"/>
    <x v="13"/>
    <x v="17"/>
    <x v="14"/>
    <x v="9"/>
    <n v="56"/>
  </r>
  <r>
    <x v="0"/>
    <x v="0"/>
    <x v="0"/>
    <x v="13"/>
    <x v="17"/>
    <x v="14"/>
    <x v="3"/>
    <n v="80"/>
  </r>
  <r>
    <x v="0"/>
    <x v="0"/>
    <x v="0"/>
    <x v="13"/>
    <x v="17"/>
    <x v="13"/>
    <x v="1"/>
    <n v="53"/>
  </r>
  <r>
    <x v="0"/>
    <x v="0"/>
    <x v="0"/>
    <x v="13"/>
    <x v="17"/>
    <x v="13"/>
    <x v="12"/>
    <n v="55"/>
  </r>
  <r>
    <x v="0"/>
    <x v="0"/>
    <x v="0"/>
    <x v="13"/>
    <x v="17"/>
    <x v="2"/>
    <x v="6"/>
    <n v="10"/>
  </r>
  <r>
    <x v="0"/>
    <x v="0"/>
    <x v="0"/>
    <x v="13"/>
    <x v="17"/>
    <x v="2"/>
    <x v="10"/>
    <n v="34"/>
  </r>
  <r>
    <x v="0"/>
    <x v="0"/>
    <x v="0"/>
    <x v="13"/>
    <x v="17"/>
    <x v="2"/>
    <x v="1"/>
    <n v="30"/>
  </r>
  <r>
    <x v="0"/>
    <x v="0"/>
    <x v="0"/>
    <x v="13"/>
    <x v="17"/>
    <x v="10"/>
    <x v="7"/>
    <n v="5"/>
  </r>
  <r>
    <x v="0"/>
    <x v="0"/>
    <x v="0"/>
    <x v="13"/>
    <x v="17"/>
    <x v="10"/>
    <x v="6"/>
    <n v="5"/>
  </r>
  <r>
    <x v="0"/>
    <x v="0"/>
    <x v="0"/>
    <x v="13"/>
    <x v="17"/>
    <x v="10"/>
    <x v="10"/>
    <n v="15"/>
  </r>
  <r>
    <x v="0"/>
    <x v="0"/>
    <x v="0"/>
    <x v="13"/>
    <x v="17"/>
    <x v="3"/>
    <x v="7"/>
    <n v="7"/>
  </r>
  <r>
    <x v="0"/>
    <x v="0"/>
    <x v="0"/>
    <x v="13"/>
    <x v="17"/>
    <x v="3"/>
    <x v="6"/>
    <n v="10"/>
  </r>
  <r>
    <x v="0"/>
    <x v="0"/>
    <x v="0"/>
    <x v="13"/>
    <x v="17"/>
    <x v="3"/>
    <x v="10"/>
    <n v="14"/>
  </r>
  <r>
    <x v="0"/>
    <x v="0"/>
    <x v="0"/>
    <x v="13"/>
    <x v="17"/>
    <x v="4"/>
    <x v="7"/>
    <n v="3"/>
  </r>
  <r>
    <x v="0"/>
    <x v="0"/>
    <x v="0"/>
    <x v="13"/>
    <x v="17"/>
    <x v="4"/>
    <x v="6"/>
    <n v="4"/>
  </r>
  <r>
    <x v="0"/>
    <x v="0"/>
    <x v="0"/>
    <x v="13"/>
    <x v="17"/>
    <x v="5"/>
    <x v="7"/>
    <n v="4"/>
  </r>
  <r>
    <x v="0"/>
    <x v="0"/>
    <x v="0"/>
    <x v="13"/>
    <x v="17"/>
    <x v="5"/>
    <x v="6"/>
    <n v="2"/>
  </r>
  <r>
    <x v="0"/>
    <x v="0"/>
    <x v="0"/>
    <x v="13"/>
    <x v="17"/>
    <x v="11"/>
    <x v="8"/>
    <n v="7"/>
  </r>
  <r>
    <x v="0"/>
    <x v="0"/>
    <x v="0"/>
    <x v="13"/>
    <x v="17"/>
    <x v="6"/>
    <x v="13"/>
    <n v="2"/>
  </r>
  <r>
    <x v="0"/>
    <x v="0"/>
    <x v="0"/>
    <x v="13"/>
    <x v="17"/>
    <x v="6"/>
    <x v="11"/>
    <n v="1"/>
  </r>
  <r>
    <x v="0"/>
    <x v="0"/>
    <x v="0"/>
    <x v="13"/>
    <x v="17"/>
    <x v="9"/>
    <x v="2"/>
    <n v="4"/>
  </r>
  <r>
    <x v="0"/>
    <x v="0"/>
    <x v="0"/>
    <x v="13"/>
    <x v="17"/>
    <x v="9"/>
    <x v="13"/>
    <n v="1"/>
  </r>
  <r>
    <x v="0"/>
    <x v="0"/>
    <x v="0"/>
    <x v="13"/>
    <x v="17"/>
    <x v="12"/>
    <x v="5"/>
    <n v="1"/>
  </r>
  <r>
    <x v="0"/>
    <x v="0"/>
    <x v="0"/>
    <x v="13"/>
    <x v="17"/>
    <x v="12"/>
    <x v="2"/>
    <n v="2"/>
  </r>
  <r>
    <x v="0"/>
    <x v="0"/>
    <x v="0"/>
    <x v="13"/>
    <x v="17"/>
    <x v="1"/>
    <x v="4"/>
    <n v="1"/>
  </r>
  <r>
    <x v="0"/>
    <x v="0"/>
    <x v="0"/>
    <x v="14"/>
    <x v="16"/>
    <x v="2"/>
    <x v="7"/>
    <n v="8"/>
  </r>
  <r>
    <x v="0"/>
    <x v="0"/>
    <x v="0"/>
    <x v="14"/>
    <x v="16"/>
    <x v="2"/>
    <x v="6"/>
    <n v="1"/>
  </r>
  <r>
    <x v="0"/>
    <x v="0"/>
    <x v="0"/>
    <x v="14"/>
    <x v="16"/>
    <x v="10"/>
    <x v="8"/>
    <n v="12"/>
  </r>
  <r>
    <x v="0"/>
    <x v="0"/>
    <x v="0"/>
    <x v="14"/>
    <x v="16"/>
    <x v="10"/>
    <x v="7"/>
    <n v="29"/>
  </r>
  <r>
    <x v="0"/>
    <x v="0"/>
    <x v="0"/>
    <x v="14"/>
    <x v="16"/>
    <x v="3"/>
    <x v="8"/>
    <n v="43"/>
  </r>
  <r>
    <x v="0"/>
    <x v="0"/>
    <x v="0"/>
    <x v="14"/>
    <x v="16"/>
    <x v="3"/>
    <x v="7"/>
    <n v="24"/>
  </r>
  <r>
    <x v="0"/>
    <x v="0"/>
    <x v="0"/>
    <x v="14"/>
    <x v="16"/>
    <x v="4"/>
    <x v="8"/>
    <n v="59"/>
  </r>
  <r>
    <x v="0"/>
    <x v="0"/>
    <x v="0"/>
    <x v="14"/>
    <x v="16"/>
    <x v="5"/>
    <x v="15"/>
    <n v="120"/>
  </r>
  <r>
    <x v="0"/>
    <x v="0"/>
    <x v="0"/>
    <x v="14"/>
    <x v="16"/>
    <x v="5"/>
    <x v="8"/>
    <n v="61"/>
  </r>
  <r>
    <x v="0"/>
    <x v="0"/>
    <x v="0"/>
    <x v="14"/>
    <x v="16"/>
    <x v="11"/>
    <x v="15"/>
    <n v="17"/>
  </r>
  <r>
    <x v="0"/>
    <x v="0"/>
    <x v="0"/>
    <x v="14"/>
    <x v="16"/>
    <x v="11"/>
    <x v="8"/>
    <n v="64"/>
  </r>
  <r>
    <x v="0"/>
    <x v="0"/>
    <x v="0"/>
    <x v="14"/>
    <x v="16"/>
    <x v="11"/>
    <x v="3"/>
    <n v="2"/>
  </r>
  <r>
    <x v="0"/>
    <x v="0"/>
    <x v="0"/>
    <x v="14"/>
    <x v="16"/>
    <x v="6"/>
    <x v="8"/>
    <n v="14"/>
  </r>
  <r>
    <x v="0"/>
    <x v="0"/>
    <x v="0"/>
    <x v="14"/>
    <x v="16"/>
    <x v="12"/>
    <x v="12"/>
    <n v="1"/>
  </r>
  <r>
    <x v="0"/>
    <x v="0"/>
    <x v="0"/>
    <x v="14"/>
    <x v="18"/>
    <x v="5"/>
    <x v="1"/>
    <n v="3"/>
  </r>
  <r>
    <x v="0"/>
    <x v="0"/>
    <x v="0"/>
    <x v="14"/>
    <x v="18"/>
    <x v="11"/>
    <x v="1"/>
    <n v="1"/>
  </r>
  <r>
    <x v="0"/>
    <x v="0"/>
    <x v="0"/>
    <x v="14"/>
    <x v="18"/>
    <x v="9"/>
    <x v="1"/>
    <n v="2"/>
  </r>
  <r>
    <x v="0"/>
    <x v="0"/>
    <x v="0"/>
    <x v="14"/>
    <x v="18"/>
    <x v="1"/>
    <x v="6"/>
    <n v="1"/>
  </r>
  <r>
    <x v="0"/>
    <x v="0"/>
    <x v="0"/>
    <x v="14"/>
    <x v="18"/>
    <x v="8"/>
    <x v="9"/>
    <n v="1"/>
  </r>
  <r>
    <x v="0"/>
    <x v="0"/>
    <x v="0"/>
    <x v="18"/>
    <x v="19"/>
    <x v="0"/>
    <x v="9"/>
    <n v="1"/>
  </r>
  <r>
    <x v="0"/>
    <x v="0"/>
    <x v="0"/>
    <x v="15"/>
    <x v="1"/>
    <x v="11"/>
    <x v="13"/>
    <n v="1"/>
  </r>
  <r>
    <x v="0"/>
    <x v="0"/>
    <x v="0"/>
    <x v="15"/>
    <x v="1"/>
    <x v="7"/>
    <x v="1"/>
    <n v="5"/>
  </r>
  <r>
    <x v="0"/>
    <x v="0"/>
    <x v="0"/>
    <x v="15"/>
    <x v="1"/>
    <x v="7"/>
    <x v="12"/>
    <n v="1"/>
  </r>
  <r>
    <x v="0"/>
    <x v="0"/>
    <x v="0"/>
    <x v="15"/>
    <x v="1"/>
    <x v="8"/>
    <x v="1"/>
    <n v="11"/>
  </r>
  <r>
    <x v="0"/>
    <x v="0"/>
    <x v="0"/>
    <x v="15"/>
    <x v="1"/>
    <x v="0"/>
    <x v="9"/>
    <n v="1"/>
  </r>
  <r>
    <x v="0"/>
    <x v="0"/>
    <x v="0"/>
    <x v="15"/>
    <x v="1"/>
    <x v="0"/>
    <x v="5"/>
    <n v="1"/>
  </r>
  <r>
    <x v="0"/>
    <x v="0"/>
    <x v="0"/>
    <x v="15"/>
    <x v="17"/>
    <x v="7"/>
    <x v="3"/>
    <n v="1"/>
  </r>
  <r>
    <x v="0"/>
    <x v="0"/>
    <x v="0"/>
    <x v="15"/>
    <x v="17"/>
    <x v="8"/>
    <x v="9"/>
    <n v="1"/>
  </r>
  <r>
    <x v="0"/>
    <x v="0"/>
    <x v="0"/>
    <x v="16"/>
    <x v="15"/>
    <x v="7"/>
    <x v="12"/>
    <n v="1"/>
  </r>
  <r>
    <x v="0"/>
    <x v="0"/>
    <x v="0"/>
    <x v="16"/>
    <x v="15"/>
    <x v="8"/>
    <x v="1"/>
    <n v="1"/>
  </r>
  <r>
    <x v="0"/>
    <x v="0"/>
    <x v="0"/>
    <x v="16"/>
    <x v="19"/>
    <x v="0"/>
    <x v="0"/>
    <n v="3"/>
  </r>
  <r>
    <x v="0"/>
    <x v="0"/>
    <x v="0"/>
    <x v="17"/>
    <x v="3"/>
    <x v="0"/>
    <x v="6"/>
    <n v="2"/>
  </r>
  <r>
    <x v="0"/>
    <x v="0"/>
    <x v="0"/>
    <x v="17"/>
    <x v="3"/>
    <x v="0"/>
    <x v="10"/>
    <n v="3"/>
  </r>
  <r>
    <x v="0"/>
    <x v="0"/>
    <x v="0"/>
    <x v="17"/>
    <x v="3"/>
    <x v="0"/>
    <x v="1"/>
    <n v="3"/>
  </r>
  <r>
    <x v="0"/>
    <x v="0"/>
    <x v="0"/>
    <x v="17"/>
    <x v="19"/>
    <x v="12"/>
    <x v="6"/>
    <n v="1"/>
  </r>
  <r>
    <x v="0"/>
    <x v="0"/>
    <x v="0"/>
    <x v="19"/>
    <x v="13"/>
    <x v="0"/>
    <x v="11"/>
    <n v="1"/>
  </r>
  <r>
    <x v="0"/>
    <x v="0"/>
    <x v="0"/>
    <x v="19"/>
    <x v="7"/>
    <x v="16"/>
    <x v="8"/>
    <n v="43"/>
  </r>
  <r>
    <x v="0"/>
    <x v="0"/>
    <x v="0"/>
    <x v="19"/>
    <x v="7"/>
    <x v="16"/>
    <x v="9"/>
    <n v="12"/>
  </r>
  <r>
    <x v="0"/>
    <x v="0"/>
    <x v="0"/>
    <x v="19"/>
    <x v="7"/>
    <x v="16"/>
    <x v="3"/>
    <n v="18"/>
  </r>
  <r>
    <x v="0"/>
    <x v="0"/>
    <x v="0"/>
    <x v="19"/>
    <x v="7"/>
    <x v="16"/>
    <x v="4"/>
    <n v="22"/>
  </r>
  <r>
    <x v="0"/>
    <x v="0"/>
    <x v="0"/>
    <x v="19"/>
    <x v="7"/>
    <x v="16"/>
    <x v="5"/>
    <n v="6"/>
  </r>
  <r>
    <x v="0"/>
    <x v="0"/>
    <x v="0"/>
    <x v="19"/>
    <x v="7"/>
    <x v="16"/>
    <x v="2"/>
    <n v="2"/>
  </r>
  <r>
    <x v="0"/>
    <x v="0"/>
    <x v="0"/>
    <x v="19"/>
    <x v="7"/>
    <x v="15"/>
    <x v="15"/>
    <n v="49"/>
  </r>
  <r>
    <x v="0"/>
    <x v="0"/>
    <x v="0"/>
    <x v="17"/>
    <x v="9"/>
    <x v="9"/>
    <x v="11"/>
    <n v="1"/>
  </r>
  <r>
    <x v="0"/>
    <x v="0"/>
    <x v="0"/>
    <x v="17"/>
    <x v="19"/>
    <x v="1"/>
    <x v="6"/>
    <n v="1"/>
  </r>
  <r>
    <x v="0"/>
    <x v="0"/>
    <x v="0"/>
    <x v="17"/>
    <x v="19"/>
    <x v="1"/>
    <x v="10"/>
    <n v="2"/>
  </r>
  <r>
    <x v="0"/>
    <x v="0"/>
    <x v="0"/>
    <x v="17"/>
    <x v="19"/>
    <x v="1"/>
    <x v="1"/>
    <n v="1"/>
  </r>
  <r>
    <x v="0"/>
    <x v="0"/>
    <x v="0"/>
    <x v="17"/>
    <x v="19"/>
    <x v="0"/>
    <x v="10"/>
    <n v="1"/>
  </r>
  <r>
    <x v="0"/>
    <x v="0"/>
    <x v="0"/>
    <x v="17"/>
    <x v="19"/>
    <x v="0"/>
    <x v="1"/>
    <n v="3"/>
  </r>
  <r>
    <x v="0"/>
    <x v="0"/>
    <x v="0"/>
    <x v="19"/>
    <x v="13"/>
    <x v="0"/>
    <x v="3"/>
    <n v="1"/>
  </r>
  <r>
    <x v="0"/>
    <x v="0"/>
    <x v="0"/>
    <x v="19"/>
    <x v="13"/>
    <x v="0"/>
    <x v="2"/>
    <n v="3"/>
  </r>
  <r>
    <x v="0"/>
    <x v="0"/>
    <x v="0"/>
    <x v="19"/>
    <x v="13"/>
    <x v="0"/>
    <x v="13"/>
    <n v="1"/>
  </r>
  <r>
    <x v="0"/>
    <x v="0"/>
    <x v="0"/>
    <x v="19"/>
    <x v="7"/>
    <x v="16"/>
    <x v="10"/>
    <n v="7"/>
  </r>
  <r>
    <x v="0"/>
    <x v="0"/>
    <x v="0"/>
    <x v="19"/>
    <x v="7"/>
    <x v="16"/>
    <x v="1"/>
    <n v="20"/>
  </r>
  <r>
    <x v="0"/>
    <x v="0"/>
    <x v="0"/>
    <x v="19"/>
    <x v="7"/>
    <x v="15"/>
    <x v="6"/>
    <n v="93"/>
  </r>
  <r>
    <x v="0"/>
    <x v="0"/>
    <x v="0"/>
    <x v="19"/>
    <x v="7"/>
    <x v="15"/>
    <x v="10"/>
    <n v="58"/>
  </r>
  <r>
    <x v="0"/>
    <x v="0"/>
    <x v="0"/>
    <x v="19"/>
    <x v="7"/>
    <x v="15"/>
    <x v="1"/>
    <n v="49"/>
  </r>
  <r>
    <x v="0"/>
    <x v="0"/>
    <x v="0"/>
    <x v="19"/>
    <x v="7"/>
    <x v="15"/>
    <x v="2"/>
    <n v="1"/>
  </r>
  <r>
    <x v="0"/>
    <x v="0"/>
    <x v="0"/>
    <x v="19"/>
    <x v="7"/>
    <x v="14"/>
    <x v="7"/>
    <n v="858"/>
  </r>
  <r>
    <x v="0"/>
    <x v="0"/>
    <x v="0"/>
    <x v="19"/>
    <x v="7"/>
    <x v="14"/>
    <x v="6"/>
    <n v="222"/>
  </r>
  <r>
    <x v="0"/>
    <x v="0"/>
    <x v="0"/>
    <x v="19"/>
    <x v="7"/>
    <x v="14"/>
    <x v="10"/>
    <n v="84"/>
  </r>
  <r>
    <x v="0"/>
    <x v="0"/>
    <x v="0"/>
    <x v="19"/>
    <x v="7"/>
    <x v="14"/>
    <x v="1"/>
    <n v="58"/>
  </r>
  <r>
    <x v="0"/>
    <x v="0"/>
    <x v="0"/>
    <x v="19"/>
    <x v="7"/>
    <x v="14"/>
    <x v="4"/>
    <n v="15"/>
  </r>
  <r>
    <x v="0"/>
    <x v="0"/>
    <x v="0"/>
    <x v="19"/>
    <x v="7"/>
    <x v="13"/>
    <x v="7"/>
    <n v="728"/>
  </r>
  <r>
    <x v="0"/>
    <x v="0"/>
    <x v="0"/>
    <x v="19"/>
    <x v="7"/>
    <x v="13"/>
    <x v="6"/>
    <n v="304"/>
  </r>
  <r>
    <x v="0"/>
    <x v="0"/>
    <x v="0"/>
    <x v="19"/>
    <x v="7"/>
    <x v="13"/>
    <x v="10"/>
    <n v="80"/>
  </r>
  <r>
    <x v="0"/>
    <x v="0"/>
    <x v="0"/>
    <x v="19"/>
    <x v="7"/>
    <x v="13"/>
    <x v="9"/>
    <n v="34"/>
  </r>
  <r>
    <x v="0"/>
    <x v="0"/>
    <x v="0"/>
    <x v="19"/>
    <x v="7"/>
    <x v="2"/>
    <x v="2"/>
    <n v="2"/>
  </r>
  <r>
    <x v="0"/>
    <x v="0"/>
    <x v="0"/>
    <x v="19"/>
    <x v="7"/>
    <x v="10"/>
    <x v="1"/>
    <n v="34"/>
  </r>
  <r>
    <x v="0"/>
    <x v="0"/>
    <x v="0"/>
    <x v="19"/>
    <x v="7"/>
    <x v="10"/>
    <x v="5"/>
    <n v="4"/>
  </r>
  <r>
    <x v="0"/>
    <x v="0"/>
    <x v="0"/>
    <x v="19"/>
    <x v="7"/>
    <x v="10"/>
    <x v="13"/>
    <n v="1"/>
  </r>
  <r>
    <x v="0"/>
    <x v="0"/>
    <x v="0"/>
    <x v="19"/>
    <x v="7"/>
    <x v="3"/>
    <x v="4"/>
    <n v="3"/>
  </r>
  <r>
    <x v="0"/>
    <x v="0"/>
    <x v="0"/>
    <x v="19"/>
    <x v="7"/>
    <x v="3"/>
    <x v="5"/>
    <n v="2"/>
  </r>
  <r>
    <x v="0"/>
    <x v="0"/>
    <x v="0"/>
    <x v="19"/>
    <x v="7"/>
    <x v="3"/>
    <x v="2"/>
    <n v="1"/>
  </r>
  <r>
    <x v="0"/>
    <x v="0"/>
    <x v="0"/>
    <x v="19"/>
    <x v="7"/>
    <x v="3"/>
    <x v="13"/>
    <n v="1"/>
  </r>
  <r>
    <x v="0"/>
    <x v="0"/>
    <x v="0"/>
    <x v="19"/>
    <x v="7"/>
    <x v="4"/>
    <x v="10"/>
    <n v="88"/>
  </r>
  <r>
    <x v="0"/>
    <x v="0"/>
    <x v="0"/>
    <x v="19"/>
    <x v="7"/>
    <x v="4"/>
    <x v="3"/>
    <n v="5"/>
  </r>
  <r>
    <x v="0"/>
    <x v="0"/>
    <x v="0"/>
    <x v="19"/>
    <x v="7"/>
    <x v="4"/>
    <x v="4"/>
    <n v="2"/>
  </r>
  <r>
    <x v="0"/>
    <x v="0"/>
    <x v="0"/>
    <x v="19"/>
    <x v="7"/>
    <x v="4"/>
    <x v="5"/>
    <n v="1"/>
  </r>
  <r>
    <x v="0"/>
    <x v="0"/>
    <x v="0"/>
    <x v="19"/>
    <x v="7"/>
    <x v="4"/>
    <x v="2"/>
    <n v="3"/>
  </r>
  <r>
    <x v="0"/>
    <x v="0"/>
    <x v="0"/>
    <x v="19"/>
    <x v="7"/>
    <x v="5"/>
    <x v="9"/>
    <n v="5"/>
  </r>
  <r>
    <x v="0"/>
    <x v="0"/>
    <x v="0"/>
    <x v="19"/>
    <x v="7"/>
    <x v="5"/>
    <x v="3"/>
    <n v="6"/>
  </r>
  <r>
    <x v="0"/>
    <x v="0"/>
    <x v="0"/>
    <x v="19"/>
    <x v="7"/>
    <x v="5"/>
    <x v="4"/>
    <n v="2"/>
  </r>
  <r>
    <x v="0"/>
    <x v="0"/>
    <x v="0"/>
    <x v="19"/>
    <x v="7"/>
    <x v="5"/>
    <x v="5"/>
    <n v="2"/>
  </r>
  <r>
    <x v="0"/>
    <x v="0"/>
    <x v="0"/>
    <x v="19"/>
    <x v="7"/>
    <x v="5"/>
    <x v="13"/>
    <n v="1"/>
  </r>
  <r>
    <x v="0"/>
    <x v="0"/>
    <x v="0"/>
    <x v="19"/>
    <x v="7"/>
    <x v="11"/>
    <x v="6"/>
    <n v="77"/>
  </r>
  <r>
    <x v="0"/>
    <x v="0"/>
    <x v="0"/>
    <x v="19"/>
    <x v="7"/>
    <x v="11"/>
    <x v="12"/>
    <n v="8"/>
  </r>
  <r>
    <x v="0"/>
    <x v="0"/>
    <x v="0"/>
    <x v="19"/>
    <x v="7"/>
    <x v="11"/>
    <x v="9"/>
    <n v="7"/>
  </r>
  <r>
    <x v="0"/>
    <x v="0"/>
    <x v="0"/>
    <x v="19"/>
    <x v="7"/>
    <x v="11"/>
    <x v="3"/>
    <n v="3"/>
  </r>
  <r>
    <x v="0"/>
    <x v="0"/>
    <x v="0"/>
    <x v="19"/>
    <x v="7"/>
    <x v="11"/>
    <x v="4"/>
    <n v="2"/>
  </r>
  <r>
    <x v="0"/>
    <x v="0"/>
    <x v="0"/>
    <x v="19"/>
    <x v="7"/>
    <x v="11"/>
    <x v="5"/>
    <n v="2"/>
  </r>
  <r>
    <x v="0"/>
    <x v="0"/>
    <x v="0"/>
    <x v="19"/>
    <x v="7"/>
    <x v="11"/>
    <x v="2"/>
    <n v="2"/>
  </r>
  <r>
    <x v="0"/>
    <x v="0"/>
    <x v="0"/>
    <x v="19"/>
    <x v="7"/>
    <x v="6"/>
    <x v="12"/>
    <n v="6"/>
  </r>
  <r>
    <x v="0"/>
    <x v="0"/>
    <x v="0"/>
    <x v="19"/>
    <x v="7"/>
    <x v="6"/>
    <x v="9"/>
    <n v="5"/>
  </r>
  <r>
    <x v="0"/>
    <x v="0"/>
    <x v="0"/>
    <x v="19"/>
    <x v="7"/>
    <x v="6"/>
    <x v="3"/>
    <n v="3"/>
  </r>
  <r>
    <x v="0"/>
    <x v="0"/>
    <x v="0"/>
    <x v="19"/>
    <x v="7"/>
    <x v="6"/>
    <x v="4"/>
    <n v="2"/>
  </r>
  <r>
    <x v="0"/>
    <x v="0"/>
    <x v="0"/>
    <x v="19"/>
    <x v="7"/>
    <x v="6"/>
    <x v="2"/>
    <n v="1"/>
  </r>
  <r>
    <x v="0"/>
    <x v="0"/>
    <x v="0"/>
    <x v="19"/>
    <x v="7"/>
    <x v="9"/>
    <x v="7"/>
    <n v="20"/>
  </r>
  <r>
    <x v="0"/>
    <x v="0"/>
    <x v="0"/>
    <x v="19"/>
    <x v="7"/>
    <x v="9"/>
    <x v="12"/>
    <n v="5"/>
  </r>
  <r>
    <x v="0"/>
    <x v="0"/>
    <x v="0"/>
    <x v="19"/>
    <x v="7"/>
    <x v="9"/>
    <x v="9"/>
    <n v="4"/>
  </r>
  <r>
    <x v="0"/>
    <x v="0"/>
    <x v="0"/>
    <x v="19"/>
    <x v="7"/>
    <x v="9"/>
    <x v="3"/>
    <n v="1"/>
  </r>
  <r>
    <x v="0"/>
    <x v="0"/>
    <x v="0"/>
    <x v="19"/>
    <x v="7"/>
    <x v="9"/>
    <x v="4"/>
    <n v="1"/>
  </r>
  <r>
    <x v="0"/>
    <x v="0"/>
    <x v="0"/>
    <x v="19"/>
    <x v="7"/>
    <x v="12"/>
    <x v="12"/>
    <n v="6"/>
  </r>
  <r>
    <x v="0"/>
    <x v="0"/>
    <x v="0"/>
    <x v="19"/>
    <x v="7"/>
    <x v="12"/>
    <x v="9"/>
    <n v="4"/>
  </r>
  <r>
    <x v="0"/>
    <x v="0"/>
    <x v="0"/>
    <x v="19"/>
    <x v="7"/>
    <x v="12"/>
    <x v="3"/>
    <n v="1"/>
  </r>
  <r>
    <x v="0"/>
    <x v="0"/>
    <x v="0"/>
    <x v="19"/>
    <x v="7"/>
    <x v="12"/>
    <x v="4"/>
    <n v="1"/>
  </r>
  <r>
    <x v="0"/>
    <x v="0"/>
    <x v="0"/>
    <x v="19"/>
    <x v="7"/>
    <x v="1"/>
    <x v="12"/>
    <n v="2"/>
  </r>
  <r>
    <x v="0"/>
    <x v="0"/>
    <x v="0"/>
    <x v="19"/>
    <x v="7"/>
    <x v="1"/>
    <x v="9"/>
    <n v="3"/>
  </r>
  <r>
    <x v="0"/>
    <x v="0"/>
    <x v="0"/>
    <x v="19"/>
    <x v="7"/>
    <x v="8"/>
    <x v="1"/>
    <n v="1"/>
  </r>
  <r>
    <x v="0"/>
    <x v="0"/>
    <x v="0"/>
    <x v="19"/>
    <x v="7"/>
    <x v="0"/>
    <x v="12"/>
    <n v="1"/>
  </r>
  <r>
    <x v="0"/>
    <x v="0"/>
    <x v="0"/>
    <x v="19"/>
    <x v="10"/>
    <x v="4"/>
    <x v="5"/>
    <n v="1"/>
  </r>
  <r>
    <x v="0"/>
    <x v="0"/>
    <x v="0"/>
    <x v="19"/>
    <x v="10"/>
    <x v="5"/>
    <x v="7"/>
    <n v="8"/>
  </r>
  <r>
    <x v="0"/>
    <x v="0"/>
    <x v="0"/>
    <x v="19"/>
    <x v="10"/>
    <x v="5"/>
    <x v="12"/>
    <n v="4"/>
  </r>
  <r>
    <x v="0"/>
    <x v="0"/>
    <x v="0"/>
    <x v="19"/>
    <x v="10"/>
    <x v="5"/>
    <x v="9"/>
    <n v="2"/>
  </r>
  <r>
    <x v="0"/>
    <x v="0"/>
    <x v="0"/>
    <x v="19"/>
    <x v="10"/>
    <x v="5"/>
    <x v="3"/>
    <n v="1"/>
  </r>
  <r>
    <x v="0"/>
    <x v="0"/>
    <x v="0"/>
    <x v="19"/>
    <x v="10"/>
    <x v="5"/>
    <x v="4"/>
    <n v="1"/>
  </r>
  <r>
    <x v="0"/>
    <x v="0"/>
    <x v="0"/>
    <x v="19"/>
    <x v="10"/>
    <x v="11"/>
    <x v="12"/>
    <n v="4"/>
  </r>
  <r>
    <x v="0"/>
    <x v="0"/>
    <x v="0"/>
    <x v="19"/>
    <x v="10"/>
    <x v="11"/>
    <x v="9"/>
    <n v="3"/>
  </r>
  <r>
    <x v="0"/>
    <x v="0"/>
    <x v="0"/>
    <x v="19"/>
    <x v="10"/>
    <x v="11"/>
    <x v="3"/>
    <n v="1"/>
  </r>
  <r>
    <x v="0"/>
    <x v="0"/>
    <x v="0"/>
    <x v="19"/>
    <x v="10"/>
    <x v="11"/>
    <x v="4"/>
    <n v="2"/>
  </r>
  <r>
    <x v="0"/>
    <x v="0"/>
    <x v="0"/>
    <x v="19"/>
    <x v="10"/>
    <x v="6"/>
    <x v="12"/>
    <n v="4"/>
  </r>
  <r>
    <x v="0"/>
    <x v="0"/>
    <x v="0"/>
    <x v="19"/>
    <x v="10"/>
    <x v="6"/>
    <x v="9"/>
    <n v="2"/>
  </r>
  <r>
    <x v="0"/>
    <x v="0"/>
    <x v="0"/>
    <x v="19"/>
    <x v="10"/>
    <x v="6"/>
    <x v="3"/>
    <n v="5"/>
  </r>
  <r>
    <x v="0"/>
    <x v="0"/>
    <x v="0"/>
    <x v="19"/>
    <x v="10"/>
    <x v="9"/>
    <x v="12"/>
    <n v="5"/>
  </r>
  <r>
    <x v="0"/>
    <x v="0"/>
    <x v="0"/>
    <x v="19"/>
    <x v="10"/>
    <x v="9"/>
    <x v="9"/>
    <n v="4"/>
  </r>
  <r>
    <x v="0"/>
    <x v="0"/>
    <x v="0"/>
    <x v="19"/>
    <x v="10"/>
    <x v="12"/>
    <x v="12"/>
    <n v="9"/>
  </r>
  <r>
    <x v="0"/>
    <x v="0"/>
    <x v="0"/>
    <x v="19"/>
    <x v="10"/>
    <x v="7"/>
    <x v="10"/>
    <n v="19"/>
  </r>
  <r>
    <x v="0"/>
    <x v="0"/>
    <x v="0"/>
    <x v="19"/>
    <x v="10"/>
    <x v="7"/>
    <x v="1"/>
    <n v="20"/>
  </r>
  <r>
    <x v="0"/>
    <x v="0"/>
    <x v="0"/>
    <x v="19"/>
    <x v="10"/>
    <x v="7"/>
    <x v="5"/>
    <n v="1"/>
  </r>
  <r>
    <x v="0"/>
    <x v="0"/>
    <x v="0"/>
    <x v="19"/>
    <x v="10"/>
    <x v="7"/>
    <x v="2"/>
    <n v="2"/>
  </r>
  <r>
    <x v="0"/>
    <x v="0"/>
    <x v="0"/>
    <x v="19"/>
    <x v="10"/>
    <x v="7"/>
    <x v="13"/>
    <n v="2"/>
  </r>
  <r>
    <x v="0"/>
    <x v="0"/>
    <x v="0"/>
    <x v="19"/>
    <x v="10"/>
    <x v="8"/>
    <x v="10"/>
    <n v="40"/>
  </r>
  <r>
    <x v="0"/>
    <x v="0"/>
    <x v="0"/>
    <x v="19"/>
    <x v="10"/>
    <x v="8"/>
    <x v="1"/>
    <n v="16"/>
  </r>
  <r>
    <x v="0"/>
    <x v="0"/>
    <x v="0"/>
    <x v="19"/>
    <x v="10"/>
    <x v="8"/>
    <x v="4"/>
    <n v="1"/>
  </r>
  <r>
    <x v="0"/>
    <x v="0"/>
    <x v="0"/>
    <x v="19"/>
    <x v="10"/>
    <x v="8"/>
    <x v="5"/>
    <n v="1"/>
  </r>
  <r>
    <x v="0"/>
    <x v="0"/>
    <x v="0"/>
    <x v="19"/>
    <x v="10"/>
    <x v="8"/>
    <x v="2"/>
    <n v="1"/>
  </r>
  <r>
    <x v="0"/>
    <x v="0"/>
    <x v="0"/>
    <x v="19"/>
    <x v="10"/>
    <x v="8"/>
    <x v="13"/>
    <n v="2"/>
  </r>
  <r>
    <x v="0"/>
    <x v="0"/>
    <x v="1"/>
    <x v="0"/>
    <x v="1"/>
    <x v="9"/>
    <x v="12"/>
    <n v="1"/>
  </r>
  <r>
    <x v="0"/>
    <x v="0"/>
    <x v="1"/>
    <x v="1"/>
    <x v="2"/>
    <x v="6"/>
    <x v="1"/>
    <n v="2"/>
  </r>
  <r>
    <x v="0"/>
    <x v="0"/>
    <x v="1"/>
    <x v="1"/>
    <x v="2"/>
    <x v="12"/>
    <x v="1"/>
    <n v="1"/>
  </r>
  <r>
    <x v="0"/>
    <x v="0"/>
    <x v="1"/>
    <x v="1"/>
    <x v="3"/>
    <x v="16"/>
    <x v="1"/>
    <n v="1"/>
  </r>
  <r>
    <x v="0"/>
    <x v="0"/>
    <x v="1"/>
    <x v="1"/>
    <x v="3"/>
    <x v="15"/>
    <x v="10"/>
    <n v="1"/>
  </r>
  <r>
    <x v="0"/>
    <x v="0"/>
    <x v="1"/>
    <x v="1"/>
    <x v="3"/>
    <x v="15"/>
    <x v="1"/>
    <n v="6"/>
  </r>
  <r>
    <x v="0"/>
    <x v="0"/>
    <x v="1"/>
    <x v="1"/>
    <x v="3"/>
    <x v="14"/>
    <x v="6"/>
    <n v="2"/>
  </r>
  <r>
    <x v="0"/>
    <x v="0"/>
    <x v="1"/>
    <x v="1"/>
    <x v="3"/>
    <x v="14"/>
    <x v="10"/>
    <n v="12"/>
  </r>
  <r>
    <x v="0"/>
    <x v="0"/>
    <x v="1"/>
    <x v="1"/>
    <x v="3"/>
    <x v="14"/>
    <x v="4"/>
    <n v="1"/>
  </r>
  <r>
    <x v="0"/>
    <x v="0"/>
    <x v="1"/>
    <x v="1"/>
    <x v="3"/>
    <x v="14"/>
    <x v="2"/>
    <n v="1"/>
  </r>
  <r>
    <x v="0"/>
    <x v="0"/>
    <x v="1"/>
    <x v="1"/>
    <x v="3"/>
    <x v="13"/>
    <x v="6"/>
    <n v="2"/>
  </r>
  <r>
    <x v="0"/>
    <x v="0"/>
    <x v="1"/>
    <x v="1"/>
    <x v="3"/>
    <x v="13"/>
    <x v="12"/>
    <n v="6"/>
  </r>
  <r>
    <x v="0"/>
    <x v="0"/>
    <x v="1"/>
    <x v="1"/>
    <x v="3"/>
    <x v="13"/>
    <x v="9"/>
    <n v="2"/>
  </r>
  <r>
    <x v="0"/>
    <x v="0"/>
    <x v="1"/>
    <x v="1"/>
    <x v="3"/>
    <x v="13"/>
    <x v="3"/>
    <n v="1"/>
  </r>
  <r>
    <x v="0"/>
    <x v="0"/>
    <x v="1"/>
    <x v="1"/>
    <x v="3"/>
    <x v="2"/>
    <x v="1"/>
    <n v="12"/>
  </r>
  <r>
    <x v="0"/>
    <x v="0"/>
    <x v="1"/>
    <x v="1"/>
    <x v="3"/>
    <x v="2"/>
    <x v="5"/>
    <n v="1"/>
  </r>
  <r>
    <x v="0"/>
    <x v="0"/>
    <x v="1"/>
    <x v="1"/>
    <x v="3"/>
    <x v="10"/>
    <x v="1"/>
    <n v="8"/>
  </r>
  <r>
    <x v="0"/>
    <x v="0"/>
    <x v="1"/>
    <x v="1"/>
    <x v="3"/>
    <x v="10"/>
    <x v="5"/>
    <n v="1"/>
  </r>
  <r>
    <x v="0"/>
    <x v="0"/>
    <x v="1"/>
    <x v="1"/>
    <x v="3"/>
    <x v="3"/>
    <x v="10"/>
    <n v="2"/>
  </r>
  <r>
    <x v="0"/>
    <x v="0"/>
    <x v="1"/>
    <x v="1"/>
    <x v="3"/>
    <x v="3"/>
    <x v="1"/>
    <n v="8"/>
  </r>
  <r>
    <x v="0"/>
    <x v="0"/>
    <x v="1"/>
    <x v="1"/>
    <x v="3"/>
    <x v="3"/>
    <x v="3"/>
    <n v="1"/>
  </r>
  <r>
    <x v="0"/>
    <x v="0"/>
    <x v="1"/>
    <x v="1"/>
    <x v="3"/>
    <x v="3"/>
    <x v="5"/>
    <n v="1"/>
  </r>
  <r>
    <x v="0"/>
    <x v="0"/>
    <x v="1"/>
    <x v="1"/>
    <x v="3"/>
    <x v="3"/>
    <x v="14"/>
    <n v="1"/>
  </r>
  <r>
    <x v="0"/>
    <x v="0"/>
    <x v="1"/>
    <x v="1"/>
    <x v="3"/>
    <x v="4"/>
    <x v="1"/>
    <n v="5"/>
  </r>
  <r>
    <x v="0"/>
    <x v="0"/>
    <x v="1"/>
    <x v="1"/>
    <x v="3"/>
    <x v="4"/>
    <x v="3"/>
    <n v="2"/>
  </r>
  <r>
    <x v="0"/>
    <x v="0"/>
    <x v="1"/>
    <x v="1"/>
    <x v="3"/>
    <x v="4"/>
    <x v="4"/>
    <n v="1"/>
  </r>
  <r>
    <x v="0"/>
    <x v="0"/>
    <x v="1"/>
    <x v="1"/>
    <x v="3"/>
    <x v="5"/>
    <x v="12"/>
    <n v="3"/>
  </r>
  <r>
    <x v="0"/>
    <x v="0"/>
    <x v="1"/>
    <x v="1"/>
    <x v="3"/>
    <x v="5"/>
    <x v="4"/>
    <n v="1"/>
  </r>
  <r>
    <x v="0"/>
    <x v="0"/>
    <x v="1"/>
    <x v="1"/>
    <x v="3"/>
    <x v="5"/>
    <x v="5"/>
    <n v="1"/>
  </r>
  <r>
    <x v="0"/>
    <x v="0"/>
    <x v="1"/>
    <x v="1"/>
    <x v="3"/>
    <x v="11"/>
    <x v="4"/>
    <n v="1"/>
  </r>
  <r>
    <x v="0"/>
    <x v="0"/>
    <x v="1"/>
    <x v="1"/>
    <x v="3"/>
    <x v="9"/>
    <x v="12"/>
    <n v="1"/>
  </r>
  <r>
    <x v="0"/>
    <x v="0"/>
    <x v="1"/>
    <x v="1"/>
    <x v="3"/>
    <x v="9"/>
    <x v="9"/>
    <n v="1"/>
  </r>
  <r>
    <x v="0"/>
    <x v="0"/>
    <x v="1"/>
    <x v="2"/>
    <x v="0"/>
    <x v="6"/>
    <x v="5"/>
    <n v="1"/>
  </r>
  <r>
    <x v="0"/>
    <x v="0"/>
    <x v="1"/>
    <x v="2"/>
    <x v="0"/>
    <x v="1"/>
    <x v="3"/>
    <n v="1"/>
  </r>
  <r>
    <x v="0"/>
    <x v="0"/>
    <x v="1"/>
    <x v="2"/>
    <x v="13"/>
    <x v="4"/>
    <x v="1"/>
    <n v="1"/>
  </r>
  <r>
    <x v="0"/>
    <x v="0"/>
    <x v="1"/>
    <x v="2"/>
    <x v="13"/>
    <x v="4"/>
    <x v="3"/>
    <n v="1"/>
  </r>
  <r>
    <x v="0"/>
    <x v="0"/>
    <x v="1"/>
    <x v="2"/>
    <x v="13"/>
    <x v="5"/>
    <x v="12"/>
    <n v="1"/>
  </r>
  <r>
    <x v="0"/>
    <x v="0"/>
    <x v="1"/>
    <x v="2"/>
    <x v="13"/>
    <x v="11"/>
    <x v="3"/>
    <n v="1"/>
  </r>
  <r>
    <x v="0"/>
    <x v="0"/>
    <x v="1"/>
    <x v="2"/>
    <x v="13"/>
    <x v="6"/>
    <x v="12"/>
    <n v="1"/>
  </r>
  <r>
    <x v="0"/>
    <x v="0"/>
    <x v="1"/>
    <x v="2"/>
    <x v="13"/>
    <x v="6"/>
    <x v="4"/>
    <n v="2"/>
  </r>
  <r>
    <x v="0"/>
    <x v="0"/>
    <x v="1"/>
    <x v="2"/>
    <x v="13"/>
    <x v="9"/>
    <x v="9"/>
    <n v="1"/>
  </r>
  <r>
    <x v="0"/>
    <x v="0"/>
    <x v="1"/>
    <x v="2"/>
    <x v="13"/>
    <x v="12"/>
    <x v="3"/>
    <n v="1"/>
  </r>
  <r>
    <x v="0"/>
    <x v="0"/>
    <x v="1"/>
    <x v="2"/>
    <x v="13"/>
    <x v="1"/>
    <x v="12"/>
    <n v="1"/>
  </r>
  <r>
    <x v="0"/>
    <x v="0"/>
    <x v="1"/>
    <x v="2"/>
    <x v="13"/>
    <x v="1"/>
    <x v="9"/>
    <n v="2"/>
  </r>
  <r>
    <x v="0"/>
    <x v="0"/>
    <x v="1"/>
    <x v="2"/>
    <x v="7"/>
    <x v="14"/>
    <x v="12"/>
    <n v="3"/>
  </r>
  <r>
    <x v="0"/>
    <x v="0"/>
    <x v="1"/>
    <x v="2"/>
    <x v="7"/>
    <x v="2"/>
    <x v="9"/>
    <n v="1"/>
  </r>
  <r>
    <x v="0"/>
    <x v="0"/>
    <x v="1"/>
    <x v="2"/>
    <x v="7"/>
    <x v="2"/>
    <x v="3"/>
    <n v="2"/>
  </r>
  <r>
    <x v="0"/>
    <x v="0"/>
    <x v="1"/>
    <x v="2"/>
    <x v="7"/>
    <x v="10"/>
    <x v="12"/>
    <n v="1"/>
  </r>
  <r>
    <x v="0"/>
    <x v="0"/>
    <x v="1"/>
    <x v="2"/>
    <x v="7"/>
    <x v="10"/>
    <x v="9"/>
    <n v="3"/>
  </r>
  <r>
    <x v="0"/>
    <x v="0"/>
    <x v="1"/>
    <x v="2"/>
    <x v="7"/>
    <x v="10"/>
    <x v="3"/>
    <n v="1"/>
  </r>
  <r>
    <x v="0"/>
    <x v="0"/>
    <x v="1"/>
    <x v="2"/>
    <x v="7"/>
    <x v="3"/>
    <x v="12"/>
    <n v="1"/>
  </r>
  <r>
    <x v="0"/>
    <x v="0"/>
    <x v="1"/>
    <x v="2"/>
    <x v="7"/>
    <x v="3"/>
    <x v="9"/>
    <n v="3"/>
  </r>
  <r>
    <x v="0"/>
    <x v="0"/>
    <x v="1"/>
    <x v="2"/>
    <x v="7"/>
    <x v="3"/>
    <x v="3"/>
    <n v="1"/>
  </r>
  <r>
    <x v="0"/>
    <x v="0"/>
    <x v="1"/>
    <x v="2"/>
    <x v="7"/>
    <x v="3"/>
    <x v="4"/>
    <n v="1"/>
  </r>
  <r>
    <x v="0"/>
    <x v="0"/>
    <x v="1"/>
    <x v="2"/>
    <x v="7"/>
    <x v="4"/>
    <x v="12"/>
    <n v="2"/>
  </r>
  <r>
    <x v="0"/>
    <x v="0"/>
    <x v="1"/>
    <x v="2"/>
    <x v="7"/>
    <x v="4"/>
    <x v="9"/>
    <n v="1"/>
  </r>
  <r>
    <x v="0"/>
    <x v="0"/>
    <x v="1"/>
    <x v="2"/>
    <x v="7"/>
    <x v="4"/>
    <x v="3"/>
    <n v="1"/>
  </r>
  <r>
    <x v="0"/>
    <x v="0"/>
    <x v="1"/>
    <x v="2"/>
    <x v="7"/>
    <x v="11"/>
    <x v="12"/>
    <n v="1"/>
  </r>
  <r>
    <x v="0"/>
    <x v="0"/>
    <x v="1"/>
    <x v="2"/>
    <x v="7"/>
    <x v="8"/>
    <x v="4"/>
    <n v="1"/>
  </r>
  <r>
    <x v="0"/>
    <x v="0"/>
    <x v="1"/>
    <x v="3"/>
    <x v="5"/>
    <x v="0"/>
    <x v="13"/>
    <n v="3"/>
  </r>
  <r>
    <x v="0"/>
    <x v="0"/>
    <x v="1"/>
    <x v="3"/>
    <x v="8"/>
    <x v="17"/>
    <x v="14"/>
    <n v="7"/>
  </r>
  <r>
    <x v="0"/>
    <x v="0"/>
    <x v="1"/>
    <x v="3"/>
    <x v="8"/>
    <x v="17"/>
    <x v="17"/>
    <n v="16"/>
  </r>
  <r>
    <x v="0"/>
    <x v="0"/>
    <x v="1"/>
    <x v="3"/>
    <x v="8"/>
    <x v="18"/>
    <x v="14"/>
    <n v="3"/>
  </r>
  <r>
    <x v="0"/>
    <x v="0"/>
    <x v="1"/>
    <x v="3"/>
    <x v="8"/>
    <x v="18"/>
    <x v="17"/>
    <n v="5"/>
  </r>
  <r>
    <x v="0"/>
    <x v="0"/>
    <x v="1"/>
    <x v="3"/>
    <x v="8"/>
    <x v="18"/>
    <x v="19"/>
    <n v="4"/>
  </r>
  <r>
    <x v="0"/>
    <x v="0"/>
    <x v="1"/>
    <x v="3"/>
    <x v="8"/>
    <x v="16"/>
    <x v="0"/>
    <n v="2"/>
  </r>
  <r>
    <x v="0"/>
    <x v="0"/>
    <x v="1"/>
    <x v="3"/>
    <x v="8"/>
    <x v="16"/>
    <x v="18"/>
    <n v="1"/>
  </r>
  <r>
    <x v="0"/>
    <x v="0"/>
    <x v="1"/>
    <x v="3"/>
    <x v="8"/>
    <x v="15"/>
    <x v="0"/>
    <n v="1"/>
  </r>
  <r>
    <x v="0"/>
    <x v="0"/>
    <x v="1"/>
    <x v="3"/>
    <x v="8"/>
    <x v="15"/>
    <x v="18"/>
    <n v="3"/>
  </r>
  <r>
    <x v="0"/>
    <x v="0"/>
    <x v="1"/>
    <x v="3"/>
    <x v="8"/>
    <x v="14"/>
    <x v="0"/>
    <n v="1"/>
  </r>
  <r>
    <x v="0"/>
    <x v="0"/>
    <x v="1"/>
    <x v="4"/>
    <x v="18"/>
    <x v="2"/>
    <x v="0"/>
    <n v="1"/>
  </r>
  <r>
    <x v="0"/>
    <x v="0"/>
    <x v="1"/>
    <x v="4"/>
    <x v="18"/>
    <x v="4"/>
    <x v="0"/>
    <n v="1"/>
  </r>
  <r>
    <x v="0"/>
    <x v="0"/>
    <x v="1"/>
    <x v="4"/>
    <x v="19"/>
    <x v="11"/>
    <x v="2"/>
    <n v="1"/>
  </r>
  <r>
    <x v="0"/>
    <x v="0"/>
    <x v="1"/>
    <x v="4"/>
    <x v="19"/>
    <x v="6"/>
    <x v="3"/>
    <n v="1"/>
  </r>
  <r>
    <x v="0"/>
    <x v="0"/>
    <x v="1"/>
    <x v="4"/>
    <x v="19"/>
    <x v="6"/>
    <x v="4"/>
    <n v="1"/>
  </r>
  <r>
    <x v="0"/>
    <x v="0"/>
    <x v="1"/>
    <x v="4"/>
    <x v="19"/>
    <x v="9"/>
    <x v="2"/>
    <n v="1"/>
  </r>
  <r>
    <x v="0"/>
    <x v="0"/>
    <x v="1"/>
    <x v="4"/>
    <x v="19"/>
    <x v="12"/>
    <x v="3"/>
    <n v="2"/>
  </r>
  <r>
    <x v="0"/>
    <x v="0"/>
    <x v="1"/>
    <x v="4"/>
    <x v="19"/>
    <x v="1"/>
    <x v="4"/>
    <n v="1"/>
  </r>
  <r>
    <x v="0"/>
    <x v="0"/>
    <x v="1"/>
    <x v="4"/>
    <x v="19"/>
    <x v="0"/>
    <x v="4"/>
    <n v="3"/>
  </r>
  <r>
    <x v="0"/>
    <x v="0"/>
    <x v="1"/>
    <x v="4"/>
    <x v="19"/>
    <x v="0"/>
    <x v="5"/>
    <n v="2"/>
  </r>
  <r>
    <x v="0"/>
    <x v="0"/>
    <x v="1"/>
    <x v="5"/>
    <x v="8"/>
    <x v="13"/>
    <x v="17"/>
    <n v="2"/>
  </r>
  <r>
    <x v="0"/>
    <x v="0"/>
    <x v="1"/>
    <x v="5"/>
    <x v="8"/>
    <x v="4"/>
    <x v="19"/>
    <n v="2"/>
  </r>
  <r>
    <x v="0"/>
    <x v="0"/>
    <x v="1"/>
    <x v="5"/>
    <x v="8"/>
    <x v="5"/>
    <x v="17"/>
    <n v="1"/>
  </r>
  <r>
    <x v="0"/>
    <x v="0"/>
    <x v="1"/>
    <x v="5"/>
    <x v="8"/>
    <x v="5"/>
    <x v="19"/>
    <n v="1"/>
  </r>
  <r>
    <x v="0"/>
    <x v="0"/>
    <x v="1"/>
    <x v="5"/>
    <x v="8"/>
    <x v="11"/>
    <x v="17"/>
    <n v="1"/>
  </r>
  <r>
    <x v="0"/>
    <x v="0"/>
    <x v="1"/>
    <x v="5"/>
    <x v="8"/>
    <x v="11"/>
    <x v="19"/>
    <n v="1"/>
  </r>
  <r>
    <x v="0"/>
    <x v="0"/>
    <x v="1"/>
    <x v="5"/>
    <x v="8"/>
    <x v="6"/>
    <x v="19"/>
    <n v="1"/>
  </r>
  <r>
    <x v="0"/>
    <x v="0"/>
    <x v="1"/>
    <x v="5"/>
    <x v="8"/>
    <x v="9"/>
    <x v="13"/>
    <n v="1"/>
  </r>
  <r>
    <x v="0"/>
    <x v="0"/>
    <x v="1"/>
    <x v="5"/>
    <x v="8"/>
    <x v="9"/>
    <x v="19"/>
    <n v="1"/>
  </r>
  <r>
    <x v="0"/>
    <x v="0"/>
    <x v="1"/>
    <x v="5"/>
    <x v="8"/>
    <x v="12"/>
    <x v="14"/>
    <n v="1"/>
  </r>
  <r>
    <x v="0"/>
    <x v="0"/>
    <x v="1"/>
    <x v="5"/>
    <x v="8"/>
    <x v="7"/>
    <x v="0"/>
    <n v="1"/>
  </r>
  <r>
    <x v="0"/>
    <x v="0"/>
    <x v="1"/>
    <x v="5"/>
    <x v="8"/>
    <x v="1"/>
    <x v="11"/>
    <n v="1"/>
  </r>
  <r>
    <x v="0"/>
    <x v="0"/>
    <x v="1"/>
    <x v="5"/>
    <x v="6"/>
    <x v="19"/>
    <x v="0"/>
    <n v="1"/>
  </r>
  <r>
    <x v="0"/>
    <x v="0"/>
    <x v="1"/>
    <x v="5"/>
    <x v="6"/>
    <x v="13"/>
    <x v="13"/>
    <n v="2"/>
  </r>
  <r>
    <x v="0"/>
    <x v="0"/>
    <x v="1"/>
    <x v="5"/>
    <x v="6"/>
    <x v="2"/>
    <x v="19"/>
    <n v="3"/>
  </r>
  <r>
    <x v="0"/>
    <x v="0"/>
    <x v="1"/>
    <x v="5"/>
    <x v="6"/>
    <x v="4"/>
    <x v="14"/>
    <n v="1"/>
  </r>
  <r>
    <x v="0"/>
    <x v="0"/>
    <x v="1"/>
    <x v="5"/>
    <x v="6"/>
    <x v="5"/>
    <x v="14"/>
    <n v="1"/>
  </r>
  <r>
    <x v="0"/>
    <x v="0"/>
    <x v="1"/>
    <x v="5"/>
    <x v="6"/>
    <x v="5"/>
    <x v="19"/>
    <n v="1"/>
  </r>
  <r>
    <x v="0"/>
    <x v="0"/>
    <x v="1"/>
    <x v="5"/>
    <x v="6"/>
    <x v="9"/>
    <x v="2"/>
    <n v="1"/>
  </r>
  <r>
    <x v="0"/>
    <x v="0"/>
    <x v="1"/>
    <x v="5"/>
    <x v="9"/>
    <x v="12"/>
    <x v="2"/>
    <n v="1"/>
  </r>
  <r>
    <x v="0"/>
    <x v="0"/>
    <x v="1"/>
    <x v="5"/>
    <x v="9"/>
    <x v="0"/>
    <x v="5"/>
    <n v="1"/>
  </r>
  <r>
    <x v="0"/>
    <x v="0"/>
    <x v="1"/>
    <x v="5"/>
    <x v="10"/>
    <x v="5"/>
    <x v="1"/>
    <n v="4"/>
  </r>
  <r>
    <x v="0"/>
    <x v="0"/>
    <x v="1"/>
    <x v="6"/>
    <x v="16"/>
    <x v="12"/>
    <x v="1"/>
    <n v="1"/>
  </r>
  <r>
    <x v="0"/>
    <x v="0"/>
    <x v="1"/>
    <x v="6"/>
    <x v="8"/>
    <x v="17"/>
    <x v="12"/>
    <n v="22"/>
  </r>
  <r>
    <x v="0"/>
    <x v="0"/>
    <x v="1"/>
    <x v="6"/>
    <x v="8"/>
    <x v="17"/>
    <x v="9"/>
    <n v="488"/>
  </r>
  <r>
    <x v="0"/>
    <x v="0"/>
    <x v="1"/>
    <x v="6"/>
    <x v="8"/>
    <x v="17"/>
    <x v="3"/>
    <n v="564"/>
  </r>
  <r>
    <x v="0"/>
    <x v="0"/>
    <x v="1"/>
    <x v="6"/>
    <x v="8"/>
    <x v="17"/>
    <x v="4"/>
    <n v="485"/>
  </r>
  <r>
    <x v="0"/>
    <x v="0"/>
    <x v="1"/>
    <x v="6"/>
    <x v="8"/>
    <x v="18"/>
    <x v="9"/>
    <n v="95"/>
  </r>
  <r>
    <x v="0"/>
    <x v="0"/>
    <x v="1"/>
    <x v="6"/>
    <x v="8"/>
    <x v="18"/>
    <x v="3"/>
    <n v="95"/>
  </r>
  <r>
    <x v="0"/>
    <x v="0"/>
    <x v="1"/>
    <x v="6"/>
    <x v="8"/>
    <x v="18"/>
    <x v="4"/>
    <n v="58"/>
  </r>
  <r>
    <x v="0"/>
    <x v="0"/>
    <x v="1"/>
    <x v="6"/>
    <x v="8"/>
    <x v="18"/>
    <x v="5"/>
    <n v="20"/>
  </r>
  <r>
    <x v="0"/>
    <x v="0"/>
    <x v="1"/>
    <x v="6"/>
    <x v="8"/>
    <x v="18"/>
    <x v="0"/>
    <n v="1"/>
  </r>
  <r>
    <x v="0"/>
    <x v="0"/>
    <x v="1"/>
    <x v="6"/>
    <x v="8"/>
    <x v="19"/>
    <x v="12"/>
    <n v="17"/>
  </r>
  <r>
    <x v="0"/>
    <x v="0"/>
    <x v="1"/>
    <x v="6"/>
    <x v="3"/>
    <x v="14"/>
    <x v="1"/>
    <n v="4"/>
  </r>
  <r>
    <x v="0"/>
    <x v="0"/>
    <x v="1"/>
    <x v="6"/>
    <x v="3"/>
    <x v="13"/>
    <x v="10"/>
    <n v="3"/>
  </r>
  <r>
    <x v="0"/>
    <x v="0"/>
    <x v="1"/>
    <x v="6"/>
    <x v="3"/>
    <x v="13"/>
    <x v="1"/>
    <n v="3"/>
  </r>
  <r>
    <x v="0"/>
    <x v="0"/>
    <x v="1"/>
    <x v="9"/>
    <x v="6"/>
    <x v="7"/>
    <x v="3"/>
    <n v="1"/>
  </r>
  <r>
    <x v="0"/>
    <x v="0"/>
    <x v="1"/>
    <x v="9"/>
    <x v="6"/>
    <x v="0"/>
    <x v="13"/>
    <n v="1"/>
  </r>
  <r>
    <x v="0"/>
    <x v="0"/>
    <x v="1"/>
    <x v="9"/>
    <x v="6"/>
    <x v="0"/>
    <x v="14"/>
    <n v="1"/>
  </r>
  <r>
    <x v="0"/>
    <x v="0"/>
    <x v="1"/>
    <x v="9"/>
    <x v="10"/>
    <x v="17"/>
    <x v="4"/>
    <n v="5"/>
  </r>
  <r>
    <x v="0"/>
    <x v="0"/>
    <x v="1"/>
    <x v="9"/>
    <x v="10"/>
    <x v="17"/>
    <x v="5"/>
    <n v="5"/>
  </r>
  <r>
    <x v="0"/>
    <x v="0"/>
    <x v="1"/>
    <x v="9"/>
    <x v="10"/>
    <x v="18"/>
    <x v="9"/>
    <n v="1"/>
  </r>
  <r>
    <x v="0"/>
    <x v="0"/>
    <x v="1"/>
    <x v="9"/>
    <x v="10"/>
    <x v="18"/>
    <x v="3"/>
    <n v="4"/>
  </r>
  <r>
    <x v="0"/>
    <x v="0"/>
    <x v="1"/>
    <x v="9"/>
    <x v="10"/>
    <x v="18"/>
    <x v="4"/>
    <n v="11"/>
  </r>
  <r>
    <x v="0"/>
    <x v="0"/>
    <x v="1"/>
    <x v="9"/>
    <x v="10"/>
    <x v="18"/>
    <x v="5"/>
    <n v="7"/>
  </r>
  <r>
    <x v="0"/>
    <x v="0"/>
    <x v="1"/>
    <x v="9"/>
    <x v="10"/>
    <x v="18"/>
    <x v="13"/>
    <n v="1"/>
  </r>
  <r>
    <x v="0"/>
    <x v="0"/>
    <x v="1"/>
    <x v="9"/>
    <x v="10"/>
    <x v="19"/>
    <x v="12"/>
    <n v="1"/>
  </r>
  <r>
    <x v="0"/>
    <x v="0"/>
    <x v="1"/>
    <x v="9"/>
    <x v="10"/>
    <x v="19"/>
    <x v="9"/>
    <n v="9"/>
  </r>
  <r>
    <x v="0"/>
    <x v="0"/>
    <x v="1"/>
    <x v="9"/>
    <x v="10"/>
    <x v="19"/>
    <x v="3"/>
    <n v="7"/>
  </r>
  <r>
    <x v="0"/>
    <x v="0"/>
    <x v="1"/>
    <x v="9"/>
    <x v="10"/>
    <x v="15"/>
    <x v="19"/>
    <n v="1"/>
  </r>
  <r>
    <x v="0"/>
    <x v="0"/>
    <x v="1"/>
    <x v="9"/>
    <x v="10"/>
    <x v="14"/>
    <x v="14"/>
    <n v="1"/>
  </r>
  <r>
    <x v="0"/>
    <x v="0"/>
    <x v="1"/>
    <x v="9"/>
    <x v="10"/>
    <x v="13"/>
    <x v="13"/>
    <n v="5"/>
  </r>
  <r>
    <x v="0"/>
    <x v="0"/>
    <x v="1"/>
    <x v="9"/>
    <x v="10"/>
    <x v="2"/>
    <x v="0"/>
    <n v="1"/>
  </r>
  <r>
    <x v="0"/>
    <x v="0"/>
    <x v="1"/>
    <x v="9"/>
    <x v="10"/>
    <x v="12"/>
    <x v="13"/>
    <n v="1"/>
  </r>
  <r>
    <x v="0"/>
    <x v="0"/>
    <x v="1"/>
    <x v="9"/>
    <x v="19"/>
    <x v="17"/>
    <x v="12"/>
    <n v="2"/>
  </r>
  <r>
    <x v="0"/>
    <x v="0"/>
    <x v="1"/>
    <x v="9"/>
    <x v="19"/>
    <x v="17"/>
    <x v="9"/>
    <n v="12"/>
  </r>
  <r>
    <x v="0"/>
    <x v="0"/>
    <x v="1"/>
    <x v="9"/>
    <x v="19"/>
    <x v="17"/>
    <x v="3"/>
    <n v="8"/>
  </r>
  <r>
    <x v="0"/>
    <x v="0"/>
    <x v="1"/>
    <x v="9"/>
    <x v="19"/>
    <x v="17"/>
    <x v="4"/>
    <n v="16"/>
  </r>
  <r>
    <x v="0"/>
    <x v="0"/>
    <x v="1"/>
    <x v="9"/>
    <x v="19"/>
    <x v="17"/>
    <x v="0"/>
    <n v="1"/>
  </r>
  <r>
    <x v="0"/>
    <x v="0"/>
    <x v="1"/>
    <x v="9"/>
    <x v="19"/>
    <x v="18"/>
    <x v="12"/>
    <n v="1"/>
  </r>
  <r>
    <x v="0"/>
    <x v="0"/>
    <x v="1"/>
    <x v="9"/>
    <x v="19"/>
    <x v="18"/>
    <x v="9"/>
    <n v="2"/>
  </r>
  <r>
    <x v="0"/>
    <x v="0"/>
    <x v="1"/>
    <x v="9"/>
    <x v="19"/>
    <x v="18"/>
    <x v="3"/>
    <n v="4"/>
  </r>
  <r>
    <x v="0"/>
    <x v="0"/>
    <x v="1"/>
    <x v="9"/>
    <x v="19"/>
    <x v="18"/>
    <x v="4"/>
    <n v="1"/>
  </r>
  <r>
    <x v="0"/>
    <x v="0"/>
    <x v="1"/>
    <x v="9"/>
    <x v="19"/>
    <x v="18"/>
    <x v="5"/>
    <n v="1"/>
  </r>
  <r>
    <x v="0"/>
    <x v="0"/>
    <x v="1"/>
    <x v="7"/>
    <x v="12"/>
    <x v="0"/>
    <x v="3"/>
    <n v="1"/>
  </r>
  <r>
    <x v="0"/>
    <x v="0"/>
    <x v="1"/>
    <x v="7"/>
    <x v="12"/>
    <x v="0"/>
    <x v="4"/>
    <n v="1"/>
  </r>
  <r>
    <x v="0"/>
    <x v="0"/>
    <x v="1"/>
    <x v="7"/>
    <x v="3"/>
    <x v="1"/>
    <x v="19"/>
    <n v="1"/>
  </r>
  <r>
    <x v="0"/>
    <x v="0"/>
    <x v="1"/>
    <x v="8"/>
    <x v="4"/>
    <x v="19"/>
    <x v="2"/>
    <n v="1"/>
  </r>
  <r>
    <x v="0"/>
    <x v="0"/>
    <x v="1"/>
    <x v="8"/>
    <x v="4"/>
    <x v="16"/>
    <x v="4"/>
    <n v="2"/>
  </r>
  <r>
    <x v="0"/>
    <x v="0"/>
    <x v="1"/>
    <x v="8"/>
    <x v="4"/>
    <x v="2"/>
    <x v="3"/>
    <n v="3"/>
  </r>
  <r>
    <x v="0"/>
    <x v="0"/>
    <x v="1"/>
    <x v="8"/>
    <x v="4"/>
    <x v="10"/>
    <x v="9"/>
    <n v="2"/>
  </r>
  <r>
    <x v="0"/>
    <x v="0"/>
    <x v="1"/>
    <x v="8"/>
    <x v="4"/>
    <x v="10"/>
    <x v="3"/>
    <n v="2"/>
  </r>
  <r>
    <x v="0"/>
    <x v="0"/>
    <x v="1"/>
    <x v="8"/>
    <x v="4"/>
    <x v="3"/>
    <x v="12"/>
    <n v="1"/>
  </r>
  <r>
    <x v="0"/>
    <x v="0"/>
    <x v="1"/>
    <x v="8"/>
    <x v="4"/>
    <x v="3"/>
    <x v="9"/>
    <n v="1"/>
  </r>
  <r>
    <x v="0"/>
    <x v="0"/>
    <x v="1"/>
    <x v="8"/>
    <x v="4"/>
    <x v="3"/>
    <x v="3"/>
    <n v="2"/>
  </r>
  <r>
    <x v="0"/>
    <x v="0"/>
    <x v="1"/>
    <x v="8"/>
    <x v="13"/>
    <x v="19"/>
    <x v="14"/>
    <n v="1"/>
  </r>
  <r>
    <x v="0"/>
    <x v="0"/>
    <x v="1"/>
    <x v="8"/>
    <x v="7"/>
    <x v="17"/>
    <x v="4"/>
    <n v="3"/>
  </r>
  <r>
    <x v="0"/>
    <x v="0"/>
    <x v="1"/>
    <x v="8"/>
    <x v="7"/>
    <x v="17"/>
    <x v="5"/>
    <n v="30"/>
  </r>
  <r>
    <x v="0"/>
    <x v="0"/>
    <x v="1"/>
    <x v="8"/>
    <x v="7"/>
    <x v="17"/>
    <x v="2"/>
    <n v="44"/>
  </r>
  <r>
    <x v="0"/>
    <x v="0"/>
    <x v="1"/>
    <x v="8"/>
    <x v="7"/>
    <x v="17"/>
    <x v="13"/>
    <n v="54"/>
  </r>
  <r>
    <x v="0"/>
    <x v="0"/>
    <x v="1"/>
    <x v="8"/>
    <x v="7"/>
    <x v="18"/>
    <x v="4"/>
    <n v="2"/>
  </r>
  <r>
    <x v="0"/>
    <x v="0"/>
    <x v="1"/>
    <x v="8"/>
    <x v="7"/>
    <x v="18"/>
    <x v="5"/>
    <n v="7"/>
  </r>
  <r>
    <x v="0"/>
    <x v="0"/>
    <x v="1"/>
    <x v="8"/>
    <x v="7"/>
    <x v="18"/>
    <x v="2"/>
    <n v="15"/>
  </r>
  <r>
    <x v="0"/>
    <x v="0"/>
    <x v="1"/>
    <x v="8"/>
    <x v="7"/>
    <x v="18"/>
    <x v="13"/>
    <n v="17"/>
  </r>
  <r>
    <x v="0"/>
    <x v="0"/>
    <x v="1"/>
    <x v="8"/>
    <x v="7"/>
    <x v="18"/>
    <x v="11"/>
    <n v="16"/>
  </r>
  <r>
    <x v="0"/>
    <x v="0"/>
    <x v="1"/>
    <x v="8"/>
    <x v="7"/>
    <x v="19"/>
    <x v="4"/>
    <n v="3"/>
  </r>
  <r>
    <x v="0"/>
    <x v="0"/>
    <x v="1"/>
    <x v="8"/>
    <x v="7"/>
    <x v="14"/>
    <x v="17"/>
    <n v="4"/>
  </r>
  <r>
    <x v="0"/>
    <x v="0"/>
    <x v="1"/>
    <x v="8"/>
    <x v="7"/>
    <x v="14"/>
    <x v="19"/>
    <n v="10"/>
  </r>
  <r>
    <x v="0"/>
    <x v="0"/>
    <x v="1"/>
    <x v="8"/>
    <x v="7"/>
    <x v="13"/>
    <x v="14"/>
    <n v="3"/>
  </r>
  <r>
    <x v="0"/>
    <x v="0"/>
    <x v="1"/>
    <x v="8"/>
    <x v="7"/>
    <x v="13"/>
    <x v="17"/>
    <n v="1"/>
  </r>
  <r>
    <x v="0"/>
    <x v="0"/>
    <x v="1"/>
    <x v="8"/>
    <x v="7"/>
    <x v="13"/>
    <x v="19"/>
    <n v="9"/>
  </r>
  <r>
    <x v="0"/>
    <x v="0"/>
    <x v="1"/>
    <x v="8"/>
    <x v="7"/>
    <x v="10"/>
    <x v="0"/>
    <n v="2"/>
  </r>
  <r>
    <x v="0"/>
    <x v="0"/>
    <x v="1"/>
    <x v="8"/>
    <x v="6"/>
    <x v="17"/>
    <x v="3"/>
    <n v="1"/>
  </r>
  <r>
    <x v="0"/>
    <x v="0"/>
    <x v="1"/>
    <x v="8"/>
    <x v="6"/>
    <x v="17"/>
    <x v="4"/>
    <n v="2"/>
  </r>
  <r>
    <x v="0"/>
    <x v="0"/>
    <x v="1"/>
    <x v="8"/>
    <x v="6"/>
    <x v="18"/>
    <x v="9"/>
    <n v="3"/>
  </r>
  <r>
    <x v="0"/>
    <x v="0"/>
    <x v="1"/>
    <x v="8"/>
    <x v="6"/>
    <x v="18"/>
    <x v="3"/>
    <n v="3"/>
  </r>
  <r>
    <x v="0"/>
    <x v="0"/>
    <x v="1"/>
    <x v="8"/>
    <x v="6"/>
    <x v="18"/>
    <x v="4"/>
    <n v="3"/>
  </r>
  <r>
    <x v="0"/>
    <x v="0"/>
    <x v="1"/>
    <x v="8"/>
    <x v="6"/>
    <x v="19"/>
    <x v="9"/>
    <n v="6"/>
  </r>
  <r>
    <x v="0"/>
    <x v="0"/>
    <x v="1"/>
    <x v="8"/>
    <x v="6"/>
    <x v="19"/>
    <x v="3"/>
    <n v="3"/>
  </r>
  <r>
    <x v="0"/>
    <x v="0"/>
    <x v="1"/>
    <x v="8"/>
    <x v="6"/>
    <x v="19"/>
    <x v="18"/>
    <n v="1"/>
  </r>
  <r>
    <x v="0"/>
    <x v="0"/>
    <x v="1"/>
    <x v="8"/>
    <x v="6"/>
    <x v="14"/>
    <x v="19"/>
    <n v="1"/>
  </r>
  <r>
    <x v="0"/>
    <x v="0"/>
    <x v="1"/>
    <x v="8"/>
    <x v="6"/>
    <x v="9"/>
    <x v="1"/>
    <n v="1"/>
  </r>
  <r>
    <x v="0"/>
    <x v="0"/>
    <x v="1"/>
    <x v="8"/>
    <x v="6"/>
    <x v="0"/>
    <x v="2"/>
    <n v="1"/>
  </r>
  <r>
    <x v="0"/>
    <x v="0"/>
    <x v="1"/>
    <x v="8"/>
    <x v="10"/>
    <x v="11"/>
    <x v="11"/>
    <n v="1"/>
  </r>
  <r>
    <x v="0"/>
    <x v="0"/>
    <x v="1"/>
    <x v="8"/>
    <x v="10"/>
    <x v="12"/>
    <x v="5"/>
    <n v="1"/>
  </r>
  <r>
    <x v="0"/>
    <x v="0"/>
    <x v="1"/>
    <x v="8"/>
    <x v="10"/>
    <x v="1"/>
    <x v="4"/>
    <n v="1"/>
  </r>
  <r>
    <x v="0"/>
    <x v="0"/>
    <x v="1"/>
    <x v="8"/>
    <x v="10"/>
    <x v="1"/>
    <x v="5"/>
    <n v="1"/>
  </r>
  <r>
    <x v="0"/>
    <x v="0"/>
    <x v="1"/>
    <x v="8"/>
    <x v="10"/>
    <x v="1"/>
    <x v="2"/>
    <n v="2"/>
  </r>
  <r>
    <x v="0"/>
    <x v="0"/>
    <x v="1"/>
    <x v="8"/>
    <x v="11"/>
    <x v="11"/>
    <x v="12"/>
    <n v="2"/>
  </r>
  <r>
    <x v="0"/>
    <x v="0"/>
    <x v="1"/>
    <x v="8"/>
    <x v="11"/>
    <x v="7"/>
    <x v="2"/>
    <n v="1"/>
  </r>
  <r>
    <x v="0"/>
    <x v="0"/>
    <x v="1"/>
    <x v="10"/>
    <x v="16"/>
    <x v="2"/>
    <x v="12"/>
    <n v="10"/>
  </r>
  <r>
    <x v="0"/>
    <x v="0"/>
    <x v="1"/>
    <x v="10"/>
    <x v="16"/>
    <x v="2"/>
    <x v="9"/>
    <n v="9"/>
  </r>
  <r>
    <x v="0"/>
    <x v="0"/>
    <x v="1"/>
    <x v="10"/>
    <x v="16"/>
    <x v="10"/>
    <x v="12"/>
    <n v="12"/>
  </r>
  <r>
    <x v="0"/>
    <x v="0"/>
    <x v="1"/>
    <x v="10"/>
    <x v="16"/>
    <x v="7"/>
    <x v="12"/>
    <n v="1"/>
  </r>
  <r>
    <x v="0"/>
    <x v="0"/>
    <x v="1"/>
    <x v="11"/>
    <x v="0"/>
    <x v="4"/>
    <x v="10"/>
    <n v="1"/>
  </r>
  <r>
    <x v="0"/>
    <x v="0"/>
    <x v="1"/>
    <x v="11"/>
    <x v="0"/>
    <x v="5"/>
    <x v="10"/>
    <n v="2"/>
  </r>
  <r>
    <x v="0"/>
    <x v="0"/>
    <x v="1"/>
    <x v="11"/>
    <x v="0"/>
    <x v="5"/>
    <x v="3"/>
    <n v="2"/>
  </r>
  <r>
    <x v="0"/>
    <x v="0"/>
    <x v="1"/>
    <x v="11"/>
    <x v="0"/>
    <x v="12"/>
    <x v="12"/>
    <n v="1"/>
  </r>
  <r>
    <x v="0"/>
    <x v="0"/>
    <x v="1"/>
    <x v="11"/>
    <x v="14"/>
    <x v="12"/>
    <x v="17"/>
    <n v="1"/>
  </r>
  <r>
    <x v="0"/>
    <x v="0"/>
    <x v="1"/>
    <x v="11"/>
    <x v="7"/>
    <x v="5"/>
    <x v="17"/>
    <n v="2"/>
  </r>
  <r>
    <x v="0"/>
    <x v="0"/>
    <x v="1"/>
    <x v="11"/>
    <x v="7"/>
    <x v="5"/>
    <x v="19"/>
    <n v="3"/>
  </r>
  <r>
    <x v="0"/>
    <x v="0"/>
    <x v="1"/>
    <x v="11"/>
    <x v="7"/>
    <x v="11"/>
    <x v="14"/>
    <n v="1"/>
  </r>
  <r>
    <x v="0"/>
    <x v="0"/>
    <x v="1"/>
    <x v="11"/>
    <x v="7"/>
    <x v="11"/>
    <x v="17"/>
    <n v="2"/>
  </r>
  <r>
    <x v="0"/>
    <x v="0"/>
    <x v="1"/>
    <x v="11"/>
    <x v="7"/>
    <x v="11"/>
    <x v="19"/>
    <n v="2"/>
  </r>
  <r>
    <x v="0"/>
    <x v="0"/>
    <x v="1"/>
    <x v="11"/>
    <x v="7"/>
    <x v="6"/>
    <x v="11"/>
    <n v="3"/>
  </r>
  <r>
    <x v="0"/>
    <x v="0"/>
    <x v="1"/>
    <x v="11"/>
    <x v="7"/>
    <x v="6"/>
    <x v="14"/>
    <n v="5"/>
  </r>
  <r>
    <x v="0"/>
    <x v="0"/>
    <x v="1"/>
    <x v="11"/>
    <x v="7"/>
    <x v="9"/>
    <x v="13"/>
    <n v="5"/>
  </r>
  <r>
    <x v="0"/>
    <x v="0"/>
    <x v="1"/>
    <x v="11"/>
    <x v="7"/>
    <x v="9"/>
    <x v="11"/>
    <n v="4"/>
  </r>
  <r>
    <x v="0"/>
    <x v="0"/>
    <x v="1"/>
    <x v="11"/>
    <x v="7"/>
    <x v="9"/>
    <x v="14"/>
    <n v="1"/>
  </r>
  <r>
    <x v="0"/>
    <x v="0"/>
    <x v="1"/>
    <x v="11"/>
    <x v="7"/>
    <x v="12"/>
    <x v="2"/>
    <n v="3"/>
  </r>
  <r>
    <x v="0"/>
    <x v="0"/>
    <x v="1"/>
    <x v="11"/>
    <x v="7"/>
    <x v="12"/>
    <x v="13"/>
    <n v="3"/>
  </r>
  <r>
    <x v="0"/>
    <x v="0"/>
    <x v="1"/>
    <x v="11"/>
    <x v="7"/>
    <x v="12"/>
    <x v="11"/>
    <n v="8"/>
  </r>
  <r>
    <x v="0"/>
    <x v="0"/>
    <x v="1"/>
    <x v="11"/>
    <x v="7"/>
    <x v="1"/>
    <x v="5"/>
    <n v="2"/>
  </r>
  <r>
    <x v="0"/>
    <x v="0"/>
    <x v="1"/>
    <x v="11"/>
    <x v="7"/>
    <x v="1"/>
    <x v="2"/>
    <n v="4"/>
  </r>
  <r>
    <x v="0"/>
    <x v="0"/>
    <x v="1"/>
    <x v="11"/>
    <x v="7"/>
    <x v="1"/>
    <x v="13"/>
    <n v="6"/>
  </r>
  <r>
    <x v="0"/>
    <x v="0"/>
    <x v="1"/>
    <x v="11"/>
    <x v="7"/>
    <x v="0"/>
    <x v="4"/>
    <n v="1"/>
  </r>
  <r>
    <x v="0"/>
    <x v="0"/>
    <x v="1"/>
    <x v="11"/>
    <x v="7"/>
    <x v="0"/>
    <x v="5"/>
    <n v="4"/>
  </r>
  <r>
    <x v="0"/>
    <x v="0"/>
    <x v="1"/>
    <x v="11"/>
    <x v="7"/>
    <x v="0"/>
    <x v="2"/>
    <n v="5"/>
  </r>
  <r>
    <x v="0"/>
    <x v="0"/>
    <x v="1"/>
    <x v="12"/>
    <x v="7"/>
    <x v="18"/>
    <x v="5"/>
    <n v="3"/>
  </r>
  <r>
    <x v="0"/>
    <x v="0"/>
    <x v="1"/>
    <x v="12"/>
    <x v="7"/>
    <x v="14"/>
    <x v="11"/>
    <n v="1"/>
  </r>
  <r>
    <x v="0"/>
    <x v="0"/>
    <x v="1"/>
    <x v="12"/>
    <x v="7"/>
    <x v="13"/>
    <x v="5"/>
    <n v="1"/>
  </r>
  <r>
    <x v="0"/>
    <x v="0"/>
    <x v="1"/>
    <x v="12"/>
    <x v="6"/>
    <x v="17"/>
    <x v="18"/>
    <n v="1"/>
  </r>
  <r>
    <x v="0"/>
    <x v="0"/>
    <x v="1"/>
    <x v="12"/>
    <x v="6"/>
    <x v="18"/>
    <x v="12"/>
    <n v="6"/>
  </r>
  <r>
    <x v="0"/>
    <x v="0"/>
    <x v="1"/>
    <x v="12"/>
    <x v="6"/>
    <x v="18"/>
    <x v="3"/>
    <n v="3"/>
  </r>
  <r>
    <x v="0"/>
    <x v="0"/>
    <x v="1"/>
    <x v="12"/>
    <x v="6"/>
    <x v="16"/>
    <x v="17"/>
    <n v="1"/>
  </r>
  <r>
    <x v="0"/>
    <x v="0"/>
    <x v="1"/>
    <x v="12"/>
    <x v="6"/>
    <x v="15"/>
    <x v="11"/>
    <n v="1"/>
  </r>
  <r>
    <x v="0"/>
    <x v="0"/>
    <x v="1"/>
    <x v="12"/>
    <x v="6"/>
    <x v="14"/>
    <x v="14"/>
    <n v="1"/>
  </r>
  <r>
    <x v="0"/>
    <x v="0"/>
    <x v="1"/>
    <x v="12"/>
    <x v="6"/>
    <x v="4"/>
    <x v="1"/>
    <n v="1"/>
  </r>
  <r>
    <x v="0"/>
    <x v="0"/>
    <x v="1"/>
    <x v="12"/>
    <x v="6"/>
    <x v="5"/>
    <x v="14"/>
    <n v="1"/>
  </r>
  <r>
    <x v="0"/>
    <x v="0"/>
    <x v="1"/>
    <x v="12"/>
    <x v="6"/>
    <x v="11"/>
    <x v="1"/>
    <n v="3"/>
  </r>
  <r>
    <x v="0"/>
    <x v="0"/>
    <x v="1"/>
    <x v="12"/>
    <x v="6"/>
    <x v="6"/>
    <x v="2"/>
    <n v="1"/>
  </r>
  <r>
    <x v="0"/>
    <x v="0"/>
    <x v="1"/>
    <x v="12"/>
    <x v="6"/>
    <x v="6"/>
    <x v="13"/>
    <n v="1"/>
  </r>
  <r>
    <x v="0"/>
    <x v="0"/>
    <x v="1"/>
    <x v="12"/>
    <x v="6"/>
    <x v="6"/>
    <x v="11"/>
    <n v="1"/>
  </r>
  <r>
    <x v="0"/>
    <x v="0"/>
    <x v="1"/>
    <x v="12"/>
    <x v="6"/>
    <x v="9"/>
    <x v="5"/>
    <n v="4"/>
  </r>
  <r>
    <x v="0"/>
    <x v="0"/>
    <x v="1"/>
    <x v="12"/>
    <x v="6"/>
    <x v="12"/>
    <x v="4"/>
    <n v="2"/>
  </r>
  <r>
    <x v="0"/>
    <x v="0"/>
    <x v="1"/>
    <x v="12"/>
    <x v="6"/>
    <x v="12"/>
    <x v="5"/>
    <n v="2"/>
  </r>
  <r>
    <x v="0"/>
    <x v="0"/>
    <x v="1"/>
    <x v="12"/>
    <x v="6"/>
    <x v="12"/>
    <x v="2"/>
    <n v="3"/>
  </r>
  <r>
    <x v="0"/>
    <x v="0"/>
    <x v="1"/>
    <x v="12"/>
    <x v="6"/>
    <x v="1"/>
    <x v="4"/>
    <n v="1"/>
  </r>
  <r>
    <x v="0"/>
    <x v="0"/>
    <x v="1"/>
    <x v="12"/>
    <x v="6"/>
    <x v="1"/>
    <x v="5"/>
    <n v="1"/>
  </r>
  <r>
    <x v="0"/>
    <x v="0"/>
    <x v="1"/>
    <x v="12"/>
    <x v="6"/>
    <x v="0"/>
    <x v="3"/>
    <n v="2"/>
  </r>
  <r>
    <x v="0"/>
    <x v="0"/>
    <x v="1"/>
    <x v="12"/>
    <x v="6"/>
    <x v="0"/>
    <x v="4"/>
    <n v="1"/>
  </r>
  <r>
    <x v="0"/>
    <x v="0"/>
    <x v="1"/>
    <x v="13"/>
    <x v="0"/>
    <x v="19"/>
    <x v="5"/>
    <n v="1"/>
  </r>
  <r>
    <x v="0"/>
    <x v="0"/>
    <x v="1"/>
    <x v="13"/>
    <x v="0"/>
    <x v="19"/>
    <x v="2"/>
    <n v="2"/>
  </r>
  <r>
    <x v="0"/>
    <x v="0"/>
    <x v="1"/>
    <x v="13"/>
    <x v="0"/>
    <x v="19"/>
    <x v="13"/>
    <n v="2"/>
  </r>
  <r>
    <x v="0"/>
    <x v="0"/>
    <x v="1"/>
    <x v="13"/>
    <x v="0"/>
    <x v="19"/>
    <x v="11"/>
    <n v="1"/>
  </r>
  <r>
    <x v="0"/>
    <x v="0"/>
    <x v="1"/>
    <x v="13"/>
    <x v="0"/>
    <x v="16"/>
    <x v="5"/>
    <n v="2"/>
  </r>
  <r>
    <x v="0"/>
    <x v="0"/>
    <x v="1"/>
    <x v="13"/>
    <x v="0"/>
    <x v="16"/>
    <x v="2"/>
    <n v="2"/>
  </r>
  <r>
    <x v="0"/>
    <x v="0"/>
    <x v="1"/>
    <x v="13"/>
    <x v="0"/>
    <x v="16"/>
    <x v="13"/>
    <n v="2"/>
  </r>
  <r>
    <x v="0"/>
    <x v="0"/>
    <x v="1"/>
    <x v="13"/>
    <x v="0"/>
    <x v="15"/>
    <x v="5"/>
    <n v="5"/>
  </r>
  <r>
    <x v="0"/>
    <x v="0"/>
    <x v="1"/>
    <x v="13"/>
    <x v="0"/>
    <x v="13"/>
    <x v="0"/>
    <n v="2"/>
  </r>
  <r>
    <x v="0"/>
    <x v="0"/>
    <x v="1"/>
    <x v="13"/>
    <x v="0"/>
    <x v="2"/>
    <x v="2"/>
    <n v="5"/>
  </r>
  <r>
    <x v="0"/>
    <x v="0"/>
    <x v="1"/>
    <x v="13"/>
    <x v="0"/>
    <x v="2"/>
    <x v="13"/>
    <n v="3"/>
  </r>
  <r>
    <x v="0"/>
    <x v="0"/>
    <x v="1"/>
    <x v="13"/>
    <x v="0"/>
    <x v="2"/>
    <x v="11"/>
    <n v="1"/>
  </r>
  <r>
    <x v="0"/>
    <x v="0"/>
    <x v="1"/>
    <x v="13"/>
    <x v="0"/>
    <x v="10"/>
    <x v="2"/>
    <n v="1"/>
  </r>
  <r>
    <x v="0"/>
    <x v="0"/>
    <x v="1"/>
    <x v="13"/>
    <x v="0"/>
    <x v="10"/>
    <x v="13"/>
    <n v="3"/>
  </r>
  <r>
    <x v="0"/>
    <x v="0"/>
    <x v="1"/>
    <x v="13"/>
    <x v="0"/>
    <x v="3"/>
    <x v="2"/>
    <n v="1"/>
  </r>
  <r>
    <x v="0"/>
    <x v="0"/>
    <x v="1"/>
    <x v="13"/>
    <x v="0"/>
    <x v="3"/>
    <x v="18"/>
    <n v="1"/>
  </r>
  <r>
    <x v="0"/>
    <x v="0"/>
    <x v="1"/>
    <x v="13"/>
    <x v="0"/>
    <x v="4"/>
    <x v="0"/>
    <n v="1"/>
  </r>
  <r>
    <x v="0"/>
    <x v="0"/>
    <x v="1"/>
    <x v="13"/>
    <x v="0"/>
    <x v="4"/>
    <x v="18"/>
    <n v="1"/>
  </r>
  <r>
    <x v="0"/>
    <x v="0"/>
    <x v="1"/>
    <x v="13"/>
    <x v="0"/>
    <x v="5"/>
    <x v="0"/>
    <n v="5"/>
  </r>
  <r>
    <x v="0"/>
    <x v="0"/>
    <x v="1"/>
    <x v="13"/>
    <x v="16"/>
    <x v="0"/>
    <x v="4"/>
    <n v="1"/>
  </r>
  <r>
    <x v="0"/>
    <x v="0"/>
    <x v="1"/>
    <x v="13"/>
    <x v="8"/>
    <x v="1"/>
    <x v="5"/>
    <n v="1"/>
  </r>
  <r>
    <x v="0"/>
    <x v="0"/>
    <x v="1"/>
    <x v="13"/>
    <x v="17"/>
    <x v="16"/>
    <x v="13"/>
    <n v="1"/>
  </r>
  <r>
    <x v="0"/>
    <x v="0"/>
    <x v="1"/>
    <x v="13"/>
    <x v="17"/>
    <x v="16"/>
    <x v="11"/>
    <n v="1"/>
  </r>
  <r>
    <x v="0"/>
    <x v="0"/>
    <x v="1"/>
    <x v="13"/>
    <x v="17"/>
    <x v="16"/>
    <x v="14"/>
    <n v="2"/>
  </r>
  <r>
    <x v="0"/>
    <x v="0"/>
    <x v="1"/>
    <x v="13"/>
    <x v="17"/>
    <x v="15"/>
    <x v="5"/>
    <n v="2"/>
  </r>
  <r>
    <x v="0"/>
    <x v="0"/>
    <x v="1"/>
    <x v="13"/>
    <x v="17"/>
    <x v="15"/>
    <x v="13"/>
    <n v="4"/>
  </r>
  <r>
    <x v="0"/>
    <x v="0"/>
    <x v="1"/>
    <x v="13"/>
    <x v="17"/>
    <x v="15"/>
    <x v="11"/>
    <n v="1"/>
  </r>
  <r>
    <x v="0"/>
    <x v="0"/>
    <x v="1"/>
    <x v="13"/>
    <x v="17"/>
    <x v="14"/>
    <x v="2"/>
    <n v="2"/>
  </r>
  <r>
    <x v="0"/>
    <x v="0"/>
    <x v="1"/>
    <x v="13"/>
    <x v="17"/>
    <x v="14"/>
    <x v="13"/>
    <n v="4"/>
  </r>
  <r>
    <x v="0"/>
    <x v="0"/>
    <x v="1"/>
    <x v="13"/>
    <x v="17"/>
    <x v="14"/>
    <x v="11"/>
    <n v="1"/>
  </r>
  <r>
    <x v="0"/>
    <x v="0"/>
    <x v="1"/>
    <x v="13"/>
    <x v="17"/>
    <x v="13"/>
    <x v="5"/>
    <n v="5"/>
  </r>
  <r>
    <x v="0"/>
    <x v="0"/>
    <x v="1"/>
    <x v="13"/>
    <x v="17"/>
    <x v="13"/>
    <x v="2"/>
    <n v="1"/>
  </r>
  <r>
    <x v="0"/>
    <x v="0"/>
    <x v="1"/>
    <x v="13"/>
    <x v="17"/>
    <x v="2"/>
    <x v="11"/>
    <n v="1"/>
  </r>
  <r>
    <x v="0"/>
    <x v="0"/>
    <x v="1"/>
    <x v="13"/>
    <x v="17"/>
    <x v="10"/>
    <x v="13"/>
    <n v="2"/>
  </r>
  <r>
    <x v="0"/>
    <x v="0"/>
    <x v="1"/>
    <x v="13"/>
    <x v="17"/>
    <x v="10"/>
    <x v="11"/>
    <n v="1"/>
  </r>
  <r>
    <x v="0"/>
    <x v="0"/>
    <x v="1"/>
    <x v="13"/>
    <x v="17"/>
    <x v="3"/>
    <x v="2"/>
    <n v="2"/>
  </r>
  <r>
    <x v="0"/>
    <x v="0"/>
    <x v="1"/>
    <x v="13"/>
    <x v="17"/>
    <x v="4"/>
    <x v="13"/>
    <n v="1"/>
  </r>
  <r>
    <x v="0"/>
    <x v="0"/>
    <x v="1"/>
    <x v="13"/>
    <x v="17"/>
    <x v="5"/>
    <x v="2"/>
    <n v="1"/>
  </r>
  <r>
    <x v="0"/>
    <x v="0"/>
    <x v="1"/>
    <x v="14"/>
    <x v="16"/>
    <x v="14"/>
    <x v="1"/>
    <n v="10"/>
  </r>
  <r>
    <x v="0"/>
    <x v="0"/>
    <x v="1"/>
    <x v="14"/>
    <x v="16"/>
    <x v="13"/>
    <x v="10"/>
    <n v="27"/>
  </r>
  <r>
    <x v="0"/>
    <x v="0"/>
    <x v="1"/>
    <x v="14"/>
    <x v="16"/>
    <x v="13"/>
    <x v="1"/>
    <n v="26"/>
  </r>
  <r>
    <x v="0"/>
    <x v="0"/>
    <x v="1"/>
    <x v="14"/>
    <x v="16"/>
    <x v="13"/>
    <x v="11"/>
    <n v="1"/>
  </r>
  <r>
    <x v="0"/>
    <x v="0"/>
    <x v="1"/>
    <x v="14"/>
    <x v="16"/>
    <x v="5"/>
    <x v="11"/>
    <n v="2"/>
  </r>
  <r>
    <x v="0"/>
    <x v="0"/>
    <x v="1"/>
    <x v="14"/>
    <x v="16"/>
    <x v="6"/>
    <x v="2"/>
    <n v="1"/>
  </r>
  <r>
    <x v="0"/>
    <x v="0"/>
    <x v="1"/>
    <x v="14"/>
    <x v="16"/>
    <x v="0"/>
    <x v="4"/>
    <n v="1"/>
  </r>
  <r>
    <x v="0"/>
    <x v="0"/>
    <x v="1"/>
    <x v="14"/>
    <x v="18"/>
    <x v="0"/>
    <x v="14"/>
    <n v="1"/>
  </r>
  <r>
    <x v="0"/>
    <x v="0"/>
    <x v="1"/>
    <x v="15"/>
    <x v="1"/>
    <x v="7"/>
    <x v="9"/>
    <n v="2"/>
  </r>
  <r>
    <x v="0"/>
    <x v="0"/>
    <x v="1"/>
    <x v="15"/>
    <x v="1"/>
    <x v="8"/>
    <x v="9"/>
    <n v="1"/>
  </r>
  <r>
    <x v="0"/>
    <x v="0"/>
    <x v="1"/>
    <x v="15"/>
    <x v="1"/>
    <x v="8"/>
    <x v="3"/>
    <n v="1"/>
  </r>
  <r>
    <x v="0"/>
    <x v="0"/>
    <x v="1"/>
    <x v="15"/>
    <x v="11"/>
    <x v="15"/>
    <x v="9"/>
    <n v="2"/>
  </r>
  <r>
    <x v="0"/>
    <x v="0"/>
    <x v="1"/>
    <x v="15"/>
    <x v="11"/>
    <x v="15"/>
    <x v="3"/>
    <n v="2"/>
  </r>
  <r>
    <x v="0"/>
    <x v="0"/>
    <x v="1"/>
    <x v="15"/>
    <x v="11"/>
    <x v="14"/>
    <x v="12"/>
    <n v="2"/>
  </r>
  <r>
    <x v="0"/>
    <x v="0"/>
    <x v="1"/>
    <x v="15"/>
    <x v="11"/>
    <x v="14"/>
    <x v="9"/>
    <n v="4"/>
  </r>
  <r>
    <x v="0"/>
    <x v="0"/>
    <x v="1"/>
    <x v="15"/>
    <x v="11"/>
    <x v="14"/>
    <x v="3"/>
    <n v="1"/>
  </r>
  <r>
    <x v="0"/>
    <x v="0"/>
    <x v="1"/>
    <x v="15"/>
    <x v="11"/>
    <x v="14"/>
    <x v="4"/>
    <n v="2"/>
  </r>
  <r>
    <x v="0"/>
    <x v="0"/>
    <x v="1"/>
    <x v="15"/>
    <x v="11"/>
    <x v="13"/>
    <x v="12"/>
    <n v="1"/>
  </r>
  <r>
    <x v="0"/>
    <x v="0"/>
    <x v="1"/>
    <x v="15"/>
    <x v="11"/>
    <x v="13"/>
    <x v="9"/>
    <n v="2"/>
  </r>
  <r>
    <x v="0"/>
    <x v="0"/>
    <x v="1"/>
    <x v="15"/>
    <x v="11"/>
    <x v="13"/>
    <x v="3"/>
    <n v="1"/>
  </r>
  <r>
    <x v="0"/>
    <x v="0"/>
    <x v="1"/>
    <x v="15"/>
    <x v="11"/>
    <x v="13"/>
    <x v="4"/>
    <n v="1"/>
  </r>
  <r>
    <x v="0"/>
    <x v="0"/>
    <x v="1"/>
    <x v="15"/>
    <x v="11"/>
    <x v="13"/>
    <x v="0"/>
    <n v="1"/>
  </r>
  <r>
    <x v="0"/>
    <x v="0"/>
    <x v="1"/>
    <x v="15"/>
    <x v="11"/>
    <x v="2"/>
    <x v="1"/>
    <n v="2"/>
  </r>
  <r>
    <x v="0"/>
    <x v="0"/>
    <x v="1"/>
    <x v="15"/>
    <x v="11"/>
    <x v="10"/>
    <x v="1"/>
    <n v="1"/>
  </r>
  <r>
    <x v="0"/>
    <x v="0"/>
    <x v="1"/>
    <x v="15"/>
    <x v="11"/>
    <x v="10"/>
    <x v="5"/>
    <n v="2"/>
  </r>
  <r>
    <x v="0"/>
    <x v="0"/>
    <x v="1"/>
    <x v="15"/>
    <x v="11"/>
    <x v="4"/>
    <x v="4"/>
    <n v="3"/>
  </r>
  <r>
    <x v="0"/>
    <x v="0"/>
    <x v="1"/>
    <x v="15"/>
    <x v="11"/>
    <x v="5"/>
    <x v="9"/>
    <n v="3"/>
  </r>
  <r>
    <x v="0"/>
    <x v="0"/>
    <x v="0"/>
    <x v="15"/>
    <x v="1"/>
    <x v="11"/>
    <x v="3"/>
    <n v="1"/>
  </r>
  <r>
    <x v="0"/>
    <x v="0"/>
    <x v="0"/>
    <x v="15"/>
    <x v="1"/>
    <x v="6"/>
    <x v="9"/>
    <n v="1"/>
  </r>
  <r>
    <x v="0"/>
    <x v="0"/>
    <x v="0"/>
    <x v="15"/>
    <x v="1"/>
    <x v="6"/>
    <x v="3"/>
    <n v="1"/>
  </r>
  <r>
    <x v="0"/>
    <x v="0"/>
    <x v="0"/>
    <x v="15"/>
    <x v="1"/>
    <x v="9"/>
    <x v="1"/>
    <n v="4"/>
  </r>
  <r>
    <x v="0"/>
    <x v="0"/>
    <x v="0"/>
    <x v="15"/>
    <x v="1"/>
    <x v="9"/>
    <x v="12"/>
    <n v="1"/>
  </r>
  <r>
    <x v="0"/>
    <x v="0"/>
    <x v="0"/>
    <x v="15"/>
    <x v="1"/>
    <x v="9"/>
    <x v="3"/>
    <n v="1"/>
  </r>
  <r>
    <x v="0"/>
    <x v="0"/>
    <x v="0"/>
    <x v="15"/>
    <x v="1"/>
    <x v="12"/>
    <x v="1"/>
    <n v="7"/>
  </r>
  <r>
    <x v="0"/>
    <x v="0"/>
    <x v="0"/>
    <x v="15"/>
    <x v="1"/>
    <x v="1"/>
    <x v="10"/>
    <n v="6"/>
  </r>
  <r>
    <x v="0"/>
    <x v="0"/>
    <x v="0"/>
    <x v="15"/>
    <x v="1"/>
    <x v="1"/>
    <x v="1"/>
    <n v="9"/>
  </r>
  <r>
    <x v="0"/>
    <x v="0"/>
    <x v="0"/>
    <x v="15"/>
    <x v="1"/>
    <x v="1"/>
    <x v="12"/>
    <n v="1"/>
  </r>
  <r>
    <x v="0"/>
    <x v="0"/>
    <x v="0"/>
    <x v="15"/>
    <x v="1"/>
    <x v="8"/>
    <x v="9"/>
    <n v="2"/>
  </r>
  <r>
    <x v="0"/>
    <x v="0"/>
    <x v="0"/>
    <x v="15"/>
    <x v="1"/>
    <x v="0"/>
    <x v="1"/>
    <n v="3"/>
  </r>
  <r>
    <x v="0"/>
    <x v="0"/>
    <x v="0"/>
    <x v="16"/>
    <x v="0"/>
    <x v="1"/>
    <x v="13"/>
    <n v="1"/>
  </r>
  <r>
    <x v="0"/>
    <x v="0"/>
    <x v="0"/>
    <x v="16"/>
    <x v="15"/>
    <x v="1"/>
    <x v="1"/>
    <n v="1"/>
  </r>
  <r>
    <x v="0"/>
    <x v="0"/>
    <x v="0"/>
    <x v="16"/>
    <x v="15"/>
    <x v="0"/>
    <x v="1"/>
    <n v="1"/>
  </r>
  <r>
    <x v="0"/>
    <x v="0"/>
    <x v="0"/>
    <x v="16"/>
    <x v="19"/>
    <x v="8"/>
    <x v="12"/>
    <n v="1"/>
  </r>
  <r>
    <x v="0"/>
    <x v="0"/>
    <x v="0"/>
    <x v="16"/>
    <x v="19"/>
    <x v="0"/>
    <x v="2"/>
    <n v="2"/>
  </r>
  <r>
    <x v="0"/>
    <x v="0"/>
    <x v="0"/>
    <x v="16"/>
    <x v="19"/>
    <x v="0"/>
    <x v="13"/>
    <n v="1"/>
  </r>
  <r>
    <x v="0"/>
    <x v="0"/>
    <x v="0"/>
    <x v="17"/>
    <x v="3"/>
    <x v="0"/>
    <x v="5"/>
    <n v="6"/>
  </r>
  <r>
    <x v="0"/>
    <x v="0"/>
    <x v="0"/>
    <x v="17"/>
    <x v="3"/>
    <x v="0"/>
    <x v="2"/>
    <n v="6"/>
  </r>
  <r>
    <x v="0"/>
    <x v="0"/>
    <x v="0"/>
    <x v="17"/>
    <x v="3"/>
    <x v="0"/>
    <x v="13"/>
    <n v="4"/>
  </r>
  <r>
    <x v="0"/>
    <x v="0"/>
    <x v="0"/>
    <x v="17"/>
    <x v="7"/>
    <x v="0"/>
    <x v="4"/>
    <n v="2"/>
  </r>
  <r>
    <x v="0"/>
    <x v="0"/>
    <x v="0"/>
    <x v="17"/>
    <x v="7"/>
    <x v="0"/>
    <x v="2"/>
    <n v="1"/>
  </r>
  <r>
    <x v="0"/>
    <x v="0"/>
    <x v="0"/>
    <x v="17"/>
    <x v="19"/>
    <x v="0"/>
    <x v="12"/>
    <n v="4"/>
  </r>
  <r>
    <x v="0"/>
    <x v="0"/>
    <x v="0"/>
    <x v="19"/>
    <x v="7"/>
    <x v="16"/>
    <x v="7"/>
    <n v="426"/>
  </r>
  <r>
    <x v="0"/>
    <x v="0"/>
    <x v="0"/>
    <x v="19"/>
    <x v="7"/>
    <x v="16"/>
    <x v="6"/>
    <n v="15"/>
  </r>
  <r>
    <x v="0"/>
    <x v="0"/>
    <x v="0"/>
    <x v="19"/>
    <x v="7"/>
    <x v="15"/>
    <x v="7"/>
    <n v="731"/>
  </r>
  <r>
    <x v="0"/>
    <x v="0"/>
    <x v="0"/>
    <x v="19"/>
    <x v="7"/>
    <x v="14"/>
    <x v="8"/>
    <n v="1011"/>
  </r>
  <r>
    <x v="0"/>
    <x v="0"/>
    <x v="0"/>
    <x v="19"/>
    <x v="7"/>
    <x v="14"/>
    <x v="5"/>
    <n v="6"/>
  </r>
  <r>
    <x v="0"/>
    <x v="0"/>
    <x v="0"/>
    <x v="19"/>
    <x v="7"/>
    <x v="14"/>
    <x v="2"/>
    <n v="1"/>
  </r>
  <r>
    <x v="0"/>
    <x v="0"/>
    <x v="0"/>
    <x v="19"/>
    <x v="7"/>
    <x v="13"/>
    <x v="8"/>
    <n v="1042"/>
  </r>
  <r>
    <x v="0"/>
    <x v="0"/>
    <x v="0"/>
    <x v="19"/>
    <x v="7"/>
    <x v="13"/>
    <x v="3"/>
    <n v="27"/>
  </r>
  <r>
    <x v="0"/>
    <x v="0"/>
    <x v="0"/>
    <x v="19"/>
    <x v="7"/>
    <x v="13"/>
    <x v="4"/>
    <n v="16"/>
  </r>
  <r>
    <x v="0"/>
    <x v="0"/>
    <x v="0"/>
    <x v="19"/>
    <x v="7"/>
    <x v="13"/>
    <x v="5"/>
    <n v="6"/>
  </r>
  <r>
    <x v="0"/>
    <x v="0"/>
    <x v="0"/>
    <x v="19"/>
    <x v="7"/>
    <x v="13"/>
    <x v="2"/>
    <n v="2"/>
  </r>
  <r>
    <x v="0"/>
    <x v="0"/>
    <x v="0"/>
    <x v="19"/>
    <x v="7"/>
    <x v="2"/>
    <x v="15"/>
    <n v="2530"/>
  </r>
  <r>
    <x v="0"/>
    <x v="0"/>
    <x v="0"/>
    <x v="19"/>
    <x v="7"/>
    <x v="2"/>
    <x v="12"/>
    <n v="31"/>
  </r>
  <r>
    <x v="0"/>
    <x v="0"/>
    <x v="0"/>
    <x v="19"/>
    <x v="7"/>
    <x v="2"/>
    <x v="9"/>
    <n v="17"/>
  </r>
  <r>
    <x v="0"/>
    <x v="0"/>
    <x v="0"/>
    <x v="19"/>
    <x v="7"/>
    <x v="2"/>
    <x v="3"/>
    <n v="17"/>
  </r>
  <r>
    <x v="0"/>
    <x v="0"/>
    <x v="0"/>
    <x v="19"/>
    <x v="7"/>
    <x v="2"/>
    <x v="4"/>
    <n v="13"/>
  </r>
  <r>
    <x v="0"/>
    <x v="0"/>
    <x v="0"/>
    <x v="19"/>
    <x v="7"/>
    <x v="2"/>
    <x v="5"/>
    <n v="6"/>
  </r>
  <r>
    <x v="0"/>
    <x v="0"/>
    <x v="0"/>
    <x v="19"/>
    <x v="7"/>
    <x v="10"/>
    <x v="15"/>
    <n v="2647"/>
  </r>
  <r>
    <x v="0"/>
    <x v="0"/>
    <x v="0"/>
    <x v="19"/>
    <x v="7"/>
    <x v="10"/>
    <x v="12"/>
    <n v="23"/>
  </r>
  <r>
    <x v="0"/>
    <x v="0"/>
    <x v="0"/>
    <x v="19"/>
    <x v="7"/>
    <x v="10"/>
    <x v="9"/>
    <n v="13"/>
  </r>
  <r>
    <x v="0"/>
    <x v="0"/>
    <x v="0"/>
    <x v="19"/>
    <x v="7"/>
    <x v="10"/>
    <x v="3"/>
    <n v="6"/>
  </r>
  <r>
    <x v="0"/>
    <x v="0"/>
    <x v="0"/>
    <x v="19"/>
    <x v="7"/>
    <x v="10"/>
    <x v="4"/>
    <n v="6"/>
  </r>
  <r>
    <x v="0"/>
    <x v="0"/>
    <x v="0"/>
    <x v="19"/>
    <x v="7"/>
    <x v="3"/>
    <x v="1"/>
    <n v="29"/>
  </r>
  <r>
    <x v="0"/>
    <x v="0"/>
    <x v="0"/>
    <x v="19"/>
    <x v="7"/>
    <x v="3"/>
    <x v="12"/>
    <n v="14"/>
  </r>
  <r>
    <x v="0"/>
    <x v="0"/>
    <x v="0"/>
    <x v="19"/>
    <x v="7"/>
    <x v="3"/>
    <x v="9"/>
    <n v="4"/>
  </r>
  <r>
    <x v="0"/>
    <x v="0"/>
    <x v="0"/>
    <x v="19"/>
    <x v="7"/>
    <x v="3"/>
    <x v="3"/>
    <n v="5"/>
  </r>
  <r>
    <x v="0"/>
    <x v="0"/>
    <x v="0"/>
    <x v="19"/>
    <x v="7"/>
    <x v="4"/>
    <x v="1"/>
    <n v="37"/>
  </r>
  <r>
    <x v="0"/>
    <x v="0"/>
    <x v="0"/>
    <x v="19"/>
    <x v="7"/>
    <x v="4"/>
    <x v="12"/>
    <n v="12"/>
  </r>
  <r>
    <x v="0"/>
    <x v="0"/>
    <x v="0"/>
    <x v="19"/>
    <x v="7"/>
    <x v="4"/>
    <x v="9"/>
    <n v="12"/>
  </r>
  <r>
    <x v="0"/>
    <x v="0"/>
    <x v="0"/>
    <x v="19"/>
    <x v="7"/>
    <x v="5"/>
    <x v="10"/>
    <n v="84"/>
  </r>
  <r>
    <x v="0"/>
    <x v="0"/>
    <x v="0"/>
    <x v="19"/>
    <x v="7"/>
    <x v="5"/>
    <x v="1"/>
    <n v="16"/>
  </r>
  <r>
    <x v="0"/>
    <x v="0"/>
    <x v="0"/>
    <x v="19"/>
    <x v="7"/>
    <x v="5"/>
    <x v="12"/>
    <n v="16"/>
  </r>
  <r>
    <x v="0"/>
    <x v="0"/>
    <x v="0"/>
    <x v="19"/>
    <x v="7"/>
    <x v="11"/>
    <x v="10"/>
    <n v="54"/>
  </r>
  <r>
    <x v="0"/>
    <x v="0"/>
    <x v="0"/>
    <x v="19"/>
    <x v="7"/>
    <x v="11"/>
    <x v="1"/>
    <n v="22"/>
  </r>
  <r>
    <x v="0"/>
    <x v="0"/>
    <x v="0"/>
    <x v="19"/>
    <x v="7"/>
    <x v="6"/>
    <x v="6"/>
    <n v="51"/>
  </r>
  <r>
    <x v="0"/>
    <x v="0"/>
    <x v="0"/>
    <x v="19"/>
    <x v="7"/>
    <x v="6"/>
    <x v="10"/>
    <n v="54"/>
  </r>
  <r>
    <x v="0"/>
    <x v="0"/>
    <x v="0"/>
    <x v="19"/>
    <x v="7"/>
    <x v="6"/>
    <x v="1"/>
    <n v="28"/>
  </r>
  <r>
    <x v="0"/>
    <x v="0"/>
    <x v="0"/>
    <x v="19"/>
    <x v="7"/>
    <x v="9"/>
    <x v="6"/>
    <n v="34"/>
  </r>
  <r>
    <x v="0"/>
    <x v="0"/>
    <x v="0"/>
    <x v="19"/>
    <x v="7"/>
    <x v="9"/>
    <x v="10"/>
    <n v="14"/>
  </r>
  <r>
    <x v="0"/>
    <x v="0"/>
    <x v="0"/>
    <x v="19"/>
    <x v="7"/>
    <x v="9"/>
    <x v="1"/>
    <n v="25"/>
  </r>
  <r>
    <x v="0"/>
    <x v="0"/>
    <x v="0"/>
    <x v="19"/>
    <x v="7"/>
    <x v="12"/>
    <x v="7"/>
    <n v="4"/>
  </r>
  <r>
    <x v="0"/>
    <x v="0"/>
    <x v="0"/>
    <x v="19"/>
    <x v="7"/>
    <x v="12"/>
    <x v="6"/>
    <n v="7"/>
  </r>
  <r>
    <x v="0"/>
    <x v="0"/>
    <x v="0"/>
    <x v="19"/>
    <x v="7"/>
    <x v="12"/>
    <x v="10"/>
    <n v="18"/>
  </r>
  <r>
    <x v="0"/>
    <x v="0"/>
    <x v="0"/>
    <x v="19"/>
    <x v="7"/>
    <x v="12"/>
    <x v="1"/>
    <n v="11"/>
  </r>
  <r>
    <x v="0"/>
    <x v="0"/>
    <x v="0"/>
    <x v="19"/>
    <x v="7"/>
    <x v="1"/>
    <x v="7"/>
    <n v="1"/>
  </r>
  <r>
    <x v="0"/>
    <x v="0"/>
    <x v="0"/>
    <x v="19"/>
    <x v="7"/>
    <x v="8"/>
    <x v="4"/>
    <n v="1"/>
  </r>
  <r>
    <x v="0"/>
    <x v="0"/>
    <x v="0"/>
    <x v="19"/>
    <x v="10"/>
    <x v="4"/>
    <x v="6"/>
    <n v="1"/>
  </r>
  <r>
    <x v="0"/>
    <x v="0"/>
    <x v="0"/>
    <x v="19"/>
    <x v="10"/>
    <x v="4"/>
    <x v="1"/>
    <n v="1"/>
  </r>
  <r>
    <x v="0"/>
    <x v="0"/>
    <x v="0"/>
    <x v="19"/>
    <x v="10"/>
    <x v="5"/>
    <x v="6"/>
    <n v="5"/>
  </r>
  <r>
    <x v="0"/>
    <x v="0"/>
    <x v="0"/>
    <x v="19"/>
    <x v="10"/>
    <x v="5"/>
    <x v="10"/>
    <n v="2"/>
  </r>
  <r>
    <x v="0"/>
    <x v="0"/>
    <x v="0"/>
    <x v="19"/>
    <x v="10"/>
    <x v="11"/>
    <x v="7"/>
    <n v="26"/>
  </r>
  <r>
    <x v="0"/>
    <x v="0"/>
    <x v="0"/>
    <x v="19"/>
    <x v="10"/>
    <x v="11"/>
    <x v="6"/>
    <n v="21"/>
  </r>
  <r>
    <x v="0"/>
    <x v="0"/>
    <x v="0"/>
    <x v="19"/>
    <x v="10"/>
    <x v="11"/>
    <x v="10"/>
    <n v="5"/>
  </r>
  <r>
    <x v="0"/>
    <x v="0"/>
    <x v="0"/>
    <x v="19"/>
    <x v="10"/>
    <x v="11"/>
    <x v="1"/>
    <n v="8"/>
  </r>
  <r>
    <x v="0"/>
    <x v="0"/>
    <x v="0"/>
    <x v="19"/>
    <x v="10"/>
    <x v="6"/>
    <x v="7"/>
    <n v="134"/>
  </r>
  <r>
    <x v="0"/>
    <x v="0"/>
    <x v="0"/>
    <x v="19"/>
    <x v="10"/>
    <x v="6"/>
    <x v="6"/>
    <n v="26"/>
  </r>
  <r>
    <x v="0"/>
    <x v="0"/>
    <x v="1"/>
    <x v="15"/>
    <x v="11"/>
    <x v="5"/>
    <x v="3"/>
    <n v="1"/>
  </r>
  <r>
    <x v="0"/>
    <x v="0"/>
    <x v="1"/>
    <x v="15"/>
    <x v="11"/>
    <x v="5"/>
    <x v="4"/>
    <n v="1"/>
  </r>
  <r>
    <x v="0"/>
    <x v="0"/>
    <x v="1"/>
    <x v="15"/>
    <x v="11"/>
    <x v="11"/>
    <x v="3"/>
    <n v="1"/>
  </r>
  <r>
    <x v="0"/>
    <x v="0"/>
    <x v="1"/>
    <x v="15"/>
    <x v="11"/>
    <x v="6"/>
    <x v="0"/>
    <n v="1"/>
  </r>
  <r>
    <x v="0"/>
    <x v="0"/>
    <x v="1"/>
    <x v="15"/>
    <x v="11"/>
    <x v="1"/>
    <x v="0"/>
    <n v="1"/>
  </r>
  <r>
    <x v="0"/>
    <x v="0"/>
    <x v="1"/>
    <x v="15"/>
    <x v="17"/>
    <x v="1"/>
    <x v="2"/>
    <n v="1"/>
  </r>
  <r>
    <x v="0"/>
    <x v="0"/>
    <x v="1"/>
    <x v="15"/>
    <x v="19"/>
    <x v="1"/>
    <x v="2"/>
    <n v="1"/>
  </r>
  <r>
    <x v="0"/>
    <x v="0"/>
    <x v="1"/>
    <x v="15"/>
    <x v="19"/>
    <x v="1"/>
    <x v="13"/>
    <n v="1"/>
  </r>
  <r>
    <x v="0"/>
    <x v="0"/>
    <x v="1"/>
    <x v="16"/>
    <x v="15"/>
    <x v="0"/>
    <x v="9"/>
    <n v="1"/>
  </r>
  <r>
    <x v="0"/>
    <x v="0"/>
    <x v="1"/>
    <x v="16"/>
    <x v="17"/>
    <x v="8"/>
    <x v="14"/>
    <n v="1"/>
  </r>
  <r>
    <x v="0"/>
    <x v="0"/>
    <x v="1"/>
    <x v="16"/>
    <x v="17"/>
    <x v="0"/>
    <x v="0"/>
    <n v="1"/>
  </r>
  <r>
    <x v="0"/>
    <x v="0"/>
    <x v="1"/>
    <x v="16"/>
    <x v="17"/>
    <x v="0"/>
    <x v="18"/>
    <n v="1"/>
  </r>
  <r>
    <x v="0"/>
    <x v="0"/>
    <x v="1"/>
    <x v="17"/>
    <x v="3"/>
    <x v="0"/>
    <x v="17"/>
    <n v="1"/>
  </r>
  <r>
    <x v="0"/>
    <x v="0"/>
    <x v="1"/>
    <x v="17"/>
    <x v="9"/>
    <x v="9"/>
    <x v="14"/>
    <n v="1"/>
  </r>
  <r>
    <x v="0"/>
    <x v="0"/>
    <x v="1"/>
    <x v="17"/>
    <x v="11"/>
    <x v="7"/>
    <x v="2"/>
    <n v="1"/>
  </r>
  <r>
    <x v="0"/>
    <x v="0"/>
    <x v="1"/>
    <x v="17"/>
    <x v="11"/>
    <x v="7"/>
    <x v="13"/>
    <n v="1"/>
  </r>
  <r>
    <x v="0"/>
    <x v="0"/>
    <x v="1"/>
    <x v="17"/>
    <x v="11"/>
    <x v="8"/>
    <x v="5"/>
    <n v="2"/>
  </r>
  <r>
    <x v="0"/>
    <x v="0"/>
    <x v="1"/>
    <x v="17"/>
    <x v="11"/>
    <x v="8"/>
    <x v="2"/>
    <n v="1"/>
  </r>
  <r>
    <x v="0"/>
    <x v="0"/>
    <x v="1"/>
    <x v="17"/>
    <x v="11"/>
    <x v="8"/>
    <x v="11"/>
    <n v="1"/>
  </r>
  <r>
    <x v="0"/>
    <x v="0"/>
    <x v="1"/>
    <x v="19"/>
    <x v="7"/>
    <x v="17"/>
    <x v="0"/>
    <n v="9"/>
  </r>
  <r>
    <x v="0"/>
    <x v="0"/>
    <x v="1"/>
    <x v="19"/>
    <x v="7"/>
    <x v="19"/>
    <x v="17"/>
    <n v="2"/>
  </r>
  <r>
    <x v="0"/>
    <x v="0"/>
    <x v="1"/>
    <x v="19"/>
    <x v="7"/>
    <x v="19"/>
    <x v="19"/>
    <n v="1"/>
  </r>
  <r>
    <x v="0"/>
    <x v="0"/>
    <x v="1"/>
    <x v="19"/>
    <x v="7"/>
    <x v="16"/>
    <x v="2"/>
    <n v="66"/>
  </r>
  <r>
    <x v="0"/>
    <x v="0"/>
    <x v="1"/>
    <x v="19"/>
    <x v="7"/>
    <x v="16"/>
    <x v="13"/>
    <n v="48"/>
  </r>
  <r>
    <x v="0"/>
    <x v="0"/>
    <x v="1"/>
    <x v="19"/>
    <x v="7"/>
    <x v="16"/>
    <x v="11"/>
    <n v="34"/>
  </r>
  <r>
    <x v="0"/>
    <x v="0"/>
    <x v="1"/>
    <x v="19"/>
    <x v="7"/>
    <x v="16"/>
    <x v="14"/>
    <n v="17"/>
  </r>
  <r>
    <x v="0"/>
    <x v="0"/>
    <x v="1"/>
    <x v="19"/>
    <x v="7"/>
    <x v="16"/>
    <x v="17"/>
    <n v="3"/>
  </r>
  <r>
    <x v="0"/>
    <x v="0"/>
    <x v="1"/>
    <x v="19"/>
    <x v="7"/>
    <x v="16"/>
    <x v="19"/>
    <n v="2"/>
  </r>
  <r>
    <x v="0"/>
    <x v="0"/>
    <x v="1"/>
    <x v="19"/>
    <x v="7"/>
    <x v="15"/>
    <x v="4"/>
    <n v="54"/>
  </r>
  <r>
    <x v="0"/>
    <x v="0"/>
    <x v="1"/>
    <x v="19"/>
    <x v="7"/>
    <x v="15"/>
    <x v="5"/>
    <n v="55"/>
  </r>
  <r>
    <x v="0"/>
    <x v="0"/>
    <x v="1"/>
    <x v="19"/>
    <x v="7"/>
    <x v="15"/>
    <x v="2"/>
    <n v="47"/>
  </r>
  <r>
    <x v="0"/>
    <x v="0"/>
    <x v="1"/>
    <x v="19"/>
    <x v="7"/>
    <x v="15"/>
    <x v="13"/>
    <n v="36"/>
  </r>
  <r>
    <x v="0"/>
    <x v="0"/>
    <x v="1"/>
    <x v="19"/>
    <x v="7"/>
    <x v="15"/>
    <x v="11"/>
    <n v="20"/>
  </r>
  <r>
    <x v="0"/>
    <x v="0"/>
    <x v="1"/>
    <x v="19"/>
    <x v="7"/>
    <x v="15"/>
    <x v="14"/>
    <n v="12"/>
  </r>
  <r>
    <x v="0"/>
    <x v="0"/>
    <x v="1"/>
    <x v="19"/>
    <x v="7"/>
    <x v="14"/>
    <x v="9"/>
    <n v="89"/>
  </r>
  <r>
    <x v="0"/>
    <x v="0"/>
    <x v="1"/>
    <x v="19"/>
    <x v="7"/>
    <x v="14"/>
    <x v="3"/>
    <n v="50"/>
  </r>
  <r>
    <x v="0"/>
    <x v="0"/>
    <x v="1"/>
    <x v="19"/>
    <x v="7"/>
    <x v="14"/>
    <x v="4"/>
    <n v="24"/>
  </r>
  <r>
    <x v="0"/>
    <x v="0"/>
    <x v="1"/>
    <x v="19"/>
    <x v="7"/>
    <x v="14"/>
    <x v="5"/>
    <n v="30"/>
  </r>
  <r>
    <x v="0"/>
    <x v="0"/>
    <x v="1"/>
    <x v="19"/>
    <x v="7"/>
    <x v="14"/>
    <x v="2"/>
    <n v="19"/>
  </r>
  <r>
    <x v="0"/>
    <x v="0"/>
    <x v="1"/>
    <x v="19"/>
    <x v="7"/>
    <x v="14"/>
    <x v="13"/>
    <n v="24"/>
  </r>
  <r>
    <x v="0"/>
    <x v="0"/>
    <x v="1"/>
    <x v="19"/>
    <x v="7"/>
    <x v="14"/>
    <x v="11"/>
    <n v="17"/>
  </r>
  <r>
    <x v="0"/>
    <x v="0"/>
    <x v="1"/>
    <x v="19"/>
    <x v="7"/>
    <x v="13"/>
    <x v="12"/>
    <n v="97"/>
  </r>
  <r>
    <x v="0"/>
    <x v="0"/>
    <x v="1"/>
    <x v="19"/>
    <x v="7"/>
    <x v="13"/>
    <x v="9"/>
    <n v="58"/>
  </r>
  <r>
    <x v="0"/>
    <x v="0"/>
    <x v="1"/>
    <x v="19"/>
    <x v="7"/>
    <x v="13"/>
    <x v="3"/>
    <n v="44"/>
  </r>
  <r>
    <x v="0"/>
    <x v="0"/>
    <x v="1"/>
    <x v="19"/>
    <x v="7"/>
    <x v="13"/>
    <x v="4"/>
    <n v="26"/>
  </r>
  <r>
    <x v="0"/>
    <x v="0"/>
    <x v="1"/>
    <x v="19"/>
    <x v="7"/>
    <x v="13"/>
    <x v="5"/>
    <n v="22"/>
  </r>
  <r>
    <x v="0"/>
    <x v="0"/>
    <x v="1"/>
    <x v="19"/>
    <x v="7"/>
    <x v="13"/>
    <x v="2"/>
    <n v="15"/>
  </r>
  <r>
    <x v="0"/>
    <x v="0"/>
    <x v="1"/>
    <x v="19"/>
    <x v="7"/>
    <x v="2"/>
    <x v="1"/>
    <n v="120"/>
  </r>
  <r>
    <x v="0"/>
    <x v="0"/>
    <x v="1"/>
    <x v="19"/>
    <x v="7"/>
    <x v="2"/>
    <x v="11"/>
    <n v="8"/>
  </r>
  <r>
    <x v="0"/>
    <x v="0"/>
    <x v="1"/>
    <x v="19"/>
    <x v="7"/>
    <x v="2"/>
    <x v="14"/>
    <n v="4"/>
  </r>
  <r>
    <x v="0"/>
    <x v="0"/>
    <x v="1"/>
    <x v="19"/>
    <x v="7"/>
    <x v="2"/>
    <x v="17"/>
    <n v="1"/>
  </r>
  <r>
    <x v="0"/>
    <x v="0"/>
    <x v="1"/>
    <x v="19"/>
    <x v="7"/>
    <x v="10"/>
    <x v="10"/>
    <n v="92"/>
  </r>
  <r>
    <x v="0"/>
    <x v="0"/>
    <x v="1"/>
    <x v="19"/>
    <x v="7"/>
    <x v="10"/>
    <x v="1"/>
    <n v="83"/>
  </r>
  <r>
    <x v="0"/>
    <x v="0"/>
    <x v="1"/>
    <x v="19"/>
    <x v="7"/>
    <x v="10"/>
    <x v="13"/>
    <n v="3"/>
  </r>
  <r>
    <x v="0"/>
    <x v="0"/>
    <x v="1"/>
    <x v="19"/>
    <x v="7"/>
    <x v="10"/>
    <x v="11"/>
    <n v="1"/>
  </r>
  <r>
    <x v="0"/>
    <x v="0"/>
    <x v="1"/>
    <x v="19"/>
    <x v="7"/>
    <x v="10"/>
    <x v="14"/>
    <n v="3"/>
  </r>
  <r>
    <x v="0"/>
    <x v="0"/>
    <x v="1"/>
    <x v="19"/>
    <x v="7"/>
    <x v="3"/>
    <x v="10"/>
    <n v="73"/>
  </r>
  <r>
    <x v="0"/>
    <x v="0"/>
    <x v="1"/>
    <x v="19"/>
    <x v="7"/>
    <x v="3"/>
    <x v="1"/>
    <n v="71"/>
  </r>
  <r>
    <x v="0"/>
    <x v="0"/>
    <x v="1"/>
    <x v="19"/>
    <x v="7"/>
    <x v="3"/>
    <x v="2"/>
    <n v="6"/>
  </r>
  <r>
    <x v="0"/>
    <x v="0"/>
    <x v="1"/>
    <x v="19"/>
    <x v="7"/>
    <x v="3"/>
    <x v="13"/>
    <n v="7"/>
  </r>
  <r>
    <x v="0"/>
    <x v="0"/>
    <x v="1"/>
    <x v="19"/>
    <x v="7"/>
    <x v="3"/>
    <x v="11"/>
    <n v="4"/>
  </r>
  <r>
    <x v="0"/>
    <x v="0"/>
    <x v="1"/>
    <x v="19"/>
    <x v="7"/>
    <x v="4"/>
    <x v="10"/>
    <n v="40"/>
  </r>
  <r>
    <x v="0"/>
    <x v="0"/>
    <x v="1"/>
    <x v="19"/>
    <x v="7"/>
    <x v="4"/>
    <x v="1"/>
    <n v="54"/>
  </r>
  <r>
    <x v="0"/>
    <x v="0"/>
    <x v="1"/>
    <x v="19"/>
    <x v="7"/>
    <x v="4"/>
    <x v="5"/>
    <n v="3"/>
  </r>
  <r>
    <x v="0"/>
    <x v="0"/>
    <x v="1"/>
    <x v="19"/>
    <x v="7"/>
    <x v="4"/>
    <x v="13"/>
    <n v="4"/>
  </r>
  <r>
    <x v="0"/>
    <x v="0"/>
    <x v="1"/>
    <x v="19"/>
    <x v="7"/>
    <x v="5"/>
    <x v="10"/>
    <n v="10"/>
  </r>
  <r>
    <x v="0"/>
    <x v="0"/>
    <x v="1"/>
    <x v="19"/>
    <x v="7"/>
    <x v="5"/>
    <x v="1"/>
    <n v="34"/>
  </r>
  <r>
    <x v="0"/>
    <x v="0"/>
    <x v="1"/>
    <x v="19"/>
    <x v="7"/>
    <x v="5"/>
    <x v="4"/>
    <n v="10"/>
  </r>
  <r>
    <x v="0"/>
    <x v="0"/>
    <x v="1"/>
    <x v="19"/>
    <x v="7"/>
    <x v="5"/>
    <x v="5"/>
    <n v="5"/>
  </r>
  <r>
    <x v="0"/>
    <x v="0"/>
    <x v="1"/>
    <x v="19"/>
    <x v="7"/>
    <x v="5"/>
    <x v="2"/>
    <n v="1"/>
  </r>
  <r>
    <x v="0"/>
    <x v="0"/>
    <x v="1"/>
    <x v="19"/>
    <x v="7"/>
    <x v="11"/>
    <x v="1"/>
    <n v="16"/>
  </r>
  <r>
    <x v="0"/>
    <x v="0"/>
    <x v="1"/>
    <x v="19"/>
    <x v="7"/>
    <x v="11"/>
    <x v="3"/>
    <n v="16"/>
  </r>
  <r>
    <x v="0"/>
    <x v="0"/>
    <x v="1"/>
    <x v="19"/>
    <x v="7"/>
    <x v="11"/>
    <x v="4"/>
    <n v="4"/>
  </r>
  <r>
    <x v="0"/>
    <x v="0"/>
    <x v="1"/>
    <x v="19"/>
    <x v="7"/>
    <x v="11"/>
    <x v="5"/>
    <n v="6"/>
  </r>
  <r>
    <x v="0"/>
    <x v="0"/>
    <x v="1"/>
    <x v="19"/>
    <x v="7"/>
    <x v="6"/>
    <x v="9"/>
    <n v="9"/>
  </r>
  <r>
    <x v="0"/>
    <x v="0"/>
    <x v="1"/>
    <x v="19"/>
    <x v="7"/>
    <x v="6"/>
    <x v="3"/>
    <n v="11"/>
  </r>
  <r>
    <x v="0"/>
    <x v="0"/>
    <x v="1"/>
    <x v="19"/>
    <x v="7"/>
    <x v="6"/>
    <x v="4"/>
    <n v="5"/>
  </r>
  <r>
    <x v="0"/>
    <x v="0"/>
    <x v="1"/>
    <x v="19"/>
    <x v="7"/>
    <x v="9"/>
    <x v="12"/>
    <n v="7"/>
  </r>
  <r>
    <x v="0"/>
    <x v="0"/>
    <x v="1"/>
    <x v="19"/>
    <x v="7"/>
    <x v="9"/>
    <x v="9"/>
    <n v="11"/>
  </r>
  <r>
    <x v="0"/>
    <x v="0"/>
    <x v="1"/>
    <x v="19"/>
    <x v="7"/>
    <x v="9"/>
    <x v="3"/>
    <n v="5"/>
  </r>
  <r>
    <x v="0"/>
    <x v="0"/>
    <x v="0"/>
    <x v="19"/>
    <x v="10"/>
    <x v="6"/>
    <x v="10"/>
    <n v="11"/>
  </r>
  <r>
    <x v="0"/>
    <x v="0"/>
    <x v="0"/>
    <x v="19"/>
    <x v="10"/>
    <x v="9"/>
    <x v="7"/>
    <n v="215"/>
  </r>
  <r>
    <x v="0"/>
    <x v="0"/>
    <x v="0"/>
    <x v="19"/>
    <x v="10"/>
    <x v="9"/>
    <x v="6"/>
    <n v="36"/>
  </r>
  <r>
    <x v="0"/>
    <x v="0"/>
    <x v="0"/>
    <x v="19"/>
    <x v="10"/>
    <x v="9"/>
    <x v="10"/>
    <n v="16"/>
  </r>
  <r>
    <x v="0"/>
    <x v="0"/>
    <x v="0"/>
    <x v="19"/>
    <x v="10"/>
    <x v="12"/>
    <x v="7"/>
    <n v="215"/>
  </r>
  <r>
    <x v="0"/>
    <x v="0"/>
    <x v="0"/>
    <x v="19"/>
    <x v="10"/>
    <x v="12"/>
    <x v="6"/>
    <n v="51"/>
  </r>
  <r>
    <x v="0"/>
    <x v="0"/>
    <x v="0"/>
    <x v="19"/>
    <x v="10"/>
    <x v="7"/>
    <x v="9"/>
    <n v="10"/>
  </r>
  <r>
    <x v="0"/>
    <x v="0"/>
    <x v="0"/>
    <x v="19"/>
    <x v="10"/>
    <x v="7"/>
    <x v="3"/>
    <n v="2"/>
  </r>
  <r>
    <x v="0"/>
    <x v="0"/>
    <x v="0"/>
    <x v="19"/>
    <x v="10"/>
    <x v="7"/>
    <x v="4"/>
    <n v="4"/>
  </r>
  <r>
    <x v="0"/>
    <x v="0"/>
    <x v="0"/>
    <x v="19"/>
    <x v="10"/>
    <x v="1"/>
    <x v="7"/>
    <n v="36"/>
  </r>
  <r>
    <x v="0"/>
    <x v="0"/>
    <x v="0"/>
    <x v="19"/>
    <x v="10"/>
    <x v="1"/>
    <x v="6"/>
    <n v="126"/>
  </r>
  <r>
    <x v="0"/>
    <x v="0"/>
    <x v="0"/>
    <x v="19"/>
    <x v="10"/>
    <x v="1"/>
    <x v="11"/>
    <n v="1"/>
  </r>
  <r>
    <x v="0"/>
    <x v="0"/>
    <x v="0"/>
    <x v="19"/>
    <x v="10"/>
    <x v="8"/>
    <x v="12"/>
    <n v="4"/>
  </r>
  <r>
    <x v="0"/>
    <x v="0"/>
    <x v="0"/>
    <x v="19"/>
    <x v="10"/>
    <x v="8"/>
    <x v="9"/>
    <n v="5"/>
  </r>
  <r>
    <x v="0"/>
    <x v="0"/>
    <x v="0"/>
    <x v="19"/>
    <x v="10"/>
    <x v="8"/>
    <x v="3"/>
    <n v="1"/>
  </r>
  <r>
    <x v="0"/>
    <x v="0"/>
    <x v="0"/>
    <x v="19"/>
    <x v="10"/>
    <x v="0"/>
    <x v="11"/>
    <n v="1"/>
  </r>
  <r>
    <x v="0"/>
    <x v="0"/>
    <x v="0"/>
    <x v="19"/>
    <x v="10"/>
    <x v="0"/>
    <x v="14"/>
    <n v="1"/>
  </r>
  <r>
    <x v="0"/>
    <x v="0"/>
    <x v="1"/>
    <x v="1"/>
    <x v="2"/>
    <x v="10"/>
    <x v="0"/>
    <n v="1"/>
  </r>
  <r>
    <x v="0"/>
    <x v="0"/>
    <x v="1"/>
    <x v="1"/>
    <x v="1"/>
    <x v="0"/>
    <x v="3"/>
    <n v="1"/>
  </r>
  <r>
    <x v="0"/>
    <x v="0"/>
    <x v="1"/>
    <x v="1"/>
    <x v="3"/>
    <x v="14"/>
    <x v="13"/>
    <n v="1"/>
  </r>
  <r>
    <x v="0"/>
    <x v="0"/>
    <x v="1"/>
    <x v="1"/>
    <x v="3"/>
    <x v="2"/>
    <x v="3"/>
    <n v="1"/>
  </r>
  <r>
    <x v="0"/>
    <x v="0"/>
    <x v="1"/>
    <x v="1"/>
    <x v="3"/>
    <x v="2"/>
    <x v="4"/>
    <n v="1"/>
  </r>
  <r>
    <x v="0"/>
    <x v="0"/>
    <x v="1"/>
    <x v="1"/>
    <x v="3"/>
    <x v="10"/>
    <x v="9"/>
    <n v="1"/>
  </r>
  <r>
    <x v="0"/>
    <x v="0"/>
    <x v="1"/>
    <x v="1"/>
    <x v="3"/>
    <x v="3"/>
    <x v="12"/>
    <n v="6"/>
  </r>
  <r>
    <x v="0"/>
    <x v="0"/>
    <x v="1"/>
    <x v="1"/>
    <x v="3"/>
    <x v="4"/>
    <x v="12"/>
    <n v="1"/>
  </r>
  <r>
    <x v="0"/>
    <x v="0"/>
    <x v="1"/>
    <x v="1"/>
    <x v="3"/>
    <x v="5"/>
    <x v="1"/>
    <n v="2"/>
  </r>
  <r>
    <x v="0"/>
    <x v="0"/>
    <x v="1"/>
    <x v="1"/>
    <x v="3"/>
    <x v="11"/>
    <x v="1"/>
    <n v="1"/>
  </r>
  <r>
    <x v="0"/>
    <x v="0"/>
    <x v="1"/>
    <x v="1"/>
    <x v="3"/>
    <x v="6"/>
    <x v="1"/>
    <n v="1"/>
  </r>
  <r>
    <x v="0"/>
    <x v="0"/>
    <x v="1"/>
    <x v="2"/>
    <x v="13"/>
    <x v="3"/>
    <x v="12"/>
    <n v="1"/>
  </r>
  <r>
    <x v="0"/>
    <x v="0"/>
    <x v="1"/>
    <x v="2"/>
    <x v="13"/>
    <x v="7"/>
    <x v="3"/>
    <n v="1"/>
  </r>
  <r>
    <x v="0"/>
    <x v="0"/>
    <x v="1"/>
    <x v="2"/>
    <x v="7"/>
    <x v="13"/>
    <x v="9"/>
    <n v="1"/>
  </r>
  <r>
    <x v="0"/>
    <x v="0"/>
    <x v="1"/>
    <x v="2"/>
    <x v="7"/>
    <x v="2"/>
    <x v="1"/>
    <n v="2"/>
  </r>
  <r>
    <x v="0"/>
    <x v="0"/>
    <x v="1"/>
    <x v="2"/>
    <x v="7"/>
    <x v="10"/>
    <x v="1"/>
    <n v="1"/>
  </r>
  <r>
    <x v="0"/>
    <x v="0"/>
    <x v="1"/>
    <x v="2"/>
    <x v="7"/>
    <x v="3"/>
    <x v="10"/>
    <n v="1"/>
  </r>
  <r>
    <x v="0"/>
    <x v="0"/>
    <x v="1"/>
    <x v="2"/>
    <x v="7"/>
    <x v="7"/>
    <x v="12"/>
    <n v="1"/>
  </r>
  <r>
    <x v="0"/>
    <x v="0"/>
    <x v="1"/>
    <x v="2"/>
    <x v="7"/>
    <x v="7"/>
    <x v="4"/>
    <n v="1"/>
  </r>
  <r>
    <x v="0"/>
    <x v="0"/>
    <x v="1"/>
    <x v="2"/>
    <x v="7"/>
    <x v="1"/>
    <x v="11"/>
    <n v="1"/>
  </r>
  <r>
    <x v="0"/>
    <x v="0"/>
    <x v="1"/>
    <x v="2"/>
    <x v="7"/>
    <x v="8"/>
    <x v="9"/>
    <n v="1"/>
  </r>
  <r>
    <x v="0"/>
    <x v="0"/>
    <x v="1"/>
    <x v="2"/>
    <x v="6"/>
    <x v="7"/>
    <x v="12"/>
    <n v="1"/>
  </r>
  <r>
    <x v="0"/>
    <x v="0"/>
    <x v="1"/>
    <x v="2"/>
    <x v="6"/>
    <x v="7"/>
    <x v="9"/>
    <n v="1"/>
  </r>
  <r>
    <x v="0"/>
    <x v="0"/>
    <x v="1"/>
    <x v="2"/>
    <x v="6"/>
    <x v="0"/>
    <x v="3"/>
    <n v="1"/>
  </r>
  <r>
    <x v="0"/>
    <x v="0"/>
    <x v="1"/>
    <x v="3"/>
    <x v="5"/>
    <x v="11"/>
    <x v="0"/>
    <n v="1"/>
  </r>
  <r>
    <x v="0"/>
    <x v="0"/>
    <x v="1"/>
    <x v="3"/>
    <x v="5"/>
    <x v="7"/>
    <x v="3"/>
    <n v="1"/>
  </r>
  <r>
    <x v="0"/>
    <x v="0"/>
    <x v="1"/>
    <x v="3"/>
    <x v="5"/>
    <x v="7"/>
    <x v="4"/>
    <n v="2"/>
  </r>
  <r>
    <x v="0"/>
    <x v="0"/>
    <x v="1"/>
    <x v="3"/>
    <x v="5"/>
    <x v="7"/>
    <x v="0"/>
    <n v="1"/>
  </r>
  <r>
    <x v="0"/>
    <x v="0"/>
    <x v="1"/>
    <x v="3"/>
    <x v="5"/>
    <x v="8"/>
    <x v="3"/>
    <n v="1"/>
  </r>
  <r>
    <x v="0"/>
    <x v="0"/>
    <x v="1"/>
    <x v="3"/>
    <x v="5"/>
    <x v="8"/>
    <x v="5"/>
    <n v="1"/>
  </r>
  <r>
    <x v="0"/>
    <x v="0"/>
    <x v="1"/>
    <x v="3"/>
    <x v="5"/>
    <x v="8"/>
    <x v="13"/>
    <n v="1"/>
  </r>
  <r>
    <x v="0"/>
    <x v="0"/>
    <x v="1"/>
    <x v="3"/>
    <x v="8"/>
    <x v="19"/>
    <x v="14"/>
    <n v="1"/>
  </r>
  <r>
    <x v="0"/>
    <x v="0"/>
    <x v="1"/>
    <x v="3"/>
    <x v="8"/>
    <x v="19"/>
    <x v="17"/>
    <n v="1"/>
  </r>
  <r>
    <x v="0"/>
    <x v="0"/>
    <x v="1"/>
    <x v="3"/>
    <x v="8"/>
    <x v="14"/>
    <x v="18"/>
    <n v="1"/>
  </r>
  <r>
    <x v="0"/>
    <x v="0"/>
    <x v="1"/>
    <x v="3"/>
    <x v="8"/>
    <x v="13"/>
    <x v="18"/>
    <n v="1"/>
  </r>
  <r>
    <x v="0"/>
    <x v="0"/>
    <x v="1"/>
    <x v="3"/>
    <x v="8"/>
    <x v="10"/>
    <x v="19"/>
    <n v="1"/>
  </r>
  <r>
    <x v="0"/>
    <x v="0"/>
    <x v="1"/>
    <x v="3"/>
    <x v="7"/>
    <x v="12"/>
    <x v="3"/>
    <n v="1"/>
  </r>
  <r>
    <x v="0"/>
    <x v="0"/>
    <x v="1"/>
    <x v="3"/>
    <x v="7"/>
    <x v="1"/>
    <x v="4"/>
    <n v="1"/>
  </r>
  <r>
    <x v="0"/>
    <x v="0"/>
    <x v="1"/>
    <x v="3"/>
    <x v="7"/>
    <x v="0"/>
    <x v="3"/>
    <n v="1"/>
  </r>
  <r>
    <x v="0"/>
    <x v="0"/>
    <x v="1"/>
    <x v="4"/>
    <x v="8"/>
    <x v="13"/>
    <x v="10"/>
    <n v="1"/>
  </r>
  <r>
    <x v="0"/>
    <x v="0"/>
    <x v="1"/>
    <x v="4"/>
    <x v="7"/>
    <x v="12"/>
    <x v="9"/>
    <n v="1"/>
  </r>
  <r>
    <x v="0"/>
    <x v="0"/>
    <x v="1"/>
    <x v="4"/>
    <x v="7"/>
    <x v="0"/>
    <x v="9"/>
    <n v="1"/>
  </r>
  <r>
    <x v="0"/>
    <x v="0"/>
    <x v="1"/>
    <x v="4"/>
    <x v="18"/>
    <x v="13"/>
    <x v="18"/>
    <n v="1"/>
  </r>
  <r>
    <x v="0"/>
    <x v="0"/>
    <x v="1"/>
    <x v="4"/>
    <x v="18"/>
    <x v="6"/>
    <x v="19"/>
    <n v="1"/>
  </r>
  <r>
    <x v="0"/>
    <x v="0"/>
    <x v="1"/>
    <x v="4"/>
    <x v="19"/>
    <x v="5"/>
    <x v="4"/>
    <n v="1"/>
  </r>
  <r>
    <x v="0"/>
    <x v="0"/>
    <x v="1"/>
    <x v="4"/>
    <x v="19"/>
    <x v="8"/>
    <x v="13"/>
    <n v="1"/>
  </r>
  <r>
    <x v="0"/>
    <x v="0"/>
    <x v="1"/>
    <x v="5"/>
    <x v="8"/>
    <x v="13"/>
    <x v="19"/>
    <n v="1"/>
  </r>
  <r>
    <x v="0"/>
    <x v="0"/>
    <x v="1"/>
    <x v="5"/>
    <x v="8"/>
    <x v="10"/>
    <x v="17"/>
    <n v="1"/>
  </r>
  <r>
    <x v="0"/>
    <x v="0"/>
    <x v="1"/>
    <x v="5"/>
    <x v="8"/>
    <x v="10"/>
    <x v="19"/>
    <n v="2"/>
  </r>
  <r>
    <x v="0"/>
    <x v="0"/>
    <x v="1"/>
    <x v="5"/>
    <x v="8"/>
    <x v="4"/>
    <x v="17"/>
    <n v="1"/>
  </r>
  <r>
    <x v="0"/>
    <x v="0"/>
    <x v="1"/>
    <x v="5"/>
    <x v="8"/>
    <x v="11"/>
    <x v="11"/>
    <n v="1"/>
  </r>
  <r>
    <x v="0"/>
    <x v="0"/>
    <x v="1"/>
    <x v="5"/>
    <x v="8"/>
    <x v="6"/>
    <x v="13"/>
    <n v="1"/>
  </r>
  <r>
    <x v="0"/>
    <x v="0"/>
    <x v="1"/>
    <x v="5"/>
    <x v="6"/>
    <x v="16"/>
    <x v="0"/>
    <n v="2"/>
  </r>
  <r>
    <x v="0"/>
    <x v="0"/>
    <x v="1"/>
    <x v="5"/>
    <x v="6"/>
    <x v="16"/>
    <x v="18"/>
    <n v="1"/>
  </r>
  <r>
    <x v="0"/>
    <x v="0"/>
    <x v="1"/>
    <x v="5"/>
    <x v="6"/>
    <x v="14"/>
    <x v="17"/>
    <n v="1"/>
  </r>
  <r>
    <x v="0"/>
    <x v="0"/>
    <x v="1"/>
    <x v="5"/>
    <x v="6"/>
    <x v="13"/>
    <x v="11"/>
    <n v="1"/>
  </r>
  <r>
    <x v="0"/>
    <x v="0"/>
    <x v="1"/>
    <x v="5"/>
    <x v="6"/>
    <x v="13"/>
    <x v="14"/>
    <n v="1"/>
  </r>
  <r>
    <x v="0"/>
    <x v="0"/>
    <x v="1"/>
    <x v="5"/>
    <x v="6"/>
    <x v="13"/>
    <x v="17"/>
    <n v="3"/>
  </r>
  <r>
    <x v="0"/>
    <x v="0"/>
    <x v="1"/>
    <x v="5"/>
    <x v="6"/>
    <x v="13"/>
    <x v="19"/>
    <n v="2"/>
  </r>
  <r>
    <x v="0"/>
    <x v="0"/>
    <x v="1"/>
    <x v="5"/>
    <x v="6"/>
    <x v="2"/>
    <x v="2"/>
    <n v="1"/>
  </r>
  <r>
    <x v="0"/>
    <x v="0"/>
    <x v="1"/>
    <x v="5"/>
    <x v="6"/>
    <x v="2"/>
    <x v="14"/>
    <n v="2"/>
  </r>
  <r>
    <x v="0"/>
    <x v="0"/>
    <x v="1"/>
    <x v="5"/>
    <x v="6"/>
    <x v="10"/>
    <x v="13"/>
    <n v="2"/>
  </r>
  <r>
    <x v="0"/>
    <x v="0"/>
    <x v="1"/>
    <x v="5"/>
    <x v="6"/>
    <x v="10"/>
    <x v="11"/>
    <n v="1"/>
  </r>
  <r>
    <x v="0"/>
    <x v="0"/>
    <x v="1"/>
    <x v="19"/>
    <x v="7"/>
    <x v="12"/>
    <x v="12"/>
    <n v="3"/>
  </r>
  <r>
    <x v="0"/>
    <x v="0"/>
    <x v="1"/>
    <x v="19"/>
    <x v="7"/>
    <x v="12"/>
    <x v="9"/>
    <n v="6"/>
  </r>
  <r>
    <x v="0"/>
    <x v="0"/>
    <x v="1"/>
    <x v="19"/>
    <x v="7"/>
    <x v="1"/>
    <x v="12"/>
    <n v="1"/>
  </r>
  <r>
    <x v="0"/>
    <x v="0"/>
    <x v="1"/>
    <x v="19"/>
    <x v="7"/>
    <x v="0"/>
    <x v="0"/>
    <n v="1"/>
  </r>
  <r>
    <x v="0"/>
    <x v="0"/>
    <x v="2"/>
    <x v="1"/>
    <x v="4"/>
    <x v="0"/>
    <x v="18"/>
    <n v="8"/>
  </r>
  <r>
    <x v="0"/>
    <x v="0"/>
    <x v="2"/>
    <x v="1"/>
    <x v="6"/>
    <x v="0"/>
    <x v="17"/>
    <n v="2"/>
  </r>
  <r>
    <x v="0"/>
    <x v="0"/>
    <x v="2"/>
    <x v="1"/>
    <x v="6"/>
    <x v="0"/>
    <x v="19"/>
    <n v="2"/>
  </r>
  <r>
    <x v="0"/>
    <x v="0"/>
    <x v="2"/>
    <x v="1"/>
    <x v="19"/>
    <x v="0"/>
    <x v="19"/>
    <n v="11"/>
  </r>
  <r>
    <x v="0"/>
    <x v="0"/>
    <x v="2"/>
    <x v="2"/>
    <x v="0"/>
    <x v="0"/>
    <x v="12"/>
    <n v="2"/>
  </r>
  <r>
    <x v="0"/>
    <x v="0"/>
    <x v="2"/>
    <x v="2"/>
    <x v="0"/>
    <x v="0"/>
    <x v="9"/>
    <n v="1"/>
  </r>
  <r>
    <x v="0"/>
    <x v="0"/>
    <x v="2"/>
    <x v="2"/>
    <x v="12"/>
    <x v="0"/>
    <x v="0"/>
    <n v="4"/>
  </r>
  <r>
    <x v="0"/>
    <x v="0"/>
    <x v="2"/>
    <x v="2"/>
    <x v="12"/>
    <x v="0"/>
    <x v="18"/>
    <n v="10"/>
  </r>
  <r>
    <x v="0"/>
    <x v="0"/>
    <x v="2"/>
    <x v="2"/>
    <x v="2"/>
    <x v="0"/>
    <x v="0"/>
    <n v="7"/>
  </r>
  <r>
    <x v="0"/>
    <x v="0"/>
    <x v="2"/>
    <x v="2"/>
    <x v="2"/>
    <x v="0"/>
    <x v="18"/>
    <n v="8"/>
  </r>
  <r>
    <x v="0"/>
    <x v="0"/>
    <x v="2"/>
    <x v="2"/>
    <x v="16"/>
    <x v="0"/>
    <x v="19"/>
    <n v="1"/>
  </r>
  <r>
    <x v="0"/>
    <x v="0"/>
    <x v="2"/>
    <x v="2"/>
    <x v="10"/>
    <x v="0"/>
    <x v="14"/>
    <n v="2"/>
  </r>
  <r>
    <x v="0"/>
    <x v="0"/>
    <x v="2"/>
    <x v="2"/>
    <x v="17"/>
    <x v="0"/>
    <x v="9"/>
    <n v="1"/>
  </r>
  <r>
    <x v="0"/>
    <x v="0"/>
    <x v="2"/>
    <x v="2"/>
    <x v="17"/>
    <x v="0"/>
    <x v="4"/>
    <n v="2"/>
  </r>
  <r>
    <x v="0"/>
    <x v="0"/>
    <x v="2"/>
    <x v="2"/>
    <x v="17"/>
    <x v="0"/>
    <x v="5"/>
    <n v="1"/>
  </r>
  <r>
    <x v="0"/>
    <x v="0"/>
    <x v="2"/>
    <x v="2"/>
    <x v="17"/>
    <x v="0"/>
    <x v="2"/>
    <n v="2"/>
  </r>
  <r>
    <x v="0"/>
    <x v="0"/>
    <x v="2"/>
    <x v="2"/>
    <x v="17"/>
    <x v="0"/>
    <x v="13"/>
    <n v="1"/>
  </r>
  <r>
    <x v="0"/>
    <x v="0"/>
    <x v="2"/>
    <x v="3"/>
    <x v="1"/>
    <x v="0"/>
    <x v="10"/>
    <n v="2"/>
  </r>
  <r>
    <x v="0"/>
    <x v="0"/>
    <x v="2"/>
    <x v="3"/>
    <x v="1"/>
    <x v="0"/>
    <x v="1"/>
    <n v="4"/>
  </r>
  <r>
    <x v="0"/>
    <x v="0"/>
    <x v="2"/>
    <x v="3"/>
    <x v="1"/>
    <x v="0"/>
    <x v="5"/>
    <n v="3"/>
  </r>
  <r>
    <x v="0"/>
    <x v="0"/>
    <x v="2"/>
    <x v="3"/>
    <x v="13"/>
    <x v="0"/>
    <x v="19"/>
    <n v="5"/>
  </r>
  <r>
    <x v="0"/>
    <x v="0"/>
    <x v="2"/>
    <x v="3"/>
    <x v="10"/>
    <x v="0"/>
    <x v="12"/>
    <n v="1"/>
  </r>
  <r>
    <x v="0"/>
    <x v="0"/>
    <x v="2"/>
    <x v="3"/>
    <x v="10"/>
    <x v="0"/>
    <x v="9"/>
    <n v="1"/>
  </r>
  <r>
    <x v="0"/>
    <x v="0"/>
    <x v="2"/>
    <x v="3"/>
    <x v="10"/>
    <x v="0"/>
    <x v="3"/>
    <n v="5"/>
  </r>
  <r>
    <x v="0"/>
    <x v="0"/>
    <x v="2"/>
    <x v="3"/>
    <x v="10"/>
    <x v="0"/>
    <x v="4"/>
    <n v="3"/>
  </r>
  <r>
    <x v="0"/>
    <x v="0"/>
    <x v="2"/>
    <x v="3"/>
    <x v="10"/>
    <x v="0"/>
    <x v="5"/>
    <n v="2"/>
  </r>
  <r>
    <x v="0"/>
    <x v="0"/>
    <x v="2"/>
    <x v="3"/>
    <x v="17"/>
    <x v="0"/>
    <x v="18"/>
    <n v="1"/>
  </r>
  <r>
    <x v="0"/>
    <x v="0"/>
    <x v="2"/>
    <x v="3"/>
    <x v="19"/>
    <x v="0"/>
    <x v="3"/>
    <n v="1"/>
  </r>
  <r>
    <x v="0"/>
    <x v="0"/>
    <x v="2"/>
    <x v="4"/>
    <x v="14"/>
    <x v="0"/>
    <x v="4"/>
    <n v="2"/>
  </r>
  <r>
    <x v="0"/>
    <x v="0"/>
    <x v="2"/>
    <x v="4"/>
    <x v="14"/>
    <x v="0"/>
    <x v="5"/>
    <n v="1"/>
  </r>
  <r>
    <x v="0"/>
    <x v="0"/>
    <x v="2"/>
    <x v="4"/>
    <x v="14"/>
    <x v="0"/>
    <x v="2"/>
    <n v="1"/>
  </r>
  <r>
    <x v="0"/>
    <x v="0"/>
    <x v="2"/>
    <x v="4"/>
    <x v="14"/>
    <x v="0"/>
    <x v="13"/>
    <n v="1"/>
  </r>
  <r>
    <x v="0"/>
    <x v="0"/>
    <x v="2"/>
    <x v="4"/>
    <x v="6"/>
    <x v="0"/>
    <x v="0"/>
    <n v="1"/>
  </r>
  <r>
    <x v="0"/>
    <x v="0"/>
    <x v="2"/>
    <x v="4"/>
    <x v="6"/>
    <x v="0"/>
    <x v="18"/>
    <n v="2"/>
  </r>
  <r>
    <x v="0"/>
    <x v="0"/>
    <x v="2"/>
    <x v="4"/>
    <x v="10"/>
    <x v="0"/>
    <x v="0"/>
    <n v="1"/>
  </r>
  <r>
    <x v="0"/>
    <x v="0"/>
    <x v="2"/>
    <x v="4"/>
    <x v="10"/>
    <x v="0"/>
    <x v="18"/>
    <n v="2"/>
  </r>
  <r>
    <x v="0"/>
    <x v="0"/>
    <x v="2"/>
    <x v="5"/>
    <x v="0"/>
    <x v="0"/>
    <x v="19"/>
    <n v="11"/>
  </r>
  <r>
    <x v="0"/>
    <x v="0"/>
    <x v="2"/>
    <x v="5"/>
    <x v="16"/>
    <x v="0"/>
    <x v="3"/>
    <n v="2"/>
  </r>
  <r>
    <x v="0"/>
    <x v="0"/>
    <x v="2"/>
    <x v="5"/>
    <x v="14"/>
    <x v="0"/>
    <x v="3"/>
    <n v="1"/>
  </r>
  <r>
    <x v="0"/>
    <x v="0"/>
    <x v="2"/>
    <x v="5"/>
    <x v="14"/>
    <x v="0"/>
    <x v="4"/>
    <n v="4"/>
  </r>
  <r>
    <x v="0"/>
    <x v="0"/>
    <x v="2"/>
    <x v="5"/>
    <x v="14"/>
    <x v="0"/>
    <x v="5"/>
    <n v="3"/>
  </r>
  <r>
    <x v="0"/>
    <x v="0"/>
    <x v="2"/>
    <x v="5"/>
    <x v="14"/>
    <x v="0"/>
    <x v="2"/>
    <n v="3"/>
  </r>
  <r>
    <x v="0"/>
    <x v="0"/>
    <x v="2"/>
    <x v="5"/>
    <x v="14"/>
    <x v="0"/>
    <x v="13"/>
    <n v="1"/>
  </r>
  <r>
    <x v="0"/>
    <x v="0"/>
    <x v="2"/>
    <x v="5"/>
    <x v="14"/>
    <x v="0"/>
    <x v="11"/>
    <n v="1"/>
  </r>
  <r>
    <x v="0"/>
    <x v="0"/>
    <x v="2"/>
    <x v="5"/>
    <x v="8"/>
    <x v="0"/>
    <x v="18"/>
    <n v="1"/>
  </r>
  <r>
    <x v="0"/>
    <x v="0"/>
    <x v="2"/>
    <x v="5"/>
    <x v="9"/>
    <x v="0"/>
    <x v="0"/>
    <n v="1"/>
  </r>
  <r>
    <x v="0"/>
    <x v="0"/>
    <x v="2"/>
    <x v="5"/>
    <x v="10"/>
    <x v="0"/>
    <x v="12"/>
    <n v="1"/>
  </r>
  <r>
    <x v="0"/>
    <x v="0"/>
    <x v="2"/>
    <x v="5"/>
    <x v="11"/>
    <x v="0"/>
    <x v="2"/>
    <n v="1"/>
  </r>
  <r>
    <x v="0"/>
    <x v="0"/>
    <x v="2"/>
    <x v="6"/>
    <x v="12"/>
    <x v="0"/>
    <x v="19"/>
    <n v="80"/>
  </r>
  <r>
    <x v="0"/>
    <x v="0"/>
    <x v="2"/>
    <x v="6"/>
    <x v="15"/>
    <x v="7"/>
    <x v="19"/>
    <n v="1"/>
  </r>
  <r>
    <x v="0"/>
    <x v="0"/>
    <x v="2"/>
    <x v="6"/>
    <x v="15"/>
    <x v="8"/>
    <x v="19"/>
    <n v="1"/>
  </r>
  <r>
    <x v="0"/>
    <x v="0"/>
    <x v="2"/>
    <x v="6"/>
    <x v="15"/>
    <x v="0"/>
    <x v="18"/>
    <n v="1"/>
  </r>
  <r>
    <x v="0"/>
    <x v="0"/>
    <x v="2"/>
    <x v="6"/>
    <x v="18"/>
    <x v="0"/>
    <x v="9"/>
    <n v="10"/>
  </r>
  <r>
    <x v="0"/>
    <x v="0"/>
    <x v="2"/>
    <x v="6"/>
    <x v="18"/>
    <x v="0"/>
    <x v="3"/>
    <n v="31"/>
  </r>
  <r>
    <x v="0"/>
    <x v="0"/>
    <x v="2"/>
    <x v="6"/>
    <x v="18"/>
    <x v="0"/>
    <x v="4"/>
    <n v="30"/>
  </r>
  <r>
    <x v="0"/>
    <x v="0"/>
    <x v="2"/>
    <x v="6"/>
    <x v="18"/>
    <x v="0"/>
    <x v="5"/>
    <n v="34"/>
  </r>
  <r>
    <x v="0"/>
    <x v="0"/>
    <x v="2"/>
    <x v="9"/>
    <x v="0"/>
    <x v="0"/>
    <x v="0"/>
    <n v="3"/>
  </r>
  <r>
    <x v="0"/>
    <x v="0"/>
    <x v="2"/>
    <x v="9"/>
    <x v="14"/>
    <x v="0"/>
    <x v="11"/>
    <n v="1"/>
  </r>
  <r>
    <x v="0"/>
    <x v="0"/>
    <x v="2"/>
    <x v="9"/>
    <x v="15"/>
    <x v="0"/>
    <x v="11"/>
    <n v="2"/>
  </r>
  <r>
    <x v="0"/>
    <x v="0"/>
    <x v="2"/>
    <x v="9"/>
    <x v="8"/>
    <x v="0"/>
    <x v="2"/>
    <n v="3"/>
  </r>
  <r>
    <x v="0"/>
    <x v="0"/>
    <x v="2"/>
    <x v="9"/>
    <x v="8"/>
    <x v="0"/>
    <x v="13"/>
    <n v="1"/>
  </r>
  <r>
    <x v="0"/>
    <x v="0"/>
    <x v="2"/>
    <x v="9"/>
    <x v="11"/>
    <x v="0"/>
    <x v="19"/>
    <n v="2"/>
  </r>
  <r>
    <x v="0"/>
    <x v="0"/>
    <x v="2"/>
    <x v="7"/>
    <x v="2"/>
    <x v="0"/>
    <x v="19"/>
    <n v="18"/>
  </r>
  <r>
    <x v="0"/>
    <x v="0"/>
    <x v="2"/>
    <x v="7"/>
    <x v="4"/>
    <x v="0"/>
    <x v="19"/>
    <n v="12"/>
  </r>
  <r>
    <x v="0"/>
    <x v="0"/>
    <x v="2"/>
    <x v="7"/>
    <x v="13"/>
    <x v="8"/>
    <x v="12"/>
    <n v="1"/>
  </r>
  <r>
    <x v="0"/>
    <x v="0"/>
    <x v="2"/>
    <x v="7"/>
    <x v="13"/>
    <x v="0"/>
    <x v="1"/>
    <n v="5"/>
  </r>
  <r>
    <x v="0"/>
    <x v="0"/>
    <x v="2"/>
    <x v="7"/>
    <x v="6"/>
    <x v="0"/>
    <x v="9"/>
    <n v="1"/>
  </r>
  <r>
    <x v="0"/>
    <x v="0"/>
    <x v="2"/>
    <x v="7"/>
    <x v="11"/>
    <x v="0"/>
    <x v="17"/>
    <n v="1"/>
  </r>
  <r>
    <x v="0"/>
    <x v="0"/>
    <x v="2"/>
    <x v="7"/>
    <x v="11"/>
    <x v="0"/>
    <x v="19"/>
    <n v="2"/>
  </r>
  <r>
    <x v="0"/>
    <x v="0"/>
    <x v="2"/>
    <x v="7"/>
    <x v="17"/>
    <x v="0"/>
    <x v="18"/>
    <n v="1"/>
  </r>
  <r>
    <x v="0"/>
    <x v="0"/>
    <x v="2"/>
    <x v="8"/>
    <x v="16"/>
    <x v="0"/>
    <x v="3"/>
    <n v="2"/>
  </r>
  <r>
    <x v="0"/>
    <x v="0"/>
    <x v="2"/>
    <x v="8"/>
    <x v="16"/>
    <x v="0"/>
    <x v="4"/>
    <n v="1"/>
  </r>
  <r>
    <x v="0"/>
    <x v="0"/>
    <x v="2"/>
    <x v="8"/>
    <x v="16"/>
    <x v="0"/>
    <x v="11"/>
    <n v="1"/>
  </r>
  <r>
    <x v="0"/>
    <x v="0"/>
    <x v="2"/>
    <x v="8"/>
    <x v="10"/>
    <x v="0"/>
    <x v="0"/>
    <n v="3"/>
  </r>
  <r>
    <x v="0"/>
    <x v="0"/>
    <x v="2"/>
    <x v="8"/>
    <x v="10"/>
    <x v="0"/>
    <x v="18"/>
    <n v="3"/>
  </r>
  <r>
    <x v="0"/>
    <x v="0"/>
    <x v="2"/>
    <x v="8"/>
    <x v="11"/>
    <x v="8"/>
    <x v="12"/>
    <n v="3"/>
  </r>
  <r>
    <x v="0"/>
    <x v="0"/>
    <x v="2"/>
    <x v="8"/>
    <x v="11"/>
    <x v="0"/>
    <x v="1"/>
    <n v="28"/>
  </r>
  <r>
    <x v="0"/>
    <x v="0"/>
    <x v="2"/>
    <x v="8"/>
    <x v="18"/>
    <x v="0"/>
    <x v="19"/>
    <n v="33"/>
  </r>
  <r>
    <x v="0"/>
    <x v="0"/>
    <x v="2"/>
    <x v="10"/>
    <x v="16"/>
    <x v="0"/>
    <x v="9"/>
    <n v="1"/>
  </r>
  <r>
    <x v="0"/>
    <x v="0"/>
    <x v="2"/>
    <x v="10"/>
    <x v="3"/>
    <x v="0"/>
    <x v="3"/>
    <n v="5"/>
  </r>
  <r>
    <x v="0"/>
    <x v="0"/>
    <x v="2"/>
    <x v="10"/>
    <x v="3"/>
    <x v="0"/>
    <x v="4"/>
    <n v="13"/>
  </r>
  <r>
    <x v="0"/>
    <x v="0"/>
    <x v="2"/>
    <x v="10"/>
    <x v="10"/>
    <x v="8"/>
    <x v="19"/>
    <n v="2"/>
  </r>
  <r>
    <x v="0"/>
    <x v="0"/>
    <x v="2"/>
    <x v="10"/>
    <x v="10"/>
    <x v="0"/>
    <x v="0"/>
    <n v="1"/>
  </r>
  <r>
    <x v="0"/>
    <x v="0"/>
    <x v="2"/>
    <x v="10"/>
    <x v="11"/>
    <x v="0"/>
    <x v="13"/>
    <n v="1"/>
  </r>
  <r>
    <x v="0"/>
    <x v="0"/>
    <x v="2"/>
    <x v="10"/>
    <x v="11"/>
    <x v="0"/>
    <x v="11"/>
    <n v="5"/>
  </r>
  <r>
    <x v="0"/>
    <x v="0"/>
    <x v="2"/>
    <x v="10"/>
    <x v="11"/>
    <x v="0"/>
    <x v="14"/>
    <n v="2"/>
  </r>
  <r>
    <x v="0"/>
    <x v="0"/>
    <x v="2"/>
    <x v="10"/>
    <x v="11"/>
    <x v="0"/>
    <x v="17"/>
    <n v="1"/>
  </r>
  <r>
    <x v="0"/>
    <x v="0"/>
    <x v="2"/>
    <x v="10"/>
    <x v="11"/>
    <x v="0"/>
    <x v="19"/>
    <n v="2"/>
  </r>
  <r>
    <x v="0"/>
    <x v="0"/>
    <x v="2"/>
    <x v="11"/>
    <x v="2"/>
    <x v="0"/>
    <x v="13"/>
    <n v="2"/>
  </r>
  <r>
    <x v="0"/>
    <x v="0"/>
    <x v="2"/>
    <x v="11"/>
    <x v="2"/>
    <x v="0"/>
    <x v="14"/>
    <n v="1"/>
  </r>
  <r>
    <x v="0"/>
    <x v="0"/>
    <x v="2"/>
    <x v="11"/>
    <x v="1"/>
    <x v="0"/>
    <x v="0"/>
    <n v="3"/>
  </r>
  <r>
    <x v="0"/>
    <x v="0"/>
    <x v="2"/>
    <x v="11"/>
    <x v="1"/>
    <x v="0"/>
    <x v="18"/>
    <n v="1"/>
  </r>
  <r>
    <x v="0"/>
    <x v="0"/>
    <x v="2"/>
    <x v="11"/>
    <x v="15"/>
    <x v="0"/>
    <x v="3"/>
    <n v="1"/>
  </r>
  <r>
    <x v="0"/>
    <x v="0"/>
    <x v="2"/>
    <x v="11"/>
    <x v="15"/>
    <x v="0"/>
    <x v="4"/>
    <n v="1"/>
  </r>
  <r>
    <x v="0"/>
    <x v="0"/>
    <x v="2"/>
    <x v="11"/>
    <x v="15"/>
    <x v="0"/>
    <x v="5"/>
    <n v="2"/>
  </r>
  <r>
    <x v="0"/>
    <x v="0"/>
    <x v="2"/>
    <x v="11"/>
    <x v="7"/>
    <x v="8"/>
    <x v="19"/>
    <n v="3"/>
  </r>
  <r>
    <x v="0"/>
    <x v="0"/>
    <x v="2"/>
    <x v="11"/>
    <x v="7"/>
    <x v="0"/>
    <x v="0"/>
    <n v="11"/>
  </r>
  <r>
    <x v="0"/>
    <x v="0"/>
    <x v="2"/>
    <x v="11"/>
    <x v="7"/>
    <x v="0"/>
    <x v="18"/>
    <n v="18"/>
  </r>
  <r>
    <x v="0"/>
    <x v="0"/>
    <x v="2"/>
    <x v="11"/>
    <x v="6"/>
    <x v="0"/>
    <x v="0"/>
    <n v="3"/>
  </r>
  <r>
    <x v="0"/>
    <x v="0"/>
    <x v="2"/>
    <x v="11"/>
    <x v="6"/>
    <x v="0"/>
    <x v="18"/>
    <n v="2"/>
  </r>
  <r>
    <x v="0"/>
    <x v="0"/>
    <x v="2"/>
    <x v="11"/>
    <x v="9"/>
    <x v="0"/>
    <x v="0"/>
    <n v="2"/>
  </r>
  <r>
    <x v="0"/>
    <x v="0"/>
    <x v="2"/>
    <x v="11"/>
    <x v="9"/>
    <x v="0"/>
    <x v="18"/>
    <n v="2"/>
  </r>
  <r>
    <x v="0"/>
    <x v="0"/>
    <x v="2"/>
    <x v="11"/>
    <x v="17"/>
    <x v="0"/>
    <x v="0"/>
    <n v="3"/>
  </r>
  <r>
    <x v="0"/>
    <x v="0"/>
    <x v="2"/>
    <x v="11"/>
    <x v="17"/>
    <x v="0"/>
    <x v="18"/>
    <n v="4"/>
  </r>
  <r>
    <x v="0"/>
    <x v="0"/>
    <x v="2"/>
    <x v="11"/>
    <x v="19"/>
    <x v="0"/>
    <x v="19"/>
    <n v="1"/>
  </r>
  <r>
    <x v="0"/>
    <x v="0"/>
    <x v="2"/>
    <x v="12"/>
    <x v="5"/>
    <x v="0"/>
    <x v="0"/>
    <n v="1"/>
  </r>
  <r>
    <x v="0"/>
    <x v="0"/>
    <x v="2"/>
    <x v="12"/>
    <x v="15"/>
    <x v="0"/>
    <x v="9"/>
    <n v="92"/>
  </r>
  <r>
    <x v="0"/>
    <x v="0"/>
    <x v="2"/>
    <x v="12"/>
    <x v="15"/>
    <x v="0"/>
    <x v="3"/>
    <n v="81"/>
  </r>
  <r>
    <x v="0"/>
    <x v="0"/>
    <x v="2"/>
    <x v="12"/>
    <x v="15"/>
    <x v="0"/>
    <x v="4"/>
    <n v="64"/>
  </r>
  <r>
    <x v="0"/>
    <x v="0"/>
    <x v="2"/>
    <x v="12"/>
    <x v="3"/>
    <x v="8"/>
    <x v="19"/>
    <n v="1"/>
  </r>
  <r>
    <x v="0"/>
    <x v="0"/>
    <x v="2"/>
    <x v="12"/>
    <x v="6"/>
    <x v="0"/>
    <x v="0"/>
    <n v="1"/>
  </r>
  <r>
    <x v="0"/>
    <x v="0"/>
    <x v="2"/>
    <x v="12"/>
    <x v="18"/>
    <x v="0"/>
    <x v="13"/>
    <n v="1"/>
  </r>
  <r>
    <x v="0"/>
    <x v="0"/>
    <x v="2"/>
    <x v="12"/>
    <x v="18"/>
    <x v="0"/>
    <x v="17"/>
    <n v="1"/>
  </r>
  <r>
    <x v="0"/>
    <x v="0"/>
    <x v="2"/>
    <x v="12"/>
    <x v="18"/>
    <x v="0"/>
    <x v="18"/>
    <n v="1"/>
  </r>
  <r>
    <x v="0"/>
    <x v="0"/>
    <x v="2"/>
    <x v="13"/>
    <x v="2"/>
    <x v="0"/>
    <x v="19"/>
    <n v="36"/>
  </r>
  <r>
    <x v="0"/>
    <x v="0"/>
    <x v="2"/>
    <x v="13"/>
    <x v="4"/>
    <x v="0"/>
    <x v="9"/>
    <n v="1"/>
  </r>
  <r>
    <x v="0"/>
    <x v="0"/>
    <x v="2"/>
    <x v="13"/>
    <x v="13"/>
    <x v="0"/>
    <x v="1"/>
    <n v="2"/>
  </r>
  <r>
    <x v="0"/>
    <x v="0"/>
    <x v="2"/>
    <x v="13"/>
    <x v="13"/>
    <x v="0"/>
    <x v="3"/>
    <n v="3"/>
  </r>
  <r>
    <x v="0"/>
    <x v="0"/>
    <x v="2"/>
    <x v="13"/>
    <x v="13"/>
    <x v="0"/>
    <x v="4"/>
    <n v="4"/>
  </r>
  <r>
    <x v="0"/>
    <x v="0"/>
    <x v="2"/>
    <x v="13"/>
    <x v="15"/>
    <x v="0"/>
    <x v="12"/>
    <n v="7"/>
  </r>
  <r>
    <x v="0"/>
    <x v="0"/>
    <x v="2"/>
    <x v="13"/>
    <x v="15"/>
    <x v="0"/>
    <x v="9"/>
    <n v="4"/>
  </r>
  <r>
    <x v="0"/>
    <x v="0"/>
    <x v="2"/>
    <x v="13"/>
    <x v="15"/>
    <x v="0"/>
    <x v="3"/>
    <n v="3"/>
  </r>
  <r>
    <x v="0"/>
    <x v="0"/>
    <x v="2"/>
    <x v="13"/>
    <x v="18"/>
    <x v="0"/>
    <x v="13"/>
    <n v="3"/>
  </r>
  <r>
    <x v="0"/>
    <x v="0"/>
    <x v="2"/>
    <x v="13"/>
    <x v="18"/>
    <x v="0"/>
    <x v="11"/>
    <n v="8"/>
  </r>
  <r>
    <x v="0"/>
    <x v="0"/>
    <x v="2"/>
    <x v="13"/>
    <x v="18"/>
    <x v="0"/>
    <x v="14"/>
    <n v="19"/>
  </r>
  <r>
    <x v="0"/>
    <x v="0"/>
    <x v="2"/>
    <x v="13"/>
    <x v="18"/>
    <x v="0"/>
    <x v="0"/>
    <n v="8"/>
  </r>
  <r>
    <x v="0"/>
    <x v="0"/>
    <x v="2"/>
    <x v="13"/>
    <x v="18"/>
    <x v="0"/>
    <x v="18"/>
    <n v="2"/>
  </r>
  <r>
    <x v="0"/>
    <x v="0"/>
    <x v="2"/>
    <x v="14"/>
    <x v="4"/>
    <x v="0"/>
    <x v="12"/>
    <n v="14"/>
  </r>
  <r>
    <x v="0"/>
    <x v="0"/>
    <x v="2"/>
    <x v="14"/>
    <x v="4"/>
    <x v="0"/>
    <x v="9"/>
    <n v="8"/>
  </r>
  <r>
    <x v="0"/>
    <x v="0"/>
    <x v="2"/>
    <x v="14"/>
    <x v="4"/>
    <x v="0"/>
    <x v="3"/>
    <n v="14"/>
  </r>
  <r>
    <x v="0"/>
    <x v="0"/>
    <x v="2"/>
    <x v="14"/>
    <x v="4"/>
    <x v="0"/>
    <x v="4"/>
    <n v="5"/>
  </r>
  <r>
    <x v="0"/>
    <x v="0"/>
    <x v="2"/>
    <x v="14"/>
    <x v="4"/>
    <x v="0"/>
    <x v="5"/>
    <n v="2"/>
  </r>
  <r>
    <x v="0"/>
    <x v="0"/>
    <x v="2"/>
    <x v="14"/>
    <x v="4"/>
    <x v="0"/>
    <x v="2"/>
    <n v="4"/>
  </r>
  <r>
    <x v="0"/>
    <x v="0"/>
    <x v="2"/>
    <x v="14"/>
    <x v="14"/>
    <x v="0"/>
    <x v="18"/>
    <n v="31"/>
  </r>
  <r>
    <x v="0"/>
    <x v="0"/>
    <x v="2"/>
    <x v="14"/>
    <x v="6"/>
    <x v="0"/>
    <x v="0"/>
    <n v="3"/>
  </r>
  <r>
    <x v="0"/>
    <x v="0"/>
    <x v="2"/>
    <x v="14"/>
    <x v="10"/>
    <x v="0"/>
    <x v="0"/>
    <n v="1"/>
  </r>
  <r>
    <x v="0"/>
    <x v="0"/>
    <x v="2"/>
    <x v="14"/>
    <x v="10"/>
    <x v="0"/>
    <x v="17"/>
    <n v="3"/>
  </r>
  <r>
    <x v="0"/>
    <x v="0"/>
    <x v="2"/>
    <x v="14"/>
    <x v="10"/>
    <x v="0"/>
    <x v="19"/>
    <n v="3"/>
  </r>
  <r>
    <x v="0"/>
    <x v="0"/>
    <x v="2"/>
    <x v="14"/>
    <x v="19"/>
    <x v="0"/>
    <x v="14"/>
    <n v="3"/>
  </r>
  <r>
    <x v="0"/>
    <x v="0"/>
    <x v="2"/>
    <x v="14"/>
    <x v="19"/>
    <x v="0"/>
    <x v="19"/>
    <n v="1"/>
  </r>
  <r>
    <x v="0"/>
    <x v="0"/>
    <x v="2"/>
    <x v="18"/>
    <x v="0"/>
    <x v="0"/>
    <x v="14"/>
    <n v="3"/>
  </r>
  <r>
    <x v="0"/>
    <x v="0"/>
    <x v="2"/>
    <x v="18"/>
    <x v="2"/>
    <x v="0"/>
    <x v="13"/>
    <n v="1"/>
  </r>
  <r>
    <x v="0"/>
    <x v="0"/>
    <x v="2"/>
    <x v="18"/>
    <x v="2"/>
    <x v="0"/>
    <x v="11"/>
    <n v="1"/>
  </r>
  <r>
    <x v="0"/>
    <x v="0"/>
    <x v="2"/>
    <x v="18"/>
    <x v="2"/>
    <x v="0"/>
    <x v="14"/>
    <n v="2"/>
  </r>
  <r>
    <x v="0"/>
    <x v="0"/>
    <x v="2"/>
    <x v="18"/>
    <x v="8"/>
    <x v="7"/>
    <x v="19"/>
    <n v="1"/>
  </r>
  <r>
    <x v="0"/>
    <x v="0"/>
    <x v="2"/>
    <x v="18"/>
    <x v="8"/>
    <x v="1"/>
    <x v="18"/>
    <n v="1"/>
  </r>
  <r>
    <x v="0"/>
    <x v="0"/>
    <x v="2"/>
    <x v="18"/>
    <x v="8"/>
    <x v="8"/>
    <x v="19"/>
    <n v="3"/>
  </r>
  <r>
    <x v="0"/>
    <x v="0"/>
    <x v="2"/>
    <x v="18"/>
    <x v="8"/>
    <x v="0"/>
    <x v="0"/>
    <n v="1"/>
  </r>
  <r>
    <x v="0"/>
    <x v="0"/>
    <x v="2"/>
    <x v="18"/>
    <x v="8"/>
    <x v="0"/>
    <x v="18"/>
    <n v="2"/>
  </r>
  <r>
    <x v="0"/>
    <x v="0"/>
    <x v="2"/>
    <x v="18"/>
    <x v="6"/>
    <x v="0"/>
    <x v="18"/>
    <n v="1"/>
  </r>
  <r>
    <x v="0"/>
    <x v="0"/>
    <x v="2"/>
    <x v="18"/>
    <x v="10"/>
    <x v="0"/>
    <x v="19"/>
    <n v="75"/>
  </r>
  <r>
    <x v="0"/>
    <x v="0"/>
    <x v="2"/>
    <x v="18"/>
    <x v="18"/>
    <x v="0"/>
    <x v="2"/>
    <n v="1"/>
  </r>
  <r>
    <x v="0"/>
    <x v="0"/>
    <x v="2"/>
    <x v="18"/>
    <x v="18"/>
    <x v="0"/>
    <x v="13"/>
    <n v="2"/>
  </r>
  <r>
    <x v="0"/>
    <x v="0"/>
    <x v="2"/>
    <x v="18"/>
    <x v="18"/>
    <x v="0"/>
    <x v="0"/>
    <n v="2"/>
  </r>
  <r>
    <x v="0"/>
    <x v="0"/>
    <x v="2"/>
    <x v="18"/>
    <x v="18"/>
    <x v="0"/>
    <x v="18"/>
    <n v="3"/>
  </r>
  <r>
    <x v="0"/>
    <x v="0"/>
    <x v="2"/>
    <x v="15"/>
    <x v="12"/>
    <x v="0"/>
    <x v="0"/>
    <n v="3"/>
  </r>
  <r>
    <x v="0"/>
    <x v="0"/>
    <x v="2"/>
    <x v="15"/>
    <x v="12"/>
    <x v="0"/>
    <x v="18"/>
    <n v="1"/>
  </r>
  <r>
    <x v="0"/>
    <x v="0"/>
    <x v="2"/>
    <x v="15"/>
    <x v="16"/>
    <x v="0"/>
    <x v="13"/>
    <n v="5"/>
  </r>
  <r>
    <x v="0"/>
    <x v="0"/>
    <x v="2"/>
    <x v="15"/>
    <x v="16"/>
    <x v="0"/>
    <x v="11"/>
    <n v="4"/>
  </r>
  <r>
    <x v="0"/>
    <x v="0"/>
    <x v="2"/>
    <x v="15"/>
    <x v="16"/>
    <x v="0"/>
    <x v="17"/>
    <n v="1"/>
  </r>
  <r>
    <x v="0"/>
    <x v="0"/>
    <x v="2"/>
    <x v="15"/>
    <x v="3"/>
    <x v="0"/>
    <x v="2"/>
    <n v="1"/>
  </r>
  <r>
    <x v="0"/>
    <x v="0"/>
    <x v="2"/>
    <x v="15"/>
    <x v="3"/>
    <x v="0"/>
    <x v="13"/>
    <n v="1"/>
  </r>
  <r>
    <x v="0"/>
    <x v="0"/>
    <x v="2"/>
    <x v="15"/>
    <x v="3"/>
    <x v="0"/>
    <x v="11"/>
    <n v="1"/>
  </r>
  <r>
    <x v="0"/>
    <x v="0"/>
    <x v="2"/>
    <x v="15"/>
    <x v="3"/>
    <x v="0"/>
    <x v="14"/>
    <n v="2"/>
  </r>
  <r>
    <x v="0"/>
    <x v="0"/>
    <x v="2"/>
    <x v="15"/>
    <x v="7"/>
    <x v="0"/>
    <x v="19"/>
    <n v="7"/>
  </r>
  <r>
    <x v="0"/>
    <x v="0"/>
    <x v="2"/>
    <x v="15"/>
    <x v="11"/>
    <x v="8"/>
    <x v="3"/>
    <n v="1"/>
  </r>
  <r>
    <x v="0"/>
    <x v="0"/>
    <x v="2"/>
    <x v="16"/>
    <x v="13"/>
    <x v="0"/>
    <x v="0"/>
    <n v="1"/>
  </r>
  <r>
    <x v="0"/>
    <x v="0"/>
    <x v="2"/>
    <x v="16"/>
    <x v="11"/>
    <x v="0"/>
    <x v="0"/>
    <n v="6"/>
  </r>
  <r>
    <x v="0"/>
    <x v="0"/>
    <x v="2"/>
    <x v="16"/>
    <x v="17"/>
    <x v="0"/>
    <x v="13"/>
    <n v="4"/>
  </r>
  <r>
    <x v="0"/>
    <x v="0"/>
    <x v="2"/>
    <x v="16"/>
    <x v="17"/>
    <x v="0"/>
    <x v="11"/>
    <n v="2"/>
  </r>
  <r>
    <x v="0"/>
    <x v="0"/>
    <x v="2"/>
    <x v="16"/>
    <x v="17"/>
    <x v="0"/>
    <x v="14"/>
    <n v="2"/>
  </r>
  <r>
    <x v="0"/>
    <x v="0"/>
    <x v="2"/>
    <x v="16"/>
    <x v="17"/>
    <x v="0"/>
    <x v="17"/>
    <n v="2"/>
  </r>
  <r>
    <x v="0"/>
    <x v="0"/>
    <x v="2"/>
    <x v="16"/>
    <x v="17"/>
    <x v="0"/>
    <x v="19"/>
    <n v="1"/>
  </r>
  <r>
    <x v="0"/>
    <x v="0"/>
    <x v="2"/>
    <x v="16"/>
    <x v="19"/>
    <x v="0"/>
    <x v="2"/>
    <n v="1"/>
  </r>
  <r>
    <x v="0"/>
    <x v="0"/>
    <x v="2"/>
    <x v="16"/>
    <x v="19"/>
    <x v="0"/>
    <x v="19"/>
    <n v="3"/>
  </r>
  <r>
    <x v="0"/>
    <x v="0"/>
    <x v="2"/>
    <x v="17"/>
    <x v="14"/>
    <x v="0"/>
    <x v="11"/>
    <n v="4"/>
  </r>
  <r>
    <x v="0"/>
    <x v="0"/>
    <x v="2"/>
    <x v="17"/>
    <x v="14"/>
    <x v="0"/>
    <x v="14"/>
    <n v="1"/>
  </r>
  <r>
    <x v="0"/>
    <x v="0"/>
    <x v="2"/>
    <x v="17"/>
    <x v="14"/>
    <x v="0"/>
    <x v="17"/>
    <n v="7"/>
  </r>
  <r>
    <x v="0"/>
    <x v="0"/>
    <x v="2"/>
    <x v="17"/>
    <x v="14"/>
    <x v="0"/>
    <x v="19"/>
    <n v="51"/>
  </r>
  <r>
    <x v="0"/>
    <x v="0"/>
    <x v="2"/>
    <x v="17"/>
    <x v="8"/>
    <x v="0"/>
    <x v="14"/>
    <n v="1"/>
  </r>
  <r>
    <x v="0"/>
    <x v="0"/>
    <x v="2"/>
    <x v="17"/>
    <x v="8"/>
    <x v="0"/>
    <x v="19"/>
    <n v="1"/>
  </r>
  <r>
    <x v="0"/>
    <x v="0"/>
    <x v="2"/>
    <x v="17"/>
    <x v="3"/>
    <x v="0"/>
    <x v="5"/>
    <n v="6"/>
  </r>
  <r>
    <x v="0"/>
    <x v="0"/>
    <x v="2"/>
    <x v="17"/>
    <x v="3"/>
    <x v="0"/>
    <x v="2"/>
    <n v="1"/>
  </r>
  <r>
    <x v="0"/>
    <x v="0"/>
    <x v="2"/>
    <x v="17"/>
    <x v="3"/>
    <x v="0"/>
    <x v="13"/>
    <n v="3"/>
  </r>
  <r>
    <x v="0"/>
    <x v="0"/>
    <x v="2"/>
    <x v="17"/>
    <x v="3"/>
    <x v="0"/>
    <x v="11"/>
    <n v="4"/>
  </r>
  <r>
    <x v="0"/>
    <x v="0"/>
    <x v="2"/>
    <x v="17"/>
    <x v="3"/>
    <x v="0"/>
    <x v="14"/>
    <n v="6"/>
  </r>
  <r>
    <x v="0"/>
    <x v="0"/>
    <x v="2"/>
    <x v="17"/>
    <x v="3"/>
    <x v="0"/>
    <x v="17"/>
    <n v="1"/>
  </r>
  <r>
    <x v="0"/>
    <x v="0"/>
    <x v="2"/>
    <x v="17"/>
    <x v="3"/>
    <x v="0"/>
    <x v="19"/>
    <n v="1"/>
  </r>
  <r>
    <x v="0"/>
    <x v="0"/>
    <x v="2"/>
    <x v="17"/>
    <x v="11"/>
    <x v="8"/>
    <x v="5"/>
    <n v="2"/>
  </r>
  <r>
    <x v="0"/>
    <x v="0"/>
    <x v="2"/>
    <x v="17"/>
    <x v="11"/>
    <x v="8"/>
    <x v="0"/>
    <n v="1"/>
  </r>
  <r>
    <x v="0"/>
    <x v="0"/>
    <x v="2"/>
    <x v="17"/>
    <x v="11"/>
    <x v="0"/>
    <x v="13"/>
    <n v="6"/>
  </r>
  <r>
    <x v="0"/>
    <x v="0"/>
    <x v="2"/>
    <x v="17"/>
    <x v="11"/>
    <x v="0"/>
    <x v="11"/>
    <n v="6"/>
  </r>
  <r>
    <x v="0"/>
    <x v="0"/>
    <x v="2"/>
    <x v="17"/>
    <x v="11"/>
    <x v="0"/>
    <x v="14"/>
    <n v="7"/>
  </r>
  <r>
    <x v="0"/>
    <x v="0"/>
    <x v="2"/>
    <x v="17"/>
    <x v="11"/>
    <x v="0"/>
    <x v="17"/>
    <n v="6"/>
  </r>
  <r>
    <x v="0"/>
    <x v="0"/>
    <x v="2"/>
    <x v="17"/>
    <x v="11"/>
    <x v="0"/>
    <x v="19"/>
    <n v="4"/>
  </r>
  <r>
    <x v="0"/>
    <x v="0"/>
    <x v="2"/>
    <x v="17"/>
    <x v="18"/>
    <x v="0"/>
    <x v="19"/>
    <n v="76"/>
  </r>
  <r>
    <x v="0"/>
    <x v="0"/>
    <x v="2"/>
    <x v="19"/>
    <x v="4"/>
    <x v="0"/>
    <x v="18"/>
    <n v="2"/>
  </r>
  <r>
    <x v="0"/>
    <x v="0"/>
    <x v="2"/>
    <x v="19"/>
    <x v="13"/>
    <x v="0"/>
    <x v="18"/>
    <n v="4"/>
  </r>
  <r>
    <x v="0"/>
    <x v="0"/>
    <x v="2"/>
    <x v="19"/>
    <x v="10"/>
    <x v="1"/>
    <x v="11"/>
    <n v="1"/>
  </r>
  <r>
    <x v="0"/>
    <x v="0"/>
    <x v="2"/>
    <x v="19"/>
    <x v="10"/>
    <x v="8"/>
    <x v="12"/>
    <n v="8"/>
  </r>
  <r>
    <x v="0"/>
    <x v="0"/>
    <x v="2"/>
    <x v="19"/>
    <x v="10"/>
    <x v="8"/>
    <x v="9"/>
    <n v="3"/>
  </r>
  <r>
    <x v="0"/>
    <x v="0"/>
    <x v="2"/>
    <x v="19"/>
    <x v="10"/>
    <x v="8"/>
    <x v="4"/>
    <n v="1"/>
  </r>
  <r>
    <x v="0"/>
    <x v="0"/>
    <x v="2"/>
    <x v="19"/>
    <x v="10"/>
    <x v="8"/>
    <x v="2"/>
    <n v="1"/>
  </r>
  <r>
    <x v="0"/>
    <x v="0"/>
    <x v="2"/>
    <x v="19"/>
    <x v="10"/>
    <x v="8"/>
    <x v="0"/>
    <n v="2"/>
  </r>
  <r>
    <x v="0"/>
    <x v="0"/>
    <x v="2"/>
    <x v="19"/>
    <x v="10"/>
    <x v="0"/>
    <x v="13"/>
    <n v="10"/>
  </r>
  <r>
    <x v="0"/>
    <x v="0"/>
    <x v="2"/>
    <x v="19"/>
    <x v="10"/>
    <x v="0"/>
    <x v="11"/>
    <n v="10"/>
  </r>
  <r>
    <x v="0"/>
    <x v="0"/>
    <x v="2"/>
    <x v="19"/>
    <x v="10"/>
    <x v="0"/>
    <x v="14"/>
    <n v="6"/>
  </r>
  <r>
    <x v="0"/>
    <x v="0"/>
    <x v="2"/>
    <x v="19"/>
    <x v="19"/>
    <x v="0"/>
    <x v="13"/>
    <n v="2"/>
  </r>
  <r>
    <x v="0"/>
    <x v="0"/>
    <x v="2"/>
    <x v="19"/>
    <x v="19"/>
    <x v="0"/>
    <x v="11"/>
    <n v="3"/>
  </r>
  <r>
    <x v="0"/>
    <x v="0"/>
    <x v="2"/>
    <x v="19"/>
    <x v="19"/>
    <x v="0"/>
    <x v="14"/>
    <n v="5"/>
  </r>
  <r>
    <x v="0"/>
    <x v="0"/>
    <x v="2"/>
    <x v="19"/>
    <x v="19"/>
    <x v="0"/>
    <x v="17"/>
    <n v="1"/>
  </r>
  <r>
    <x v="0"/>
    <x v="0"/>
    <x v="2"/>
    <x v="19"/>
    <x v="19"/>
    <x v="0"/>
    <x v="19"/>
    <n v="5"/>
  </r>
  <r>
    <x v="0"/>
    <x v="0"/>
    <x v="3"/>
    <x v="0"/>
    <x v="14"/>
    <x v="4"/>
    <x v="12"/>
    <n v="1"/>
  </r>
  <r>
    <x v="0"/>
    <x v="0"/>
    <x v="3"/>
    <x v="0"/>
    <x v="14"/>
    <x v="7"/>
    <x v="10"/>
    <n v="12"/>
  </r>
  <r>
    <x v="0"/>
    <x v="0"/>
    <x v="3"/>
    <x v="0"/>
    <x v="14"/>
    <x v="8"/>
    <x v="12"/>
    <n v="1"/>
  </r>
  <r>
    <x v="0"/>
    <x v="0"/>
    <x v="3"/>
    <x v="0"/>
    <x v="7"/>
    <x v="0"/>
    <x v="1"/>
    <n v="1"/>
  </r>
  <r>
    <x v="0"/>
    <x v="0"/>
    <x v="3"/>
    <x v="0"/>
    <x v="19"/>
    <x v="6"/>
    <x v="1"/>
    <n v="1"/>
  </r>
  <r>
    <x v="0"/>
    <x v="0"/>
    <x v="3"/>
    <x v="0"/>
    <x v="19"/>
    <x v="9"/>
    <x v="1"/>
    <n v="1"/>
  </r>
  <r>
    <x v="0"/>
    <x v="0"/>
    <x v="3"/>
    <x v="0"/>
    <x v="19"/>
    <x v="12"/>
    <x v="5"/>
    <n v="1"/>
  </r>
  <r>
    <x v="0"/>
    <x v="0"/>
    <x v="3"/>
    <x v="0"/>
    <x v="19"/>
    <x v="1"/>
    <x v="6"/>
    <n v="2"/>
  </r>
  <r>
    <x v="0"/>
    <x v="0"/>
    <x v="3"/>
    <x v="1"/>
    <x v="0"/>
    <x v="9"/>
    <x v="6"/>
    <n v="3"/>
  </r>
  <r>
    <x v="0"/>
    <x v="0"/>
    <x v="3"/>
    <x v="1"/>
    <x v="0"/>
    <x v="9"/>
    <x v="12"/>
    <n v="1"/>
  </r>
  <r>
    <x v="0"/>
    <x v="0"/>
    <x v="3"/>
    <x v="1"/>
    <x v="0"/>
    <x v="12"/>
    <x v="6"/>
    <n v="7"/>
  </r>
  <r>
    <x v="0"/>
    <x v="0"/>
    <x v="3"/>
    <x v="1"/>
    <x v="0"/>
    <x v="12"/>
    <x v="10"/>
    <n v="1"/>
  </r>
  <r>
    <x v="0"/>
    <x v="0"/>
    <x v="3"/>
    <x v="1"/>
    <x v="0"/>
    <x v="1"/>
    <x v="6"/>
    <n v="6"/>
  </r>
  <r>
    <x v="0"/>
    <x v="0"/>
    <x v="3"/>
    <x v="1"/>
    <x v="0"/>
    <x v="1"/>
    <x v="10"/>
    <n v="6"/>
  </r>
  <r>
    <x v="0"/>
    <x v="0"/>
    <x v="3"/>
    <x v="1"/>
    <x v="0"/>
    <x v="8"/>
    <x v="1"/>
    <n v="1"/>
  </r>
  <r>
    <x v="0"/>
    <x v="0"/>
    <x v="3"/>
    <x v="1"/>
    <x v="0"/>
    <x v="0"/>
    <x v="6"/>
    <n v="1"/>
  </r>
  <r>
    <x v="0"/>
    <x v="0"/>
    <x v="3"/>
    <x v="1"/>
    <x v="0"/>
    <x v="0"/>
    <x v="12"/>
    <n v="4"/>
  </r>
  <r>
    <x v="0"/>
    <x v="0"/>
    <x v="3"/>
    <x v="1"/>
    <x v="0"/>
    <x v="0"/>
    <x v="3"/>
    <n v="1"/>
  </r>
  <r>
    <x v="0"/>
    <x v="0"/>
    <x v="3"/>
    <x v="1"/>
    <x v="16"/>
    <x v="3"/>
    <x v="12"/>
    <n v="2"/>
  </r>
  <r>
    <x v="0"/>
    <x v="0"/>
    <x v="3"/>
    <x v="1"/>
    <x v="1"/>
    <x v="0"/>
    <x v="1"/>
    <n v="1"/>
  </r>
  <r>
    <x v="0"/>
    <x v="0"/>
    <x v="3"/>
    <x v="1"/>
    <x v="5"/>
    <x v="0"/>
    <x v="13"/>
    <n v="1"/>
  </r>
  <r>
    <x v="0"/>
    <x v="0"/>
    <x v="3"/>
    <x v="1"/>
    <x v="8"/>
    <x v="8"/>
    <x v="9"/>
    <n v="1"/>
  </r>
  <r>
    <x v="0"/>
    <x v="0"/>
    <x v="3"/>
    <x v="1"/>
    <x v="3"/>
    <x v="2"/>
    <x v="12"/>
    <n v="1"/>
  </r>
  <r>
    <x v="0"/>
    <x v="0"/>
    <x v="3"/>
    <x v="1"/>
    <x v="3"/>
    <x v="2"/>
    <x v="9"/>
    <n v="1"/>
  </r>
  <r>
    <x v="0"/>
    <x v="0"/>
    <x v="3"/>
    <x v="1"/>
    <x v="3"/>
    <x v="10"/>
    <x v="12"/>
    <n v="1"/>
  </r>
  <r>
    <x v="0"/>
    <x v="0"/>
    <x v="3"/>
    <x v="1"/>
    <x v="3"/>
    <x v="10"/>
    <x v="9"/>
    <n v="2"/>
  </r>
  <r>
    <x v="0"/>
    <x v="0"/>
    <x v="3"/>
    <x v="1"/>
    <x v="3"/>
    <x v="3"/>
    <x v="8"/>
    <n v="2"/>
  </r>
  <r>
    <x v="0"/>
    <x v="0"/>
    <x v="3"/>
    <x v="1"/>
    <x v="3"/>
    <x v="4"/>
    <x v="8"/>
    <n v="1"/>
  </r>
  <r>
    <x v="0"/>
    <x v="0"/>
    <x v="3"/>
    <x v="1"/>
    <x v="3"/>
    <x v="7"/>
    <x v="6"/>
    <n v="1"/>
  </r>
  <r>
    <x v="0"/>
    <x v="0"/>
    <x v="3"/>
    <x v="1"/>
    <x v="7"/>
    <x v="1"/>
    <x v="14"/>
    <n v="1"/>
  </r>
  <r>
    <x v="0"/>
    <x v="0"/>
    <x v="3"/>
    <x v="1"/>
    <x v="7"/>
    <x v="0"/>
    <x v="2"/>
    <n v="3"/>
  </r>
  <r>
    <x v="0"/>
    <x v="0"/>
    <x v="3"/>
    <x v="1"/>
    <x v="7"/>
    <x v="0"/>
    <x v="13"/>
    <n v="1"/>
  </r>
  <r>
    <x v="0"/>
    <x v="0"/>
    <x v="3"/>
    <x v="1"/>
    <x v="9"/>
    <x v="0"/>
    <x v="4"/>
    <n v="3"/>
  </r>
  <r>
    <x v="0"/>
    <x v="0"/>
    <x v="3"/>
    <x v="1"/>
    <x v="9"/>
    <x v="0"/>
    <x v="5"/>
    <n v="3"/>
  </r>
  <r>
    <x v="0"/>
    <x v="0"/>
    <x v="3"/>
    <x v="1"/>
    <x v="9"/>
    <x v="0"/>
    <x v="2"/>
    <n v="2"/>
  </r>
  <r>
    <x v="0"/>
    <x v="0"/>
    <x v="3"/>
    <x v="1"/>
    <x v="9"/>
    <x v="0"/>
    <x v="14"/>
    <n v="1"/>
  </r>
  <r>
    <x v="0"/>
    <x v="0"/>
    <x v="3"/>
    <x v="1"/>
    <x v="17"/>
    <x v="0"/>
    <x v="2"/>
    <n v="1"/>
  </r>
  <r>
    <x v="0"/>
    <x v="0"/>
    <x v="3"/>
    <x v="1"/>
    <x v="17"/>
    <x v="0"/>
    <x v="13"/>
    <n v="1"/>
  </r>
  <r>
    <x v="0"/>
    <x v="0"/>
    <x v="3"/>
    <x v="2"/>
    <x v="5"/>
    <x v="0"/>
    <x v="6"/>
    <n v="1"/>
  </r>
  <r>
    <x v="0"/>
    <x v="0"/>
    <x v="3"/>
    <x v="2"/>
    <x v="5"/>
    <x v="0"/>
    <x v="10"/>
    <n v="3"/>
  </r>
  <r>
    <x v="0"/>
    <x v="0"/>
    <x v="3"/>
    <x v="2"/>
    <x v="5"/>
    <x v="0"/>
    <x v="3"/>
    <n v="1"/>
  </r>
  <r>
    <x v="0"/>
    <x v="0"/>
    <x v="3"/>
    <x v="2"/>
    <x v="13"/>
    <x v="8"/>
    <x v="12"/>
    <n v="1"/>
  </r>
  <r>
    <x v="0"/>
    <x v="0"/>
    <x v="3"/>
    <x v="2"/>
    <x v="14"/>
    <x v="0"/>
    <x v="2"/>
    <n v="1"/>
  </r>
  <r>
    <x v="0"/>
    <x v="0"/>
    <x v="3"/>
    <x v="2"/>
    <x v="8"/>
    <x v="0"/>
    <x v="14"/>
    <n v="1"/>
  </r>
  <r>
    <x v="0"/>
    <x v="0"/>
    <x v="3"/>
    <x v="2"/>
    <x v="17"/>
    <x v="0"/>
    <x v="9"/>
    <n v="1"/>
  </r>
  <r>
    <x v="0"/>
    <x v="0"/>
    <x v="3"/>
    <x v="2"/>
    <x v="17"/>
    <x v="0"/>
    <x v="4"/>
    <n v="1"/>
  </r>
  <r>
    <x v="0"/>
    <x v="0"/>
    <x v="3"/>
    <x v="3"/>
    <x v="16"/>
    <x v="9"/>
    <x v="6"/>
    <n v="3"/>
  </r>
  <r>
    <x v="0"/>
    <x v="0"/>
    <x v="3"/>
    <x v="3"/>
    <x v="16"/>
    <x v="12"/>
    <x v="6"/>
    <n v="3"/>
  </r>
  <r>
    <x v="0"/>
    <x v="0"/>
    <x v="3"/>
    <x v="3"/>
    <x v="16"/>
    <x v="1"/>
    <x v="6"/>
    <n v="8"/>
  </r>
  <r>
    <x v="0"/>
    <x v="0"/>
    <x v="3"/>
    <x v="3"/>
    <x v="16"/>
    <x v="1"/>
    <x v="1"/>
    <n v="1"/>
  </r>
  <r>
    <x v="0"/>
    <x v="0"/>
    <x v="3"/>
    <x v="3"/>
    <x v="16"/>
    <x v="0"/>
    <x v="6"/>
    <n v="1"/>
  </r>
  <r>
    <x v="0"/>
    <x v="0"/>
    <x v="3"/>
    <x v="3"/>
    <x v="16"/>
    <x v="0"/>
    <x v="10"/>
    <n v="5"/>
  </r>
  <r>
    <x v="0"/>
    <x v="0"/>
    <x v="3"/>
    <x v="3"/>
    <x v="1"/>
    <x v="0"/>
    <x v="12"/>
    <n v="5"/>
  </r>
  <r>
    <x v="0"/>
    <x v="0"/>
    <x v="3"/>
    <x v="3"/>
    <x v="14"/>
    <x v="0"/>
    <x v="9"/>
    <n v="1"/>
  </r>
  <r>
    <x v="0"/>
    <x v="0"/>
    <x v="3"/>
    <x v="3"/>
    <x v="14"/>
    <x v="0"/>
    <x v="3"/>
    <n v="1"/>
  </r>
  <r>
    <x v="0"/>
    <x v="0"/>
    <x v="3"/>
    <x v="3"/>
    <x v="3"/>
    <x v="0"/>
    <x v="12"/>
    <n v="4"/>
  </r>
  <r>
    <x v="0"/>
    <x v="0"/>
    <x v="3"/>
    <x v="3"/>
    <x v="3"/>
    <x v="0"/>
    <x v="9"/>
    <n v="2"/>
  </r>
  <r>
    <x v="0"/>
    <x v="0"/>
    <x v="3"/>
    <x v="3"/>
    <x v="3"/>
    <x v="0"/>
    <x v="3"/>
    <n v="5"/>
  </r>
  <r>
    <x v="0"/>
    <x v="0"/>
    <x v="3"/>
    <x v="3"/>
    <x v="3"/>
    <x v="0"/>
    <x v="4"/>
    <n v="3"/>
  </r>
  <r>
    <x v="0"/>
    <x v="0"/>
    <x v="3"/>
    <x v="3"/>
    <x v="3"/>
    <x v="0"/>
    <x v="5"/>
    <n v="4"/>
  </r>
  <r>
    <x v="0"/>
    <x v="0"/>
    <x v="3"/>
    <x v="3"/>
    <x v="7"/>
    <x v="0"/>
    <x v="12"/>
    <n v="1"/>
  </r>
  <r>
    <x v="0"/>
    <x v="0"/>
    <x v="3"/>
    <x v="3"/>
    <x v="6"/>
    <x v="1"/>
    <x v="0"/>
    <n v="1"/>
  </r>
  <r>
    <x v="0"/>
    <x v="0"/>
    <x v="3"/>
    <x v="3"/>
    <x v="6"/>
    <x v="8"/>
    <x v="11"/>
    <n v="1"/>
  </r>
  <r>
    <x v="0"/>
    <x v="0"/>
    <x v="3"/>
    <x v="3"/>
    <x v="6"/>
    <x v="0"/>
    <x v="0"/>
    <n v="1"/>
  </r>
  <r>
    <x v="0"/>
    <x v="0"/>
    <x v="3"/>
    <x v="3"/>
    <x v="11"/>
    <x v="0"/>
    <x v="10"/>
    <n v="8"/>
  </r>
  <r>
    <x v="0"/>
    <x v="0"/>
    <x v="3"/>
    <x v="3"/>
    <x v="11"/>
    <x v="0"/>
    <x v="1"/>
    <n v="4"/>
  </r>
  <r>
    <x v="0"/>
    <x v="0"/>
    <x v="3"/>
    <x v="4"/>
    <x v="2"/>
    <x v="0"/>
    <x v="1"/>
    <n v="5"/>
  </r>
  <r>
    <x v="0"/>
    <x v="0"/>
    <x v="3"/>
    <x v="4"/>
    <x v="2"/>
    <x v="0"/>
    <x v="13"/>
    <n v="1"/>
  </r>
  <r>
    <x v="0"/>
    <x v="0"/>
    <x v="3"/>
    <x v="4"/>
    <x v="4"/>
    <x v="18"/>
    <x v="3"/>
    <n v="1"/>
  </r>
  <r>
    <x v="0"/>
    <x v="0"/>
    <x v="3"/>
    <x v="4"/>
    <x v="4"/>
    <x v="13"/>
    <x v="4"/>
    <n v="1"/>
  </r>
  <r>
    <x v="0"/>
    <x v="0"/>
    <x v="3"/>
    <x v="4"/>
    <x v="15"/>
    <x v="0"/>
    <x v="12"/>
    <n v="3"/>
  </r>
  <r>
    <x v="0"/>
    <x v="0"/>
    <x v="3"/>
    <x v="4"/>
    <x v="3"/>
    <x v="0"/>
    <x v="18"/>
    <n v="1"/>
  </r>
  <r>
    <x v="0"/>
    <x v="0"/>
    <x v="3"/>
    <x v="4"/>
    <x v="7"/>
    <x v="8"/>
    <x v="1"/>
    <n v="1"/>
  </r>
  <r>
    <x v="0"/>
    <x v="0"/>
    <x v="3"/>
    <x v="4"/>
    <x v="9"/>
    <x v="8"/>
    <x v="1"/>
    <n v="7"/>
  </r>
  <r>
    <x v="0"/>
    <x v="0"/>
    <x v="3"/>
    <x v="5"/>
    <x v="15"/>
    <x v="0"/>
    <x v="12"/>
    <n v="1"/>
  </r>
  <r>
    <x v="0"/>
    <x v="0"/>
    <x v="3"/>
    <x v="5"/>
    <x v="10"/>
    <x v="8"/>
    <x v="1"/>
    <n v="2"/>
  </r>
  <r>
    <x v="0"/>
    <x v="0"/>
    <x v="3"/>
    <x v="5"/>
    <x v="11"/>
    <x v="5"/>
    <x v="11"/>
    <n v="1"/>
  </r>
  <r>
    <x v="0"/>
    <x v="0"/>
    <x v="3"/>
    <x v="5"/>
    <x v="11"/>
    <x v="11"/>
    <x v="11"/>
    <n v="1"/>
  </r>
  <r>
    <x v="0"/>
    <x v="0"/>
    <x v="3"/>
    <x v="5"/>
    <x v="11"/>
    <x v="6"/>
    <x v="10"/>
    <n v="2"/>
  </r>
  <r>
    <x v="0"/>
    <x v="0"/>
    <x v="3"/>
    <x v="5"/>
    <x v="11"/>
    <x v="6"/>
    <x v="1"/>
    <n v="1"/>
  </r>
  <r>
    <x v="0"/>
    <x v="0"/>
    <x v="3"/>
    <x v="5"/>
    <x v="11"/>
    <x v="6"/>
    <x v="13"/>
    <n v="1"/>
  </r>
  <r>
    <x v="0"/>
    <x v="0"/>
    <x v="3"/>
    <x v="5"/>
    <x v="11"/>
    <x v="9"/>
    <x v="10"/>
    <n v="2"/>
  </r>
  <r>
    <x v="0"/>
    <x v="0"/>
    <x v="3"/>
    <x v="5"/>
    <x v="11"/>
    <x v="12"/>
    <x v="6"/>
    <n v="1"/>
  </r>
  <r>
    <x v="0"/>
    <x v="0"/>
    <x v="3"/>
    <x v="5"/>
    <x v="11"/>
    <x v="12"/>
    <x v="10"/>
    <n v="2"/>
  </r>
  <r>
    <x v="0"/>
    <x v="0"/>
    <x v="3"/>
    <x v="5"/>
    <x v="11"/>
    <x v="1"/>
    <x v="10"/>
    <n v="1"/>
  </r>
  <r>
    <x v="0"/>
    <x v="0"/>
    <x v="3"/>
    <x v="5"/>
    <x v="11"/>
    <x v="1"/>
    <x v="1"/>
    <n v="2"/>
  </r>
  <r>
    <x v="0"/>
    <x v="0"/>
    <x v="3"/>
    <x v="5"/>
    <x v="11"/>
    <x v="0"/>
    <x v="10"/>
    <n v="1"/>
  </r>
  <r>
    <x v="0"/>
    <x v="0"/>
    <x v="3"/>
    <x v="5"/>
    <x v="11"/>
    <x v="0"/>
    <x v="12"/>
    <n v="4"/>
  </r>
  <r>
    <x v="0"/>
    <x v="0"/>
    <x v="3"/>
    <x v="5"/>
    <x v="18"/>
    <x v="6"/>
    <x v="4"/>
    <n v="1"/>
  </r>
  <r>
    <x v="0"/>
    <x v="0"/>
    <x v="3"/>
    <x v="5"/>
    <x v="19"/>
    <x v="0"/>
    <x v="17"/>
    <n v="1"/>
  </r>
  <r>
    <x v="0"/>
    <x v="0"/>
    <x v="3"/>
    <x v="6"/>
    <x v="2"/>
    <x v="14"/>
    <x v="2"/>
    <n v="2"/>
  </r>
  <r>
    <x v="0"/>
    <x v="0"/>
    <x v="3"/>
    <x v="6"/>
    <x v="2"/>
    <x v="14"/>
    <x v="11"/>
    <n v="1"/>
  </r>
  <r>
    <x v="0"/>
    <x v="0"/>
    <x v="3"/>
    <x v="6"/>
    <x v="2"/>
    <x v="13"/>
    <x v="5"/>
    <n v="1"/>
  </r>
  <r>
    <x v="0"/>
    <x v="0"/>
    <x v="3"/>
    <x v="6"/>
    <x v="2"/>
    <x v="13"/>
    <x v="14"/>
    <n v="2"/>
  </r>
  <r>
    <x v="0"/>
    <x v="0"/>
    <x v="3"/>
    <x v="6"/>
    <x v="2"/>
    <x v="13"/>
    <x v="17"/>
    <n v="2"/>
  </r>
  <r>
    <x v="0"/>
    <x v="0"/>
    <x v="3"/>
    <x v="6"/>
    <x v="4"/>
    <x v="0"/>
    <x v="0"/>
    <n v="2"/>
  </r>
  <r>
    <x v="0"/>
    <x v="0"/>
    <x v="3"/>
    <x v="6"/>
    <x v="1"/>
    <x v="0"/>
    <x v="19"/>
    <n v="4"/>
  </r>
  <r>
    <x v="0"/>
    <x v="0"/>
    <x v="3"/>
    <x v="6"/>
    <x v="13"/>
    <x v="0"/>
    <x v="18"/>
    <n v="1"/>
  </r>
  <r>
    <x v="0"/>
    <x v="0"/>
    <x v="3"/>
    <x v="6"/>
    <x v="3"/>
    <x v="16"/>
    <x v="1"/>
    <n v="2"/>
  </r>
  <r>
    <x v="0"/>
    <x v="0"/>
    <x v="3"/>
    <x v="6"/>
    <x v="3"/>
    <x v="15"/>
    <x v="6"/>
    <n v="4"/>
  </r>
  <r>
    <x v="0"/>
    <x v="0"/>
    <x v="3"/>
    <x v="6"/>
    <x v="3"/>
    <x v="15"/>
    <x v="10"/>
    <n v="5"/>
  </r>
  <r>
    <x v="0"/>
    <x v="0"/>
    <x v="3"/>
    <x v="6"/>
    <x v="3"/>
    <x v="14"/>
    <x v="6"/>
    <n v="16"/>
  </r>
  <r>
    <x v="0"/>
    <x v="0"/>
    <x v="3"/>
    <x v="6"/>
    <x v="3"/>
    <x v="14"/>
    <x v="12"/>
    <n v="7"/>
  </r>
  <r>
    <x v="0"/>
    <x v="0"/>
    <x v="3"/>
    <x v="6"/>
    <x v="3"/>
    <x v="13"/>
    <x v="7"/>
    <n v="2"/>
  </r>
  <r>
    <x v="0"/>
    <x v="0"/>
    <x v="1"/>
    <x v="5"/>
    <x v="6"/>
    <x v="10"/>
    <x v="14"/>
    <n v="1"/>
  </r>
  <r>
    <x v="0"/>
    <x v="0"/>
    <x v="1"/>
    <x v="5"/>
    <x v="6"/>
    <x v="3"/>
    <x v="11"/>
    <n v="1"/>
  </r>
  <r>
    <x v="0"/>
    <x v="0"/>
    <x v="1"/>
    <x v="5"/>
    <x v="9"/>
    <x v="0"/>
    <x v="0"/>
    <n v="1"/>
  </r>
  <r>
    <x v="0"/>
    <x v="0"/>
    <x v="1"/>
    <x v="5"/>
    <x v="10"/>
    <x v="4"/>
    <x v="12"/>
    <n v="2"/>
  </r>
  <r>
    <x v="0"/>
    <x v="0"/>
    <x v="1"/>
    <x v="5"/>
    <x v="10"/>
    <x v="4"/>
    <x v="9"/>
    <n v="1"/>
  </r>
  <r>
    <x v="0"/>
    <x v="0"/>
    <x v="1"/>
    <x v="5"/>
    <x v="10"/>
    <x v="5"/>
    <x v="12"/>
    <n v="1"/>
  </r>
  <r>
    <x v="0"/>
    <x v="0"/>
    <x v="1"/>
    <x v="5"/>
    <x v="10"/>
    <x v="11"/>
    <x v="1"/>
    <n v="1"/>
  </r>
  <r>
    <x v="0"/>
    <x v="0"/>
    <x v="1"/>
    <x v="5"/>
    <x v="10"/>
    <x v="11"/>
    <x v="12"/>
    <n v="2"/>
  </r>
  <r>
    <x v="0"/>
    <x v="0"/>
    <x v="1"/>
    <x v="5"/>
    <x v="10"/>
    <x v="11"/>
    <x v="9"/>
    <n v="1"/>
  </r>
  <r>
    <x v="0"/>
    <x v="0"/>
    <x v="1"/>
    <x v="5"/>
    <x v="10"/>
    <x v="6"/>
    <x v="12"/>
    <n v="3"/>
  </r>
  <r>
    <x v="0"/>
    <x v="0"/>
    <x v="1"/>
    <x v="5"/>
    <x v="10"/>
    <x v="9"/>
    <x v="12"/>
    <n v="1"/>
  </r>
  <r>
    <x v="0"/>
    <x v="0"/>
    <x v="1"/>
    <x v="5"/>
    <x v="18"/>
    <x v="13"/>
    <x v="9"/>
    <n v="1"/>
  </r>
  <r>
    <x v="0"/>
    <x v="0"/>
    <x v="1"/>
    <x v="6"/>
    <x v="8"/>
    <x v="17"/>
    <x v="0"/>
    <n v="3"/>
  </r>
  <r>
    <x v="0"/>
    <x v="0"/>
    <x v="1"/>
    <x v="6"/>
    <x v="8"/>
    <x v="17"/>
    <x v="18"/>
    <n v="4"/>
  </r>
  <r>
    <x v="0"/>
    <x v="0"/>
    <x v="1"/>
    <x v="6"/>
    <x v="8"/>
    <x v="18"/>
    <x v="2"/>
    <n v="10"/>
  </r>
  <r>
    <x v="0"/>
    <x v="0"/>
    <x v="1"/>
    <x v="6"/>
    <x v="8"/>
    <x v="18"/>
    <x v="13"/>
    <n v="3"/>
  </r>
  <r>
    <x v="0"/>
    <x v="0"/>
    <x v="1"/>
    <x v="6"/>
    <x v="8"/>
    <x v="18"/>
    <x v="11"/>
    <n v="3"/>
  </r>
  <r>
    <x v="0"/>
    <x v="0"/>
    <x v="1"/>
    <x v="6"/>
    <x v="8"/>
    <x v="19"/>
    <x v="9"/>
    <n v="38"/>
  </r>
  <r>
    <x v="0"/>
    <x v="0"/>
    <x v="1"/>
    <x v="6"/>
    <x v="8"/>
    <x v="19"/>
    <x v="3"/>
    <n v="54"/>
  </r>
  <r>
    <x v="0"/>
    <x v="0"/>
    <x v="1"/>
    <x v="6"/>
    <x v="8"/>
    <x v="19"/>
    <x v="4"/>
    <n v="41"/>
  </r>
  <r>
    <x v="0"/>
    <x v="0"/>
    <x v="1"/>
    <x v="6"/>
    <x v="8"/>
    <x v="16"/>
    <x v="1"/>
    <n v="2"/>
  </r>
  <r>
    <x v="0"/>
    <x v="0"/>
    <x v="1"/>
    <x v="6"/>
    <x v="8"/>
    <x v="16"/>
    <x v="18"/>
    <n v="1"/>
  </r>
  <r>
    <x v="0"/>
    <x v="0"/>
    <x v="1"/>
    <x v="6"/>
    <x v="8"/>
    <x v="15"/>
    <x v="1"/>
    <n v="1"/>
  </r>
  <r>
    <x v="0"/>
    <x v="0"/>
    <x v="1"/>
    <x v="6"/>
    <x v="8"/>
    <x v="2"/>
    <x v="2"/>
    <n v="1"/>
  </r>
  <r>
    <x v="0"/>
    <x v="0"/>
    <x v="1"/>
    <x v="6"/>
    <x v="8"/>
    <x v="2"/>
    <x v="13"/>
    <n v="4"/>
  </r>
  <r>
    <x v="0"/>
    <x v="0"/>
    <x v="1"/>
    <x v="6"/>
    <x v="8"/>
    <x v="10"/>
    <x v="2"/>
    <n v="1"/>
  </r>
  <r>
    <x v="0"/>
    <x v="0"/>
    <x v="1"/>
    <x v="6"/>
    <x v="8"/>
    <x v="10"/>
    <x v="13"/>
    <n v="2"/>
  </r>
  <r>
    <x v="0"/>
    <x v="0"/>
    <x v="1"/>
    <x v="6"/>
    <x v="8"/>
    <x v="10"/>
    <x v="14"/>
    <n v="1"/>
  </r>
  <r>
    <x v="0"/>
    <x v="0"/>
    <x v="1"/>
    <x v="6"/>
    <x v="8"/>
    <x v="3"/>
    <x v="4"/>
    <n v="1"/>
  </r>
  <r>
    <x v="0"/>
    <x v="0"/>
    <x v="1"/>
    <x v="6"/>
    <x v="8"/>
    <x v="3"/>
    <x v="2"/>
    <n v="2"/>
  </r>
  <r>
    <x v="0"/>
    <x v="0"/>
    <x v="1"/>
    <x v="6"/>
    <x v="8"/>
    <x v="3"/>
    <x v="13"/>
    <n v="2"/>
  </r>
  <r>
    <x v="0"/>
    <x v="0"/>
    <x v="1"/>
    <x v="6"/>
    <x v="8"/>
    <x v="3"/>
    <x v="11"/>
    <n v="1"/>
  </r>
  <r>
    <x v="0"/>
    <x v="0"/>
    <x v="1"/>
    <x v="6"/>
    <x v="8"/>
    <x v="4"/>
    <x v="3"/>
    <n v="1"/>
  </r>
  <r>
    <x v="0"/>
    <x v="0"/>
    <x v="1"/>
    <x v="6"/>
    <x v="8"/>
    <x v="4"/>
    <x v="2"/>
    <n v="1"/>
  </r>
  <r>
    <x v="0"/>
    <x v="0"/>
    <x v="1"/>
    <x v="6"/>
    <x v="8"/>
    <x v="4"/>
    <x v="13"/>
    <n v="2"/>
  </r>
  <r>
    <x v="0"/>
    <x v="0"/>
    <x v="1"/>
    <x v="6"/>
    <x v="8"/>
    <x v="5"/>
    <x v="13"/>
    <n v="1"/>
  </r>
  <r>
    <x v="0"/>
    <x v="0"/>
    <x v="1"/>
    <x v="6"/>
    <x v="3"/>
    <x v="19"/>
    <x v="12"/>
    <n v="3"/>
  </r>
  <r>
    <x v="0"/>
    <x v="0"/>
    <x v="1"/>
    <x v="6"/>
    <x v="3"/>
    <x v="16"/>
    <x v="1"/>
    <n v="2"/>
  </r>
  <r>
    <x v="0"/>
    <x v="0"/>
    <x v="1"/>
    <x v="6"/>
    <x v="3"/>
    <x v="15"/>
    <x v="10"/>
    <n v="1"/>
  </r>
  <r>
    <x v="0"/>
    <x v="0"/>
    <x v="1"/>
    <x v="6"/>
    <x v="3"/>
    <x v="15"/>
    <x v="1"/>
    <n v="3"/>
  </r>
  <r>
    <x v="0"/>
    <x v="0"/>
    <x v="1"/>
    <x v="6"/>
    <x v="3"/>
    <x v="14"/>
    <x v="10"/>
    <n v="1"/>
  </r>
  <r>
    <x v="0"/>
    <x v="0"/>
    <x v="1"/>
    <x v="6"/>
    <x v="3"/>
    <x v="13"/>
    <x v="6"/>
    <n v="1"/>
  </r>
  <r>
    <x v="0"/>
    <x v="0"/>
    <x v="1"/>
    <x v="6"/>
    <x v="3"/>
    <x v="3"/>
    <x v="4"/>
    <n v="1"/>
  </r>
  <r>
    <x v="0"/>
    <x v="0"/>
    <x v="1"/>
    <x v="6"/>
    <x v="3"/>
    <x v="5"/>
    <x v="3"/>
    <n v="1"/>
  </r>
  <r>
    <x v="0"/>
    <x v="0"/>
    <x v="1"/>
    <x v="6"/>
    <x v="3"/>
    <x v="5"/>
    <x v="5"/>
    <n v="1"/>
  </r>
  <r>
    <x v="0"/>
    <x v="0"/>
    <x v="1"/>
    <x v="6"/>
    <x v="3"/>
    <x v="9"/>
    <x v="3"/>
    <n v="1"/>
  </r>
  <r>
    <x v="0"/>
    <x v="0"/>
    <x v="1"/>
    <x v="9"/>
    <x v="6"/>
    <x v="7"/>
    <x v="5"/>
    <n v="1"/>
  </r>
  <r>
    <x v="0"/>
    <x v="0"/>
    <x v="1"/>
    <x v="9"/>
    <x v="6"/>
    <x v="8"/>
    <x v="4"/>
    <n v="1"/>
  </r>
  <r>
    <x v="0"/>
    <x v="0"/>
    <x v="1"/>
    <x v="9"/>
    <x v="10"/>
    <x v="15"/>
    <x v="5"/>
    <n v="2"/>
  </r>
  <r>
    <x v="0"/>
    <x v="0"/>
    <x v="1"/>
    <x v="9"/>
    <x v="10"/>
    <x v="15"/>
    <x v="2"/>
    <n v="3"/>
  </r>
  <r>
    <x v="0"/>
    <x v="0"/>
    <x v="1"/>
    <x v="9"/>
    <x v="10"/>
    <x v="15"/>
    <x v="13"/>
    <n v="1"/>
  </r>
  <r>
    <x v="0"/>
    <x v="0"/>
    <x v="1"/>
    <x v="9"/>
    <x v="10"/>
    <x v="14"/>
    <x v="3"/>
    <n v="17"/>
  </r>
  <r>
    <x v="0"/>
    <x v="0"/>
    <x v="1"/>
    <x v="9"/>
    <x v="10"/>
    <x v="14"/>
    <x v="4"/>
    <n v="6"/>
  </r>
  <r>
    <x v="0"/>
    <x v="0"/>
    <x v="1"/>
    <x v="9"/>
    <x v="10"/>
    <x v="14"/>
    <x v="5"/>
    <n v="5"/>
  </r>
  <r>
    <x v="0"/>
    <x v="0"/>
    <x v="1"/>
    <x v="9"/>
    <x v="10"/>
    <x v="14"/>
    <x v="2"/>
    <n v="1"/>
  </r>
  <r>
    <x v="0"/>
    <x v="0"/>
    <x v="1"/>
    <x v="9"/>
    <x v="10"/>
    <x v="14"/>
    <x v="13"/>
    <n v="4"/>
  </r>
  <r>
    <x v="0"/>
    <x v="0"/>
    <x v="1"/>
    <x v="9"/>
    <x v="10"/>
    <x v="14"/>
    <x v="11"/>
    <n v="1"/>
  </r>
  <r>
    <x v="0"/>
    <x v="0"/>
    <x v="1"/>
    <x v="9"/>
    <x v="10"/>
    <x v="13"/>
    <x v="12"/>
    <n v="3"/>
  </r>
  <r>
    <x v="0"/>
    <x v="0"/>
    <x v="1"/>
    <x v="9"/>
    <x v="10"/>
    <x v="13"/>
    <x v="9"/>
    <n v="13"/>
  </r>
  <r>
    <x v="0"/>
    <x v="0"/>
    <x v="1"/>
    <x v="9"/>
    <x v="10"/>
    <x v="13"/>
    <x v="3"/>
    <n v="13"/>
  </r>
  <r>
    <x v="0"/>
    <x v="0"/>
    <x v="1"/>
    <x v="9"/>
    <x v="10"/>
    <x v="13"/>
    <x v="4"/>
    <n v="6"/>
  </r>
  <r>
    <x v="0"/>
    <x v="0"/>
    <x v="1"/>
    <x v="9"/>
    <x v="10"/>
    <x v="13"/>
    <x v="5"/>
    <n v="5"/>
  </r>
  <r>
    <x v="0"/>
    <x v="0"/>
    <x v="1"/>
    <x v="9"/>
    <x v="10"/>
    <x v="13"/>
    <x v="2"/>
    <n v="3"/>
  </r>
  <r>
    <x v="0"/>
    <x v="0"/>
    <x v="1"/>
    <x v="9"/>
    <x v="10"/>
    <x v="2"/>
    <x v="12"/>
    <n v="8"/>
  </r>
  <r>
    <x v="0"/>
    <x v="0"/>
    <x v="1"/>
    <x v="9"/>
    <x v="10"/>
    <x v="2"/>
    <x v="9"/>
    <n v="23"/>
  </r>
  <r>
    <x v="0"/>
    <x v="0"/>
    <x v="1"/>
    <x v="9"/>
    <x v="10"/>
    <x v="2"/>
    <x v="3"/>
    <n v="13"/>
  </r>
  <r>
    <x v="0"/>
    <x v="0"/>
    <x v="1"/>
    <x v="9"/>
    <x v="10"/>
    <x v="10"/>
    <x v="12"/>
    <n v="1"/>
  </r>
  <r>
    <x v="0"/>
    <x v="0"/>
    <x v="1"/>
    <x v="9"/>
    <x v="10"/>
    <x v="10"/>
    <x v="9"/>
    <n v="7"/>
  </r>
  <r>
    <x v="0"/>
    <x v="0"/>
    <x v="1"/>
    <x v="9"/>
    <x v="19"/>
    <x v="17"/>
    <x v="5"/>
    <n v="6"/>
  </r>
  <r>
    <x v="0"/>
    <x v="0"/>
    <x v="1"/>
    <x v="9"/>
    <x v="19"/>
    <x v="17"/>
    <x v="2"/>
    <n v="3"/>
  </r>
  <r>
    <x v="0"/>
    <x v="0"/>
    <x v="1"/>
    <x v="9"/>
    <x v="19"/>
    <x v="16"/>
    <x v="5"/>
    <n v="3"/>
  </r>
  <r>
    <x v="0"/>
    <x v="0"/>
    <x v="1"/>
    <x v="9"/>
    <x v="19"/>
    <x v="16"/>
    <x v="2"/>
    <n v="1"/>
  </r>
  <r>
    <x v="0"/>
    <x v="0"/>
    <x v="1"/>
    <x v="9"/>
    <x v="19"/>
    <x v="15"/>
    <x v="3"/>
    <n v="1"/>
  </r>
  <r>
    <x v="0"/>
    <x v="0"/>
    <x v="1"/>
    <x v="9"/>
    <x v="19"/>
    <x v="14"/>
    <x v="5"/>
    <n v="1"/>
  </r>
  <r>
    <x v="0"/>
    <x v="0"/>
    <x v="1"/>
    <x v="9"/>
    <x v="19"/>
    <x v="13"/>
    <x v="4"/>
    <n v="1"/>
  </r>
  <r>
    <x v="0"/>
    <x v="0"/>
    <x v="1"/>
    <x v="7"/>
    <x v="3"/>
    <x v="7"/>
    <x v="11"/>
    <n v="1"/>
  </r>
  <r>
    <x v="0"/>
    <x v="0"/>
    <x v="1"/>
    <x v="7"/>
    <x v="3"/>
    <x v="0"/>
    <x v="19"/>
    <n v="1"/>
  </r>
  <r>
    <x v="0"/>
    <x v="0"/>
    <x v="1"/>
    <x v="8"/>
    <x v="4"/>
    <x v="16"/>
    <x v="13"/>
    <n v="2"/>
  </r>
  <r>
    <x v="0"/>
    <x v="0"/>
    <x v="1"/>
    <x v="8"/>
    <x v="4"/>
    <x v="15"/>
    <x v="3"/>
    <n v="1"/>
  </r>
  <r>
    <x v="0"/>
    <x v="0"/>
    <x v="1"/>
    <x v="8"/>
    <x v="4"/>
    <x v="15"/>
    <x v="4"/>
    <n v="2"/>
  </r>
  <r>
    <x v="0"/>
    <x v="0"/>
    <x v="1"/>
    <x v="8"/>
    <x v="13"/>
    <x v="16"/>
    <x v="0"/>
    <n v="1"/>
  </r>
  <r>
    <x v="0"/>
    <x v="0"/>
    <x v="1"/>
    <x v="8"/>
    <x v="13"/>
    <x v="13"/>
    <x v="11"/>
    <n v="1"/>
  </r>
  <r>
    <x v="0"/>
    <x v="0"/>
    <x v="1"/>
    <x v="8"/>
    <x v="13"/>
    <x v="2"/>
    <x v="13"/>
    <n v="1"/>
  </r>
  <r>
    <x v="0"/>
    <x v="0"/>
    <x v="1"/>
    <x v="8"/>
    <x v="13"/>
    <x v="6"/>
    <x v="3"/>
    <n v="1"/>
  </r>
  <r>
    <x v="0"/>
    <x v="0"/>
    <x v="1"/>
    <x v="8"/>
    <x v="7"/>
    <x v="17"/>
    <x v="11"/>
    <n v="65"/>
  </r>
  <r>
    <x v="0"/>
    <x v="0"/>
    <x v="1"/>
    <x v="8"/>
    <x v="7"/>
    <x v="17"/>
    <x v="14"/>
    <n v="69"/>
  </r>
  <r>
    <x v="0"/>
    <x v="0"/>
    <x v="1"/>
    <x v="8"/>
    <x v="7"/>
    <x v="17"/>
    <x v="17"/>
    <n v="88"/>
  </r>
  <r>
    <x v="0"/>
    <x v="0"/>
    <x v="1"/>
    <x v="8"/>
    <x v="7"/>
    <x v="18"/>
    <x v="0"/>
    <n v="45"/>
  </r>
  <r>
    <x v="0"/>
    <x v="0"/>
    <x v="1"/>
    <x v="8"/>
    <x v="7"/>
    <x v="18"/>
    <x v="18"/>
    <n v="26"/>
  </r>
  <r>
    <x v="0"/>
    <x v="0"/>
    <x v="1"/>
    <x v="8"/>
    <x v="7"/>
    <x v="19"/>
    <x v="0"/>
    <n v="19"/>
  </r>
  <r>
    <x v="0"/>
    <x v="0"/>
    <x v="1"/>
    <x v="8"/>
    <x v="7"/>
    <x v="19"/>
    <x v="18"/>
    <n v="29"/>
  </r>
  <r>
    <x v="0"/>
    <x v="0"/>
    <x v="1"/>
    <x v="8"/>
    <x v="7"/>
    <x v="16"/>
    <x v="11"/>
    <n v="5"/>
  </r>
  <r>
    <x v="0"/>
    <x v="0"/>
    <x v="1"/>
    <x v="8"/>
    <x v="7"/>
    <x v="16"/>
    <x v="14"/>
    <n v="8"/>
  </r>
  <r>
    <x v="0"/>
    <x v="0"/>
    <x v="1"/>
    <x v="8"/>
    <x v="7"/>
    <x v="16"/>
    <x v="17"/>
    <n v="21"/>
  </r>
  <r>
    <x v="0"/>
    <x v="0"/>
    <x v="1"/>
    <x v="8"/>
    <x v="7"/>
    <x v="16"/>
    <x v="19"/>
    <n v="18"/>
  </r>
  <r>
    <x v="0"/>
    <x v="0"/>
    <x v="1"/>
    <x v="8"/>
    <x v="7"/>
    <x v="15"/>
    <x v="13"/>
    <n v="4"/>
  </r>
  <r>
    <x v="0"/>
    <x v="0"/>
    <x v="1"/>
    <x v="8"/>
    <x v="7"/>
    <x v="15"/>
    <x v="11"/>
    <n v="3"/>
  </r>
  <r>
    <x v="0"/>
    <x v="0"/>
    <x v="1"/>
    <x v="8"/>
    <x v="7"/>
    <x v="15"/>
    <x v="14"/>
    <n v="4"/>
  </r>
  <r>
    <x v="0"/>
    <x v="0"/>
    <x v="1"/>
    <x v="8"/>
    <x v="7"/>
    <x v="15"/>
    <x v="17"/>
    <n v="9"/>
  </r>
  <r>
    <x v="0"/>
    <x v="0"/>
    <x v="1"/>
    <x v="8"/>
    <x v="7"/>
    <x v="15"/>
    <x v="19"/>
    <n v="12"/>
  </r>
  <r>
    <x v="0"/>
    <x v="0"/>
    <x v="1"/>
    <x v="8"/>
    <x v="7"/>
    <x v="14"/>
    <x v="13"/>
    <n v="2"/>
  </r>
  <r>
    <x v="0"/>
    <x v="0"/>
    <x v="1"/>
    <x v="8"/>
    <x v="7"/>
    <x v="14"/>
    <x v="11"/>
    <n v="2"/>
  </r>
  <r>
    <x v="0"/>
    <x v="0"/>
    <x v="1"/>
    <x v="8"/>
    <x v="7"/>
    <x v="14"/>
    <x v="14"/>
    <n v="5"/>
  </r>
  <r>
    <x v="0"/>
    <x v="0"/>
    <x v="1"/>
    <x v="8"/>
    <x v="7"/>
    <x v="4"/>
    <x v="0"/>
    <n v="2"/>
  </r>
  <r>
    <x v="0"/>
    <x v="0"/>
    <x v="1"/>
    <x v="8"/>
    <x v="7"/>
    <x v="5"/>
    <x v="0"/>
    <n v="1"/>
  </r>
  <r>
    <x v="0"/>
    <x v="0"/>
    <x v="1"/>
    <x v="8"/>
    <x v="6"/>
    <x v="18"/>
    <x v="18"/>
    <n v="1"/>
  </r>
  <r>
    <x v="0"/>
    <x v="0"/>
    <x v="1"/>
    <x v="8"/>
    <x v="6"/>
    <x v="16"/>
    <x v="13"/>
    <n v="2"/>
  </r>
  <r>
    <x v="0"/>
    <x v="0"/>
    <x v="1"/>
    <x v="8"/>
    <x v="6"/>
    <x v="16"/>
    <x v="17"/>
    <n v="1"/>
  </r>
  <r>
    <x v="0"/>
    <x v="0"/>
    <x v="1"/>
    <x v="8"/>
    <x v="6"/>
    <x v="15"/>
    <x v="5"/>
    <n v="2"/>
  </r>
  <r>
    <x v="0"/>
    <x v="0"/>
    <x v="1"/>
    <x v="8"/>
    <x v="6"/>
    <x v="15"/>
    <x v="13"/>
    <n v="1"/>
  </r>
  <r>
    <x v="0"/>
    <x v="0"/>
    <x v="1"/>
    <x v="8"/>
    <x v="6"/>
    <x v="15"/>
    <x v="11"/>
    <n v="1"/>
  </r>
  <r>
    <x v="0"/>
    <x v="0"/>
    <x v="1"/>
    <x v="8"/>
    <x v="6"/>
    <x v="14"/>
    <x v="3"/>
    <n v="1"/>
  </r>
  <r>
    <x v="0"/>
    <x v="0"/>
    <x v="1"/>
    <x v="8"/>
    <x v="6"/>
    <x v="14"/>
    <x v="4"/>
    <n v="5"/>
  </r>
  <r>
    <x v="0"/>
    <x v="0"/>
    <x v="1"/>
    <x v="8"/>
    <x v="6"/>
    <x v="14"/>
    <x v="5"/>
    <n v="1"/>
  </r>
  <r>
    <x v="0"/>
    <x v="0"/>
    <x v="1"/>
    <x v="8"/>
    <x v="6"/>
    <x v="14"/>
    <x v="2"/>
    <n v="2"/>
  </r>
  <r>
    <x v="0"/>
    <x v="0"/>
    <x v="1"/>
    <x v="8"/>
    <x v="6"/>
    <x v="14"/>
    <x v="11"/>
    <n v="1"/>
  </r>
  <r>
    <x v="0"/>
    <x v="0"/>
    <x v="1"/>
    <x v="8"/>
    <x v="6"/>
    <x v="13"/>
    <x v="12"/>
    <n v="6"/>
  </r>
  <r>
    <x v="0"/>
    <x v="0"/>
    <x v="1"/>
    <x v="8"/>
    <x v="6"/>
    <x v="13"/>
    <x v="9"/>
    <n v="6"/>
  </r>
  <r>
    <x v="0"/>
    <x v="0"/>
    <x v="1"/>
    <x v="8"/>
    <x v="6"/>
    <x v="13"/>
    <x v="3"/>
    <n v="4"/>
  </r>
  <r>
    <x v="0"/>
    <x v="0"/>
    <x v="1"/>
    <x v="8"/>
    <x v="6"/>
    <x v="13"/>
    <x v="4"/>
    <n v="2"/>
  </r>
  <r>
    <x v="0"/>
    <x v="0"/>
    <x v="1"/>
    <x v="8"/>
    <x v="6"/>
    <x v="13"/>
    <x v="5"/>
    <n v="2"/>
  </r>
  <r>
    <x v="0"/>
    <x v="0"/>
    <x v="1"/>
    <x v="8"/>
    <x v="6"/>
    <x v="13"/>
    <x v="2"/>
    <n v="1"/>
  </r>
  <r>
    <x v="0"/>
    <x v="0"/>
    <x v="1"/>
    <x v="8"/>
    <x v="6"/>
    <x v="2"/>
    <x v="1"/>
    <n v="2"/>
  </r>
  <r>
    <x v="0"/>
    <x v="0"/>
    <x v="1"/>
    <x v="8"/>
    <x v="6"/>
    <x v="2"/>
    <x v="12"/>
    <n v="5"/>
  </r>
  <r>
    <x v="0"/>
    <x v="0"/>
    <x v="1"/>
    <x v="8"/>
    <x v="6"/>
    <x v="2"/>
    <x v="9"/>
    <n v="5"/>
  </r>
  <r>
    <x v="0"/>
    <x v="0"/>
    <x v="1"/>
    <x v="8"/>
    <x v="6"/>
    <x v="2"/>
    <x v="3"/>
    <n v="3"/>
  </r>
  <r>
    <x v="0"/>
    <x v="0"/>
    <x v="1"/>
    <x v="8"/>
    <x v="6"/>
    <x v="10"/>
    <x v="1"/>
    <n v="3"/>
  </r>
  <r>
    <x v="0"/>
    <x v="0"/>
    <x v="1"/>
    <x v="8"/>
    <x v="6"/>
    <x v="10"/>
    <x v="12"/>
    <n v="3"/>
  </r>
  <r>
    <x v="0"/>
    <x v="0"/>
    <x v="1"/>
    <x v="8"/>
    <x v="6"/>
    <x v="10"/>
    <x v="9"/>
    <n v="4"/>
  </r>
  <r>
    <x v="0"/>
    <x v="0"/>
    <x v="1"/>
    <x v="8"/>
    <x v="6"/>
    <x v="10"/>
    <x v="18"/>
    <n v="1"/>
  </r>
  <r>
    <x v="0"/>
    <x v="0"/>
    <x v="1"/>
    <x v="8"/>
    <x v="6"/>
    <x v="3"/>
    <x v="1"/>
    <n v="2"/>
  </r>
  <r>
    <x v="0"/>
    <x v="0"/>
    <x v="1"/>
    <x v="8"/>
    <x v="6"/>
    <x v="3"/>
    <x v="12"/>
    <n v="1"/>
  </r>
  <r>
    <x v="0"/>
    <x v="0"/>
    <x v="1"/>
    <x v="8"/>
    <x v="6"/>
    <x v="4"/>
    <x v="1"/>
    <n v="7"/>
  </r>
  <r>
    <x v="0"/>
    <x v="0"/>
    <x v="1"/>
    <x v="8"/>
    <x v="6"/>
    <x v="5"/>
    <x v="1"/>
    <n v="4"/>
  </r>
  <r>
    <x v="0"/>
    <x v="0"/>
    <x v="1"/>
    <x v="8"/>
    <x v="6"/>
    <x v="11"/>
    <x v="10"/>
    <n v="1"/>
  </r>
  <r>
    <x v="0"/>
    <x v="0"/>
    <x v="1"/>
    <x v="8"/>
    <x v="6"/>
    <x v="11"/>
    <x v="1"/>
    <n v="3"/>
  </r>
  <r>
    <x v="0"/>
    <x v="0"/>
    <x v="1"/>
    <x v="8"/>
    <x v="6"/>
    <x v="7"/>
    <x v="3"/>
    <n v="1"/>
  </r>
  <r>
    <x v="0"/>
    <x v="0"/>
    <x v="1"/>
    <x v="8"/>
    <x v="10"/>
    <x v="4"/>
    <x v="0"/>
    <n v="1"/>
  </r>
  <r>
    <x v="0"/>
    <x v="0"/>
    <x v="1"/>
    <x v="8"/>
    <x v="11"/>
    <x v="9"/>
    <x v="12"/>
    <n v="1"/>
  </r>
  <r>
    <x v="0"/>
    <x v="0"/>
    <x v="1"/>
    <x v="8"/>
    <x v="11"/>
    <x v="12"/>
    <x v="12"/>
    <n v="1"/>
  </r>
  <r>
    <x v="0"/>
    <x v="0"/>
    <x v="1"/>
    <x v="8"/>
    <x v="11"/>
    <x v="12"/>
    <x v="9"/>
    <n v="1"/>
  </r>
  <r>
    <x v="0"/>
    <x v="0"/>
    <x v="1"/>
    <x v="8"/>
    <x v="11"/>
    <x v="1"/>
    <x v="9"/>
    <n v="1"/>
  </r>
  <r>
    <x v="0"/>
    <x v="0"/>
    <x v="1"/>
    <x v="10"/>
    <x v="16"/>
    <x v="16"/>
    <x v="9"/>
    <n v="1"/>
  </r>
  <r>
    <x v="0"/>
    <x v="0"/>
    <x v="1"/>
    <x v="10"/>
    <x v="16"/>
    <x v="15"/>
    <x v="12"/>
    <n v="1"/>
  </r>
  <r>
    <x v="0"/>
    <x v="0"/>
    <x v="1"/>
    <x v="10"/>
    <x v="16"/>
    <x v="14"/>
    <x v="1"/>
    <n v="4"/>
  </r>
  <r>
    <x v="0"/>
    <x v="0"/>
    <x v="1"/>
    <x v="10"/>
    <x v="16"/>
    <x v="14"/>
    <x v="0"/>
    <n v="1"/>
  </r>
  <r>
    <x v="0"/>
    <x v="0"/>
    <x v="1"/>
    <x v="10"/>
    <x v="16"/>
    <x v="13"/>
    <x v="10"/>
    <n v="3"/>
  </r>
  <r>
    <x v="0"/>
    <x v="0"/>
    <x v="1"/>
    <x v="10"/>
    <x v="16"/>
    <x v="13"/>
    <x v="1"/>
    <n v="5"/>
  </r>
  <r>
    <x v="0"/>
    <x v="0"/>
    <x v="1"/>
    <x v="10"/>
    <x v="16"/>
    <x v="13"/>
    <x v="0"/>
    <n v="1"/>
  </r>
  <r>
    <x v="0"/>
    <x v="0"/>
    <x v="1"/>
    <x v="10"/>
    <x v="16"/>
    <x v="5"/>
    <x v="2"/>
    <n v="1"/>
  </r>
  <r>
    <x v="0"/>
    <x v="0"/>
    <x v="1"/>
    <x v="10"/>
    <x v="16"/>
    <x v="5"/>
    <x v="13"/>
    <n v="1"/>
  </r>
  <r>
    <x v="0"/>
    <x v="0"/>
    <x v="1"/>
    <x v="10"/>
    <x v="16"/>
    <x v="11"/>
    <x v="13"/>
    <n v="2"/>
  </r>
  <r>
    <x v="0"/>
    <x v="0"/>
    <x v="1"/>
    <x v="10"/>
    <x v="16"/>
    <x v="6"/>
    <x v="5"/>
    <n v="1"/>
  </r>
  <r>
    <x v="0"/>
    <x v="0"/>
    <x v="1"/>
    <x v="10"/>
    <x v="16"/>
    <x v="6"/>
    <x v="14"/>
    <n v="1"/>
  </r>
  <r>
    <x v="0"/>
    <x v="0"/>
    <x v="1"/>
    <x v="10"/>
    <x v="16"/>
    <x v="9"/>
    <x v="3"/>
    <n v="3"/>
  </r>
  <r>
    <x v="0"/>
    <x v="0"/>
    <x v="1"/>
    <x v="10"/>
    <x v="16"/>
    <x v="12"/>
    <x v="3"/>
    <n v="4"/>
  </r>
  <r>
    <x v="0"/>
    <x v="0"/>
    <x v="1"/>
    <x v="10"/>
    <x v="16"/>
    <x v="7"/>
    <x v="1"/>
    <n v="1"/>
  </r>
  <r>
    <x v="0"/>
    <x v="0"/>
    <x v="1"/>
    <x v="10"/>
    <x v="16"/>
    <x v="0"/>
    <x v="3"/>
    <n v="1"/>
  </r>
  <r>
    <x v="0"/>
    <x v="0"/>
    <x v="1"/>
    <x v="11"/>
    <x v="0"/>
    <x v="7"/>
    <x v="1"/>
    <n v="2"/>
  </r>
  <r>
    <x v="0"/>
    <x v="0"/>
    <x v="1"/>
    <x v="11"/>
    <x v="0"/>
    <x v="1"/>
    <x v="3"/>
    <n v="1"/>
  </r>
  <r>
    <x v="0"/>
    <x v="0"/>
    <x v="1"/>
    <x v="11"/>
    <x v="14"/>
    <x v="13"/>
    <x v="4"/>
    <n v="1"/>
  </r>
  <r>
    <x v="0"/>
    <x v="0"/>
    <x v="1"/>
    <x v="11"/>
    <x v="14"/>
    <x v="13"/>
    <x v="5"/>
    <n v="2"/>
  </r>
  <r>
    <x v="0"/>
    <x v="0"/>
    <x v="1"/>
    <x v="11"/>
    <x v="14"/>
    <x v="13"/>
    <x v="2"/>
    <n v="1"/>
  </r>
  <r>
    <x v="0"/>
    <x v="0"/>
    <x v="1"/>
    <x v="11"/>
    <x v="14"/>
    <x v="13"/>
    <x v="13"/>
    <n v="1"/>
  </r>
  <r>
    <x v="0"/>
    <x v="0"/>
    <x v="1"/>
    <x v="11"/>
    <x v="14"/>
    <x v="2"/>
    <x v="4"/>
    <n v="1"/>
  </r>
  <r>
    <x v="0"/>
    <x v="0"/>
    <x v="1"/>
    <x v="11"/>
    <x v="14"/>
    <x v="2"/>
    <x v="5"/>
    <n v="3"/>
  </r>
  <r>
    <x v="0"/>
    <x v="0"/>
    <x v="1"/>
    <x v="11"/>
    <x v="14"/>
    <x v="2"/>
    <x v="2"/>
    <n v="1"/>
  </r>
  <r>
    <x v="0"/>
    <x v="0"/>
    <x v="1"/>
    <x v="11"/>
    <x v="14"/>
    <x v="10"/>
    <x v="4"/>
    <n v="3"/>
  </r>
  <r>
    <x v="0"/>
    <x v="0"/>
    <x v="1"/>
    <x v="11"/>
    <x v="14"/>
    <x v="10"/>
    <x v="5"/>
    <n v="1"/>
  </r>
  <r>
    <x v="0"/>
    <x v="0"/>
    <x v="1"/>
    <x v="11"/>
    <x v="14"/>
    <x v="3"/>
    <x v="3"/>
    <n v="2"/>
  </r>
  <r>
    <x v="0"/>
    <x v="0"/>
    <x v="1"/>
    <x v="11"/>
    <x v="14"/>
    <x v="3"/>
    <x v="4"/>
    <n v="1"/>
  </r>
  <r>
    <x v="0"/>
    <x v="0"/>
    <x v="1"/>
    <x v="11"/>
    <x v="14"/>
    <x v="4"/>
    <x v="3"/>
    <n v="1"/>
  </r>
  <r>
    <x v="0"/>
    <x v="0"/>
    <x v="1"/>
    <x v="11"/>
    <x v="14"/>
    <x v="4"/>
    <x v="18"/>
    <n v="1"/>
  </r>
  <r>
    <x v="0"/>
    <x v="0"/>
    <x v="1"/>
    <x v="11"/>
    <x v="14"/>
    <x v="11"/>
    <x v="0"/>
    <n v="1"/>
  </r>
  <r>
    <x v="0"/>
    <x v="0"/>
    <x v="1"/>
    <x v="11"/>
    <x v="14"/>
    <x v="8"/>
    <x v="13"/>
    <n v="1"/>
  </r>
  <r>
    <x v="0"/>
    <x v="0"/>
    <x v="1"/>
    <x v="11"/>
    <x v="8"/>
    <x v="10"/>
    <x v="1"/>
    <n v="1"/>
  </r>
  <r>
    <x v="0"/>
    <x v="0"/>
    <x v="1"/>
    <x v="11"/>
    <x v="8"/>
    <x v="3"/>
    <x v="12"/>
    <n v="1"/>
  </r>
  <r>
    <x v="0"/>
    <x v="0"/>
    <x v="1"/>
    <x v="11"/>
    <x v="8"/>
    <x v="4"/>
    <x v="10"/>
    <n v="1"/>
  </r>
  <r>
    <x v="0"/>
    <x v="0"/>
    <x v="1"/>
    <x v="11"/>
    <x v="8"/>
    <x v="5"/>
    <x v="10"/>
    <n v="1"/>
  </r>
  <r>
    <x v="0"/>
    <x v="0"/>
    <x v="1"/>
    <x v="11"/>
    <x v="7"/>
    <x v="3"/>
    <x v="18"/>
    <n v="2"/>
  </r>
  <r>
    <x v="0"/>
    <x v="0"/>
    <x v="1"/>
    <x v="11"/>
    <x v="7"/>
    <x v="4"/>
    <x v="0"/>
    <n v="1"/>
  </r>
  <r>
    <x v="0"/>
    <x v="0"/>
    <x v="1"/>
    <x v="11"/>
    <x v="7"/>
    <x v="4"/>
    <x v="18"/>
    <n v="1"/>
  </r>
  <r>
    <x v="0"/>
    <x v="0"/>
    <x v="1"/>
    <x v="11"/>
    <x v="7"/>
    <x v="6"/>
    <x v="19"/>
    <n v="2"/>
  </r>
  <r>
    <x v="0"/>
    <x v="0"/>
    <x v="1"/>
    <x v="11"/>
    <x v="7"/>
    <x v="9"/>
    <x v="17"/>
    <n v="2"/>
  </r>
  <r>
    <x v="0"/>
    <x v="0"/>
    <x v="1"/>
    <x v="11"/>
    <x v="7"/>
    <x v="9"/>
    <x v="19"/>
    <n v="3"/>
  </r>
  <r>
    <x v="0"/>
    <x v="0"/>
    <x v="1"/>
    <x v="11"/>
    <x v="7"/>
    <x v="12"/>
    <x v="14"/>
    <n v="2"/>
  </r>
  <r>
    <x v="0"/>
    <x v="0"/>
    <x v="1"/>
    <x v="11"/>
    <x v="7"/>
    <x v="12"/>
    <x v="17"/>
    <n v="3"/>
  </r>
  <r>
    <x v="0"/>
    <x v="0"/>
    <x v="1"/>
    <x v="11"/>
    <x v="7"/>
    <x v="12"/>
    <x v="19"/>
    <n v="5"/>
  </r>
  <r>
    <x v="0"/>
    <x v="0"/>
    <x v="1"/>
    <x v="11"/>
    <x v="7"/>
    <x v="7"/>
    <x v="3"/>
    <n v="1"/>
  </r>
  <r>
    <x v="0"/>
    <x v="0"/>
    <x v="1"/>
    <x v="11"/>
    <x v="7"/>
    <x v="7"/>
    <x v="4"/>
    <n v="3"/>
  </r>
  <r>
    <x v="0"/>
    <x v="0"/>
    <x v="1"/>
    <x v="11"/>
    <x v="7"/>
    <x v="7"/>
    <x v="5"/>
    <n v="2"/>
  </r>
  <r>
    <x v="0"/>
    <x v="0"/>
    <x v="1"/>
    <x v="11"/>
    <x v="7"/>
    <x v="7"/>
    <x v="0"/>
    <n v="6"/>
  </r>
  <r>
    <x v="0"/>
    <x v="0"/>
    <x v="1"/>
    <x v="11"/>
    <x v="7"/>
    <x v="7"/>
    <x v="18"/>
    <n v="3"/>
  </r>
  <r>
    <x v="0"/>
    <x v="0"/>
    <x v="1"/>
    <x v="11"/>
    <x v="7"/>
    <x v="1"/>
    <x v="11"/>
    <n v="2"/>
  </r>
  <r>
    <x v="0"/>
    <x v="0"/>
    <x v="1"/>
    <x v="11"/>
    <x v="7"/>
    <x v="1"/>
    <x v="14"/>
    <n v="3"/>
  </r>
  <r>
    <x v="0"/>
    <x v="0"/>
    <x v="1"/>
    <x v="11"/>
    <x v="7"/>
    <x v="1"/>
    <x v="17"/>
    <n v="1"/>
  </r>
  <r>
    <x v="0"/>
    <x v="0"/>
    <x v="1"/>
    <x v="11"/>
    <x v="7"/>
    <x v="8"/>
    <x v="3"/>
    <n v="1"/>
  </r>
  <r>
    <x v="0"/>
    <x v="0"/>
    <x v="1"/>
    <x v="11"/>
    <x v="7"/>
    <x v="8"/>
    <x v="0"/>
    <n v="10"/>
  </r>
  <r>
    <x v="0"/>
    <x v="0"/>
    <x v="1"/>
    <x v="11"/>
    <x v="7"/>
    <x v="8"/>
    <x v="18"/>
    <n v="3"/>
  </r>
  <r>
    <x v="0"/>
    <x v="0"/>
    <x v="1"/>
    <x v="11"/>
    <x v="7"/>
    <x v="0"/>
    <x v="13"/>
    <n v="11"/>
  </r>
  <r>
    <x v="0"/>
    <x v="0"/>
    <x v="1"/>
    <x v="11"/>
    <x v="7"/>
    <x v="0"/>
    <x v="11"/>
    <n v="13"/>
  </r>
  <r>
    <x v="0"/>
    <x v="0"/>
    <x v="1"/>
    <x v="11"/>
    <x v="7"/>
    <x v="0"/>
    <x v="14"/>
    <n v="13"/>
  </r>
  <r>
    <x v="0"/>
    <x v="0"/>
    <x v="1"/>
    <x v="11"/>
    <x v="7"/>
    <x v="0"/>
    <x v="17"/>
    <n v="8"/>
  </r>
  <r>
    <x v="0"/>
    <x v="0"/>
    <x v="1"/>
    <x v="11"/>
    <x v="7"/>
    <x v="0"/>
    <x v="19"/>
    <n v="7"/>
  </r>
  <r>
    <x v="0"/>
    <x v="0"/>
    <x v="1"/>
    <x v="11"/>
    <x v="6"/>
    <x v="0"/>
    <x v="2"/>
    <n v="1"/>
  </r>
  <r>
    <x v="0"/>
    <x v="0"/>
    <x v="1"/>
    <x v="11"/>
    <x v="6"/>
    <x v="0"/>
    <x v="17"/>
    <n v="1"/>
  </r>
  <r>
    <x v="0"/>
    <x v="0"/>
    <x v="1"/>
    <x v="12"/>
    <x v="7"/>
    <x v="16"/>
    <x v="5"/>
    <n v="1"/>
  </r>
  <r>
    <x v="0"/>
    <x v="0"/>
    <x v="1"/>
    <x v="12"/>
    <x v="6"/>
    <x v="19"/>
    <x v="14"/>
    <n v="1"/>
  </r>
  <r>
    <x v="0"/>
    <x v="0"/>
    <x v="1"/>
    <x v="12"/>
    <x v="6"/>
    <x v="16"/>
    <x v="4"/>
    <n v="2"/>
  </r>
  <r>
    <x v="0"/>
    <x v="0"/>
    <x v="1"/>
    <x v="12"/>
    <x v="6"/>
    <x v="16"/>
    <x v="5"/>
    <n v="1"/>
  </r>
  <r>
    <x v="0"/>
    <x v="0"/>
    <x v="1"/>
    <x v="12"/>
    <x v="6"/>
    <x v="16"/>
    <x v="13"/>
    <n v="2"/>
  </r>
  <r>
    <x v="0"/>
    <x v="0"/>
    <x v="1"/>
    <x v="12"/>
    <x v="6"/>
    <x v="16"/>
    <x v="14"/>
    <n v="1"/>
  </r>
  <r>
    <x v="0"/>
    <x v="0"/>
    <x v="1"/>
    <x v="12"/>
    <x v="6"/>
    <x v="15"/>
    <x v="9"/>
    <n v="7"/>
  </r>
  <r>
    <x v="0"/>
    <x v="0"/>
    <x v="1"/>
    <x v="12"/>
    <x v="6"/>
    <x v="15"/>
    <x v="3"/>
    <n v="2"/>
  </r>
  <r>
    <x v="0"/>
    <x v="0"/>
    <x v="1"/>
    <x v="12"/>
    <x v="6"/>
    <x v="15"/>
    <x v="4"/>
    <n v="1"/>
  </r>
  <r>
    <x v="0"/>
    <x v="0"/>
    <x v="1"/>
    <x v="12"/>
    <x v="6"/>
    <x v="15"/>
    <x v="5"/>
    <n v="1"/>
  </r>
  <r>
    <x v="0"/>
    <x v="0"/>
    <x v="1"/>
    <x v="12"/>
    <x v="6"/>
    <x v="15"/>
    <x v="2"/>
    <n v="2"/>
  </r>
  <r>
    <x v="0"/>
    <x v="0"/>
    <x v="1"/>
    <x v="12"/>
    <x v="6"/>
    <x v="14"/>
    <x v="12"/>
    <n v="6"/>
  </r>
  <r>
    <x v="0"/>
    <x v="0"/>
    <x v="1"/>
    <x v="12"/>
    <x v="6"/>
    <x v="14"/>
    <x v="9"/>
    <n v="3"/>
  </r>
  <r>
    <x v="0"/>
    <x v="0"/>
    <x v="1"/>
    <x v="12"/>
    <x v="6"/>
    <x v="14"/>
    <x v="3"/>
    <n v="3"/>
  </r>
  <r>
    <x v="0"/>
    <x v="0"/>
    <x v="1"/>
    <x v="12"/>
    <x v="6"/>
    <x v="14"/>
    <x v="4"/>
    <n v="1"/>
  </r>
  <r>
    <x v="0"/>
    <x v="0"/>
    <x v="1"/>
    <x v="12"/>
    <x v="6"/>
    <x v="13"/>
    <x v="1"/>
    <n v="8"/>
  </r>
  <r>
    <x v="0"/>
    <x v="0"/>
    <x v="1"/>
    <x v="12"/>
    <x v="6"/>
    <x v="13"/>
    <x v="12"/>
    <n v="8"/>
  </r>
  <r>
    <x v="0"/>
    <x v="0"/>
    <x v="1"/>
    <x v="12"/>
    <x v="6"/>
    <x v="13"/>
    <x v="9"/>
    <n v="4"/>
  </r>
  <r>
    <x v="0"/>
    <x v="0"/>
    <x v="1"/>
    <x v="12"/>
    <x v="6"/>
    <x v="13"/>
    <x v="3"/>
    <n v="1"/>
  </r>
  <r>
    <x v="0"/>
    <x v="0"/>
    <x v="1"/>
    <x v="12"/>
    <x v="6"/>
    <x v="2"/>
    <x v="10"/>
    <n v="6"/>
  </r>
  <r>
    <x v="0"/>
    <x v="0"/>
    <x v="1"/>
    <x v="12"/>
    <x v="6"/>
    <x v="2"/>
    <x v="1"/>
    <n v="5"/>
  </r>
  <r>
    <x v="0"/>
    <x v="0"/>
    <x v="1"/>
    <x v="12"/>
    <x v="6"/>
    <x v="2"/>
    <x v="18"/>
    <n v="1"/>
  </r>
  <r>
    <x v="0"/>
    <x v="0"/>
    <x v="1"/>
    <x v="12"/>
    <x v="6"/>
    <x v="10"/>
    <x v="10"/>
    <n v="6"/>
  </r>
  <r>
    <x v="0"/>
    <x v="0"/>
    <x v="1"/>
    <x v="12"/>
    <x v="6"/>
    <x v="10"/>
    <x v="1"/>
    <n v="4"/>
  </r>
  <r>
    <x v="0"/>
    <x v="0"/>
    <x v="1"/>
    <x v="12"/>
    <x v="6"/>
    <x v="3"/>
    <x v="1"/>
    <n v="3"/>
  </r>
  <r>
    <x v="0"/>
    <x v="0"/>
    <x v="1"/>
    <x v="12"/>
    <x v="6"/>
    <x v="4"/>
    <x v="10"/>
    <n v="1"/>
  </r>
  <r>
    <x v="0"/>
    <x v="0"/>
    <x v="1"/>
    <x v="12"/>
    <x v="6"/>
    <x v="6"/>
    <x v="14"/>
    <n v="2"/>
  </r>
  <r>
    <x v="0"/>
    <x v="0"/>
    <x v="1"/>
    <x v="12"/>
    <x v="6"/>
    <x v="7"/>
    <x v="12"/>
    <n v="1"/>
  </r>
  <r>
    <x v="0"/>
    <x v="0"/>
    <x v="1"/>
    <x v="12"/>
    <x v="6"/>
    <x v="7"/>
    <x v="9"/>
    <n v="2"/>
  </r>
  <r>
    <x v="0"/>
    <x v="0"/>
    <x v="1"/>
    <x v="13"/>
    <x v="0"/>
    <x v="17"/>
    <x v="0"/>
    <n v="1"/>
  </r>
  <r>
    <x v="0"/>
    <x v="0"/>
    <x v="1"/>
    <x v="13"/>
    <x v="0"/>
    <x v="16"/>
    <x v="18"/>
    <n v="1"/>
  </r>
  <r>
    <x v="0"/>
    <x v="0"/>
    <x v="1"/>
    <x v="13"/>
    <x v="0"/>
    <x v="15"/>
    <x v="0"/>
    <n v="1"/>
  </r>
  <r>
    <x v="0"/>
    <x v="0"/>
    <x v="1"/>
    <x v="13"/>
    <x v="0"/>
    <x v="2"/>
    <x v="14"/>
    <n v="3"/>
  </r>
  <r>
    <x v="0"/>
    <x v="0"/>
    <x v="1"/>
    <x v="13"/>
    <x v="0"/>
    <x v="2"/>
    <x v="19"/>
    <n v="1"/>
  </r>
  <r>
    <x v="0"/>
    <x v="0"/>
    <x v="3"/>
    <x v="6"/>
    <x v="3"/>
    <x v="2"/>
    <x v="10"/>
    <n v="11"/>
  </r>
  <r>
    <x v="0"/>
    <x v="0"/>
    <x v="3"/>
    <x v="6"/>
    <x v="3"/>
    <x v="2"/>
    <x v="5"/>
    <n v="1"/>
  </r>
  <r>
    <x v="0"/>
    <x v="0"/>
    <x v="3"/>
    <x v="6"/>
    <x v="3"/>
    <x v="10"/>
    <x v="9"/>
    <n v="2"/>
  </r>
  <r>
    <x v="0"/>
    <x v="0"/>
    <x v="3"/>
    <x v="6"/>
    <x v="3"/>
    <x v="3"/>
    <x v="6"/>
    <n v="10"/>
  </r>
  <r>
    <x v="0"/>
    <x v="0"/>
    <x v="3"/>
    <x v="6"/>
    <x v="3"/>
    <x v="3"/>
    <x v="12"/>
    <n v="1"/>
  </r>
  <r>
    <x v="0"/>
    <x v="0"/>
    <x v="3"/>
    <x v="6"/>
    <x v="3"/>
    <x v="3"/>
    <x v="9"/>
    <n v="3"/>
  </r>
  <r>
    <x v="0"/>
    <x v="0"/>
    <x v="3"/>
    <x v="6"/>
    <x v="3"/>
    <x v="3"/>
    <x v="3"/>
    <n v="1"/>
  </r>
  <r>
    <x v="0"/>
    <x v="0"/>
    <x v="3"/>
    <x v="6"/>
    <x v="3"/>
    <x v="3"/>
    <x v="4"/>
    <n v="1"/>
  </r>
  <r>
    <x v="0"/>
    <x v="0"/>
    <x v="3"/>
    <x v="6"/>
    <x v="3"/>
    <x v="5"/>
    <x v="7"/>
    <n v="1"/>
  </r>
  <r>
    <x v="0"/>
    <x v="0"/>
    <x v="3"/>
    <x v="6"/>
    <x v="3"/>
    <x v="11"/>
    <x v="12"/>
    <n v="3"/>
  </r>
  <r>
    <x v="0"/>
    <x v="0"/>
    <x v="3"/>
    <x v="6"/>
    <x v="3"/>
    <x v="6"/>
    <x v="12"/>
    <n v="1"/>
  </r>
  <r>
    <x v="0"/>
    <x v="0"/>
    <x v="3"/>
    <x v="6"/>
    <x v="3"/>
    <x v="12"/>
    <x v="12"/>
    <n v="1"/>
  </r>
  <r>
    <x v="0"/>
    <x v="0"/>
    <x v="3"/>
    <x v="6"/>
    <x v="3"/>
    <x v="7"/>
    <x v="10"/>
    <n v="2"/>
  </r>
  <r>
    <x v="0"/>
    <x v="0"/>
    <x v="3"/>
    <x v="6"/>
    <x v="3"/>
    <x v="7"/>
    <x v="1"/>
    <n v="1"/>
  </r>
  <r>
    <x v="0"/>
    <x v="0"/>
    <x v="3"/>
    <x v="6"/>
    <x v="11"/>
    <x v="7"/>
    <x v="19"/>
    <n v="2"/>
  </r>
  <r>
    <x v="0"/>
    <x v="0"/>
    <x v="3"/>
    <x v="9"/>
    <x v="2"/>
    <x v="0"/>
    <x v="11"/>
    <n v="1"/>
  </r>
  <r>
    <x v="0"/>
    <x v="0"/>
    <x v="3"/>
    <x v="9"/>
    <x v="2"/>
    <x v="0"/>
    <x v="14"/>
    <n v="1"/>
  </r>
  <r>
    <x v="0"/>
    <x v="0"/>
    <x v="3"/>
    <x v="9"/>
    <x v="4"/>
    <x v="0"/>
    <x v="4"/>
    <n v="2"/>
  </r>
  <r>
    <x v="0"/>
    <x v="0"/>
    <x v="3"/>
    <x v="9"/>
    <x v="4"/>
    <x v="0"/>
    <x v="2"/>
    <n v="2"/>
  </r>
  <r>
    <x v="0"/>
    <x v="0"/>
    <x v="3"/>
    <x v="9"/>
    <x v="4"/>
    <x v="0"/>
    <x v="13"/>
    <n v="1"/>
  </r>
  <r>
    <x v="0"/>
    <x v="0"/>
    <x v="3"/>
    <x v="9"/>
    <x v="4"/>
    <x v="0"/>
    <x v="11"/>
    <n v="2"/>
  </r>
  <r>
    <x v="0"/>
    <x v="0"/>
    <x v="3"/>
    <x v="9"/>
    <x v="5"/>
    <x v="0"/>
    <x v="12"/>
    <n v="1"/>
  </r>
  <r>
    <x v="0"/>
    <x v="0"/>
    <x v="3"/>
    <x v="9"/>
    <x v="5"/>
    <x v="0"/>
    <x v="3"/>
    <n v="1"/>
  </r>
  <r>
    <x v="0"/>
    <x v="0"/>
    <x v="3"/>
    <x v="9"/>
    <x v="15"/>
    <x v="0"/>
    <x v="5"/>
    <n v="3"/>
  </r>
  <r>
    <x v="0"/>
    <x v="0"/>
    <x v="3"/>
    <x v="9"/>
    <x v="17"/>
    <x v="0"/>
    <x v="0"/>
    <n v="1"/>
  </r>
  <r>
    <x v="0"/>
    <x v="0"/>
    <x v="3"/>
    <x v="7"/>
    <x v="1"/>
    <x v="0"/>
    <x v="12"/>
    <n v="1"/>
  </r>
  <r>
    <x v="0"/>
    <x v="0"/>
    <x v="3"/>
    <x v="7"/>
    <x v="1"/>
    <x v="0"/>
    <x v="9"/>
    <n v="1"/>
  </r>
  <r>
    <x v="0"/>
    <x v="0"/>
    <x v="3"/>
    <x v="7"/>
    <x v="1"/>
    <x v="0"/>
    <x v="3"/>
    <n v="2"/>
  </r>
  <r>
    <x v="0"/>
    <x v="0"/>
    <x v="3"/>
    <x v="7"/>
    <x v="5"/>
    <x v="0"/>
    <x v="12"/>
    <n v="1"/>
  </r>
  <r>
    <x v="0"/>
    <x v="0"/>
    <x v="3"/>
    <x v="7"/>
    <x v="14"/>
    <x v="0"/>
    <x v="1"/>
    <n v="2"/>
  </r>
  <r>
    <x v="0"/>
    <x v="0"/>
    <x v="3"/>
    <x v="7"/>
    <x v="14"/>
    <x v="0"/>
    <x v="3"/>
    <n v="1"/>
  </r>
  <r>
    <x v="0"/>
    <x v="0"/>
    <x v="3"/>
    <x v="7"/>
    <x v="15"/>
    <x v="0"/>
    <x v="4"/>
    <n v="1"/>
  </r>
  <r>
    <x v="0"/>
    <x v="0"/>
    <x v="3"/>
    <x v="7"/>
    <x v="7"/>
    <x v="0"/>
    <x v="12"/>
    <n v="2"/>
  </r>
  <r>
    <x v="0"/>
    <x v="0"/>
    <x v="3"/>
    <x v="7"/>
    <x v="17"/>
    <x v="0"/>
    <x v="18"/>
    <n v="1"/>
  </r>
  <r>
    <x v="0"/>
    <x v="0"/>
    <x v="3"/>
    <x v="7"/>
    <x v="18"/>
    <x v="0"/>
    <x v="13"/>
    <n v="1"/>
  </r>
  <r>
    <x v="0"/>
    <x v="0"/>
    <x v="3"/>
    <x v="7"/>
    <x v="18"/>
    <x v="0"/>
    <x v="17"/>
    <n v="1"/>
  </r>
  <r>
    <x v="0"/>
    <x v="0"/>
    <x v="3"/>
    <x v="8"/>
    <x v="0"/>
    <x v="0"/>
    <x v="19"/>
    <n v="1"/>
  </r>
  <r>
    <x v="0"/>
    <x v="0"/>
    <x v="3"/>
    <x v="8"/>
    <x v="13"/>
    <x v="14"/>
    <x v="13"/>
    <n v="2"/>
  </r>
  <r>
    <x v="0"/>
    <x v="0"/>
    <x v="3"/>
    <x v="8"/>
    <x v="13"/>
    <x v="14"/>
    <x v="14"/>
    <n v="1"/>
  </r>
  <r>
    <x v="0"/>
    <x v="0"/>
    <x v="3"/>
    <x v="8"/>
    <x v="13"/>
    <x v="14"/>
    <x v="17"/>
    <n v="1"/>
  </r>
  <r>
    <x v="0"/>
    <x v="0"/>
    <x v="3"/>
    <x v="8"/>
    <x v="13"/>
    <x v="13"/>
    <x v="5"/>
    <n v="1"/>
  </r>
  <r>
    <x v="0"/>
    <x v="0"/>
    <x v="3"/>
    <x v="8"/>
    <x v="13"/>
    <x v="13"/>
    <x v="2"/>
    <n v="2"/>
  </r>
  <r>
    <x v="0"/>
    <x v="0"/>
    <x v="3"/>
    <x v="8"/>
    <x v="13"/>
    <x v="13"/>
    <x v="11"/>
    <n v="3"/>
  </r>
  <r>
    <x v="0"/>
    <x v="0"/>
    <x v="3"/>
    <x v="8"/>
    <x v="13"/>
    <x v="13"/>
    <x v="14"/>
    <n v="3"/>
  </r>
  <r>
    <x v="0"/>
    <x v="0"/>
    <x v="3"/>
    <x v="8"/>
    <x v="13"/>
    <x v="4"/>
    <x v="17"/>
    <n v="2"/>
  </r>
  <r>
    <x v="0"/>
    <x v="0"/>
    <x v="3"/>
    <x v="8"/>
    <x v="13"/>
    <x v="5"/>
    <x v="19"/>
    <n v="1"/>
  </r>
  <r>
    <x v="0"/>
    <x v="0"/>
    <x v="3"/>
    <x v="8"/>
    <x v="13"/>
    <x v="11"/>
    <x v="14"/>
    <n v="1"/>
  </r>
  <r>
    <x v="0"/>
    <x v="0"/>
    <x v="3"/>
    <x v="8"/>
    <x v="13"/>
    <x v="11"/>
    <x v="17"/>
    <n v="1"/>
  </r>
  <r>
    <x v="0"/>
    <x v="0"/>
    <x v="3"/>
    <x v="8"/>
    <x v="13"/>
    <x v="12"/>
    <x v="13"/>
    <n v="1"/>
  </r>
  <r>
    <x v="0"/>
    <x v="0"/>
    <x v="3"/>
    <x v="8"/>
    <x v="14"/>
    <x v="1"/>
    <x v="7"/>
    <n v="1"/>
  </r>
  <r>
    <x v="0"/>
    <x v="0"/>
    <x v="3"/>
    <x v="8"/>
    <x v="14"/>
    <x v="0"/>
    <x v="6"/>
    <n v="2"/>
  </r>
  <r>
    <x v="0"/>
    <x v="0"/>
    <x v="3"/>
    <x v="8"/>
    <x v="14"/>
    <x v="0"/>
    <x v="10"/>
    <n v="8"/>
  </r>
  <r>
    <x v="0"/>
    <x v="0"/>
    <x v="3"/>
    <x v="8"/>
    <x v="15"/>
    <x v="0"/>
    <x v="3"/>
    <n v="2"/>
  </r>
  <r>
    <x v="0"/>
    <x v="0"/>
    <x v="3"/>
    <x v="8"/>
    <x v="8"/>
    <x v="0"/>
    <x v="9"/>
    <n v="1"/>
  </r>
  <r>
    <x v="0"/>
    <x v="0"/>
    <x v="3"/>
    <x v="8"/>
    <x v="3"/>
    <x v="0"/>
    <x v="18"/>
    <n v="2"/>
  </r>
  <r>
    <x v="0"/>
    <x v="0"/>
    <x v="3"/>
    <x v="8"/>
    <x v="11"/>
    <x v="0"/>
    <x v="10"/>
    <n v="2"/>
  </r>
  <r>
    <x v="0"/>
    <x v="0"/>
    <x v="3"/>
    <x v="8"/>
    <x v="19"/>
    <x v="5"/>
    <x v="6"/>
    <n v="1"/>
  </r>
  <r>
    <x v="0"/>
    <x v="0"/>
    <x v="3"/>
    <x v="10"/>
    <x v="12"/>
    <x v="0"/>
    <x v="11"/>
    <n v="1"/>
  </r>
  <r>
    <x v="0"/>
    <x v="0"/>
    <x v="3"/>
    <x v="10"/>
    <x v="2"/>
    <x v="0"/>
    <x v="17"/>
    <n v="1"/>
  </r>
  <r>
    <x v="0"/>
    <x v="0"/>
    <x v="3"/>
    <x v="10"/>
    <x v="4"/>
    <x v="0"/>
    <x v="9"/>
    <n v="4"/>
  </r>
  <r>
    <x v="0"/>
    <x v="0"/>
    <x v="3"/>
    <x v="10"/>
    <x v="4"/>
    <x v="0"/>
    <x v="3"/>
    <n v="3"/>
  </r>
  <r>
    <x v="0"/>
    <x v="0"/>
    <x v="3"/>
    <x v="10"/>
    <x v="4"/>
    <x v="0"/>
    <x v="4"/>
    <n v="1"/>
  </r>
  <r>
    <x v="0"/>
    <x v="0"/>
    <x v="3"/>
    <x v="10"/>
    <x v="4"/>
    <x v="0"/>
    <x v="5"/>
    <n v="1"/>
  </r>
  <r>
    <x v="0"/>
    <x v="0"/>
    <x v="3"/>
    <x v="10"/>
    <x v="4"/>
    <x v="0"/>
    <x v="2"/>
    <n v="3"/>
  </r>
  <r>
    <x v="0"/>
    <x v="0"/>
    <x v="3"/>
    <x v="10"/>
    <x v="16"/>
    <x v="11"/>
    <x v="10"/>
    <n v="1"/>
  </r>
  <r>
    <x v="0"/>
    <x v="0"/>
    <x v="3"/>
    <x v="10"/>
    <x v="14"/>
    <x v="0"/>
    <x v="3"/>
    <n v="1"/>
  </r>
  <r>
    <x v="0"/>
    <x v="0"/>
    <x v="3"/>
    <x v="10"/>
    <x v="8"/>
    <x v="0"/>
    <x v="12"/>
    <n v="1"/>
  </r>
  <r>
    <x v="0"/>
    <x v="0"/>
    <x v="3"/>
    <x v="10"/>
    <x v="7"/>
    <x v="8"/>
    <x v="1"/>
    <n v="4"/>
  </r>
  <r>
    <x v="0"/>
    <x v="0"/>
    <x v="3"/>
    <x v="10"/>
    <x v="9"/>
    <x v="0"/>
    <x v="19"/>
    <n v="1"/>
  </r>
  <r>
    <x v="0"/>
    <x v="0"/>
    <x v="3"/>
    <x v="10"/>
    <x v="19"/>
    <x v="14"/>
    <x v="12"/>
    <n v="1"/>
  </r>
  <r>
    <x v="0"/>
    <x v="0"/>
    <x v="3"/>
    <x v="10"/>
    <x v="19"/>
    <x v="2"/>
    <x v="7"/>
    <n v="42"/>
  </r>
  <r>
    <x v="0"/>
    <x v="0"/>
    <x v="3"/>
    <x v="10"/>
    <x v="19"/>
    <x v="2"/>
    <x v="6"/>
    <n v="29"/>
  </r>
  <r>
    <x v="0"/>
    <x v="0"/>
    <x v="3"/>
    <x v="10"/>
    <x v="19"/>
    <x v="2"/>
    <x v="10"/>
    <n v="11"/>
  </r>
  <r>
    <x v="0"/>
    <x v="0"/>
    <x v="3"/>
    <x v="10"/>
    <x v="19"/>
    <x v="2"/>
    <x v="3"/>
    <n v="3"/>
  </r>
  <r>
    <x v="0"/>
    <x v="0"/>
    <x v="3"/>
    <x v="10"/>
    <x v="19"/>
    <x v="2"/>
    <x v="4"/>
    <n v="8"/>
  </r>
  <r>
    <x v="0"/>
    <x v="0"/>
    <x v="3"/>
    <x v="10"/>
    <x v="19"/>
    <x v="10"/>
    <x v="7"/>
    <n v="59"/>
  </r>
  <r>
    <x v="0"/>
    <x v="0"/>
    <x v="3"/>
    <x v="10"/>
    <x v="19"/>
    <x v="10"/>
    <x v="6"/>
    <n v="28"/>
  </r>
  <r>
    <x v="0"/>
    <x v="0"/>
    <x v="3"/>
    <x v="10"/>
    <x v="19"/>
    <x v="10"/>
    <x v="10"/>
    <n v="10"/>
  </r>
  <r>
    <x v="0"/>
    <x v="0"/>
    <x v="3"/>
    <x v="10"/>
    <x v="19"/>
    <x v="10"/>
    <x v="12"/>
    <n v="6"/>
  </r>
  <r>
    <x v="0"/>
    <x v="0"/>
    <x v="3"/>
    <x v="10"/>
    <x v="19"/>
    <x v="10"/>
    <x v="9"/>
    <n v="2"/>
  </r>
  <r>
    <x v="0"/>
    <x v="0"/>
    <x v="1"/>
    <x v="13"/>
    <x v="0"/>
    <x v="10"/>
    <x v="11"/>
    <n v="1"/>
  </r>
  <r>
    <x v="0"/>
    <x v="0"/>
    <x v="1"/>
    <x v="13"/>
    <x v="0"/>
    <x v="10"/>
    <x v="14"/>
    <n v="1"/>
  </r>
  <r>
    <x v="0"/>
    <x v="0"/>
    <x v="1"/>
    <x v="13"/>
    <x v="0"/>
    <x v="3"/>
    <x v="13"/>
    <n v="1"/>
  </r>
  <r>
    <x v="0"/>
    <x v="0"/>
    <x v="1"/>
    <x v="13"/>
    <x v="0"/>
    <x v="3"/>
    <x v="11"/>
    <n v="3"/>
  </r>
  <r>
    <x v="0"/>
    <x v="0"/>
    <x v="1"/>
    <x v="13"/>
    <x v="0"/>
    <x v="3"/>
    <x v="14"/>
    <n v="1"/>
  </r>
  <r>
    <x v="0"/>
    <x v="0"/>
    <x v="1"/>
    <x v="13"/>
    <x v="0"/>
    <x v="4"/>
    <x v="13"/>
    <n v="1"/>
  </r>
  <r>
    <x v="0"/>
    <x v="0"/>
    <x v="1"/>
    <x v="13"/>
    <x v="0"/>
    <x v="1"/>
    <x v="18"/>
    <n v="1"/>
  </r>
  <r>
    <x v="0"/>
    <x v="0"/>
    <x v="1"/>
    <x v="13"/>
    <x v="16"/>
    <x v="9"/>
    <x v="9"/>
    <n v="1"/>
  </r>
  <r>
    <x v="0"/>
    <x v="0"/>
    <x v="1"/>
    <x v="13"/>
    <x v="16"/>
    <x v="9"/>
    <x v="5"/>
    <n v="1"/>
  </r>
  <r>
    <x v="0"/>
    <x v="0"/>
    <x v="1"/>
    <x v="13"/>
    <x v="16"/>
    <x v="12"/>
    <x v="3"/>
    <n v="2"/>
  </r>
  <r>
    <x v="0"/>
    <x v="0"/>
    <x v="1"/>
    <x v="13"/>
    <x v="16"/>
    <x v="12"/>
    <x v="4"/>
    <n v="1"/>
  </r>
  <r>
    <x v="0"/>
    <x v="0"/>
    <x v="1"/>
    <x v="13"/>
    <x v="17"/>
    <x v="19"/>
    <x v="14"/>
    <n v="1"/>
  </r>
  <r>
    <x v="0"/>
    <x v="0"/>
    <x v="1"/>
    <x v="13"/>
    <x v="17"/>
    <x v="14"/>
    <x v="0"/>
    <n v="1"/>
  </r>
  <r>
    <x v="0"/>
    <x v="0"/>
    <x v="1"/>
    <x v="13"/>
    <x v="17"/>
    <x v="13"/>
    <x v="0"/>
    <n v="1"/>
  </r>
  <r>
    <x v="0"/>
    <x v="0"/>
    <x v="1"/>
    <x v="13"/>
    <x v="17"/>
    <x v="3"/>
    <x v="14"/>
    <n v="2"/>
  </r>
  <r>
    <x v="0"/>
    <x v="0"/>
    <x v="1"/>
    <x v="14"/>
    <x v="16"/>
    <x v="15"/>
    <x v="1"/>
    <n v="3"/>
  </r>
  <r>
    <x v="0"/>
    <x v="0"/>
    <x v="1"/>
    <x v="14"/>
    <x v="16"/>
    <x v="14"/>
    <x v="10"/>
    <n v="5"/>
  </r>
  <r>
    <x v="0"/>
    <x v="0"/>
    <x v="1"/>
    <x v="14"/>
    <x v="16"/>
    <x v="13"/>
    <x v="6"/>
    <n v="4"/>
  </r>
  <r>
    <x v="0"/>
    <x v="0"/>
    <x v="1"/>
    <x v="14"/>
    <x v="16"/>
    <x v="2"/>
    <x v="2"/>
    <n v="3"/>
  </r>
  <r>
    <x v="0"/>
    <x v="0"/>
    <x v="1"/>
    <x v="14"/>
    <x v="16"/>
    <x v="2"/>
    <x v="13"/>
    <n v="3"/>
  </r>
  <r>
    <x v="0"/>
    <x v="0"/>
    <x v="1"/>
    <x v="14"/>
    <x v="16"/>
    <x v="2"/>
    <x v="11"/>
    <n v="3"/>
  </r>
  <r>
    <x v="0"/>
    <x v="0"/>
    <x v="1"/>
    <x v="14"/>
    <x v="16"/>
    <x v="2"/>
    <x v="14"/>
    <n v="1"/>
  </r>
  <r>
    <x v="0"/>
    <x v="0"/>
    <x v="1"/>
    <x v="14"/>
    <x v="16"/>
    <x v="10"/>
    <x v="13"/>
    <n v="1"/>
  </r>
  <r>
    <x v="0"/>
    <x v="0"/>
    <x v="1"/>
    <x v="14"/>
    <x v="16"/>
    <x v="3"/>
    <x v="4"/>
    <n v="1"/>
  </r>
  <r>
    <x v="0"/>
    <x v="0"/>
    <x v="1"/>
    <x v="14"/>
    <x v="16"/>
    <x v="3"/>
    <x v="5"/>
    <n v="2"/>
  </r>
  <r>
    <x v="0"/>
    <x v="0"/>
    <x v="1"/>
    <x v="14"/>
    <x v="16"/>
    <x v="3"/>
    <x v="11"/>
    <n v="1"/>
  </r>
  <r>
    <x v="0"/>
    <x v="0"/>
    <x v="1"/>
    <x v="14"/>
    <x v="16"/>
    <x v="4"/>
    <x v="4"/>
    <n v="1"/>
  </r>
  <r>
    <x v="0"/>
    <x v="0"/>
    <x v="1"/>
    <x v="14"/>
    <x v="16"/>
    <x v="4"/>
    <x v="5"/>
    <n v="2"/>
  </r>
  <r>
    <x v="0"/>
    <x v="0"/>
    <x v="1"/>
    <x v="14"/>
    <x v="16"/>
    <x v="5"/>
    <x v="3"/>
    <n v="1"/>
  </r>
  <r>
    <x v="0"/>
    <x v="0"/>
    <x v="1"/>
    <x v="14"/>
    <x v="16"/>
    <x v="5"/>
    <x v="4"/>
    <n v="1"/>
  </r>
  <r>
    <x v="0"/>
    <x v="0"/>
    <x v="1"/>
    <x v="14"/>
    <x v="16"/>
    <x v="5"/>
    <x v="5"/>
    <n v="2"/>
  </r>
  <r>
    <x v="0"/>
    <x v="0"/>
    <x v="1"/>
    <x v="14"/>
    <x v="16"/>
    <x v="11"/>
    <x v="12"/>
    <n v="4"/>
  </r>
  <r>
    <x v="0"/>
    <x v="0"/>
    <x v="1"/>
    <x v="14"/>
    <x v="16"/>
    <x v="11"/>
    <x v="9"/>
    <n v="3"/>
  </r>
  <r>
    <x v="0"/>
    <x v="0"/>
    <x v="1"/>
    <x v="14"/>
    <x v="16"/>
    <x v="11"/>
    <x v="3"/>
    <n v="2"/>
  </r>
  <r>
    <x v="0"/>
    <x v="0"/>
    <x v="1"/>
    <x v="14"/>
    <x v="16"/>
    <x v="11"/>
    <x v="5"/>
    <n v="1"/>
  </r>
  <r>
    <x v="0"/>
    <x v="0"/>
    <x v="1"/>
    <x v="14"/>
    <x v="16"/>
    <x v="11"/>
    <x v="2"/>
    <n v="1"/>
  </r>
  <r>
    <x v="0"/>
    <x v="0"/>
    <x v="1"/>
    <x v="14"/>
    <x v="16"/>
    <x v="6"/>
    <x v="12"/>
    <n v="5"/>
  </r>
  <r>
    <x v="0"/>
    <x v="0"/>
    <x v="1"/>
    <x v="14"/>
    <x v="16"/>
    <x v="6"/>
    <x v="9"/>
    <n v="4"/>
  </r>
  <r>
    <x v="0"/>
    <x v="0"/>
    <x v="1"/>
    <x v="14"/>
    <x v="16"/>
    <x v="6"/>
    <x v="5"/>
    <n v="1"/>
  </r>
  <r>
    <x v="0"/>
    <x v="0"/>
    <x v="1"/>
    <x v="14"/>
    <x v="16"/>
    <x v="9"/>
    <x v="12"/>
    <n v="1"/>
  </r>
  <r>
    <x v="0"/>
    <x v="0"/>
    <x v="1"/>
    <x v="14"/>
    <x v="16"/>
    <x v="9"/>
    <x v="9"/>
    <n v="3"/>
  </r>
  <r>
    <x v="0"/>
    <x v="0"/>
    <x v="1"/>
    <x v="14"/>
    <x v="16"/>
    <x v="9"/>
    <x v="3"/>
    <n v="1"/>
  </r>
  <r>
    <x v="0"/>
    <x v="0"/>
    <x v="1"/>
    <x v="14"/>
    <x v="16"/>
    <x v="12"/>
    <x v="9"/>
    <n v="2"/>
  </r>
  <r>
    <x v="0"/>
    <x v="0"/>
    <x v="1"/>
    <x v="14"/>
    <x v="16"/>
    <x v="0"/>
    <x v="12"/>
    <n v="1"/>
  </r>
  <r>
    <x v="0"/>
    <x v="0"/>
    <x v="1"/>
    <x v="14"/>
    <x v="18"/>
    <x v="2"/>
    <x v="9"/>
    <n v="1"/>
  </r>
  <r>
    <x v="0"/>
    <x v="0"/>
    <x v="1"/>
    <x v="14"/>
    <x v="18"/>
    <x v="2"/>
    <x v="3"/>
    <n v="5"/>
  </r>
  <r>
    <x v="0"/>
    <x v="0"/>
    <x v="1"/>
    <x v="14"/>
    <x v="18"/>
    <x v="2"/>
    <x v="4"/>
    <n v="1"/>
  </r>
  <r>
    <x v="0"/>
    <x v="0"/>
    <x v="1"/>
    <x v="14"/>
    <x v="18"/>
    <x v="2"/>
    <x v="2"/>
    <n v="1"/>
  </r>
  <r>
    <x v="0"/>
    <x v="0"/>
    <x v="1"/>
    <x v="14"/>
    <x v="18"/>
    <x v="10"/>
    <x v="12"/>
    <n v="1"/>
  </r>
  <r>
    <x v="0"/>
    <x v="0"/>
    <x v="1"/>
    <x v="14"/>
    <x v="18"/>
    <x v="10"/>
    <x v="9"/>
    <n v="5"/>
  </r>
  <r>
    <x v="0"/>
    <x v="0"/>
    <x v="1"/>
    <x v="14"/>
    <x v="18"/>
    <x v="10"/>
    <x v="3"/>
    <n v="1"/>
  </r>
  <r>
    <x v="0"/>
    <x v="0"/>
    <x v="1"/>
    <x v="14"/>
    <x v="18"/>
    <x v="3"/>
    <x v="12"/>
    <n v="6"/>
  </r>
  <r>
    <x v="0"/>
    <x v="0"/>
    <x v="1"/>
    <x v="14"/>
    <x v="18"/>
    <x v="3"/>
    <x v="9"/>
    <n v="4"/>
  </r>
  <r>
    <x v="0"/>
    <x v="0"/>
    <x v="1"/>
    <x v="14"/>
    <x v="18"/>
    <x v="3"/>
    <x v="3"/>
    <n v="4"/>
  </r>
  <r>
    <x v="0"/>
    <x v="0"/>
    <x v="1"/>
    <x v="14"/>
    <x v="18"/>
    <x v="4"/>
    <x v="12"/>
    <n v="4"/>
  </r>
  <r>
    <x v="0"/>
    <x v="0"/>
    <x v="1"/>
    <x v="14"/>
    <x v="18"/>
    <x v="4"/>
    <x v="9"/>
    <n v="3"/>
  </r>
  <r>
    <x v="0"/>
    <x v="0"/>
    <x v="1"/>
    <x v="14"/>
    <x v="18"/>
    <x v="4"/>
    <x v="3"/>
    <n v="3"/>
  </r>
  <r>
    <x v="0"/>
    <x v="0"/>
    <x v="1"/>
    <x v="14"/>
    <x v="18"/>
    <x v="5"/>
    <x v="12"/>
    <n v="5"/>
  </r>
  <r>
    <x v="0"/>
    <x v="0"/>
    <x v="1"/>
    <x v="14"/>
    <x v="18"/>
    <x v="5"/>
    <x v="9"/>
    <n v="2"/>
  </r>
  <r>
    <x v="0"/>
    <x v="0"/>
    <x v="1"/>
    <x v="14"/>
    <x v="18"/>
    <x v="11"/>
    <x v="1"/>
    <n v="1"/>
  </r>
  <r>
    <x v="0"/>
    <x v="0"/>
    <x v="1"/>
    <x v="14"/>
    <x v="18"/>
    <x v="11"/>
    <x v="12"/>
    <n v="1"/>
  </r>
  <r>
    <x v="0"/>
    <x v="0"/>
    <x v="1"/>
    <x v="14"/>
    <x v="18"/>
    <x v="9"/>
    <x v="1"/>
    <n v="1"/>
  </r>
  <r>
    <x v="0"/>
    <x v="0"/>
    <x v="1"/>
    <x v="14"/>
    <x v="18"/>
    <x v="7"/>
    <x v="3"/>
    <n v="1"/>
  </r>
  <r>
    <x v="0"/>
    <x v="0"/>
    <x v="1"/>
    <x v="15"/>
    <x v="11"/>
    <x v="16"/>
    <x v="12"/>
    <n v="2"/>
  </r>
  <r>
    <x v="0"/>
    <x v="0"/>
    <x v="1"/>
    <x v="15"/>
    <x v="11"/>
    <x v="16"/>
    <x v="9"/>
    <n v="1"/>
  </r>
  <r>
    <x v="0"/>
    <x v="0"/>
    <x v="1"/>
    <x v="15"/>
    <x v="11"/>
    <x v="16"/>
    <x v="3"/>
    <n v="4"/>
  </r>
  <r>
    <x v="0"/>
    <x v="0"/>
    <x v="1"/>
    <x v="15"/>
    <x v="11"/>
    <x v="15"/>
    <x v="12"/>
    <n v="2"/>
  </r>
  <r>
    <x v="0"/>
    <x v="0"/>
    <x v="1"/>
    <x v="15"/>
    <x v="11"/>
    <x v="3"/>
    <x v="19"/>
    <n v="1"/>
  </r>
  <r>
    <x v="0"/>
    <x v="0"/>
    <x v="1"/>
    <x v="15"/>
    <x v="11"/>
    <x v="4"/>
    <x v="2"/>
    <n v="2"/>
  </r>
  <r>
    <x v="0"/>
    <x v="0"/>
    <x v="1"/>
    <x v="15"/>
    <x v="11"/>
    <x v="4"/>
    <x v="13"/>
    <n v="1"/>
  </r>
  <r>
    <x v="0"/>
    <x v="0"/>
    <x v="1"/>
    <x v="15"/>
    <x v="11"/>
    <x v="4"/>
    <x v="11"/>
    <n v="1"/>
  </r>
  <r>
    <x v="0"/>
    <x v="0"/>
    <x v="1"/>
    <x v="15"/>
    <x v="11"/>
    <x v="5"/>
    <x v="11"/>
    <n v="1"/>
  </r>
  <r>
    <x v="0"/>
    <x v="0"/>
    <x v="1"/>
    <x v="15"/>
    <x v="11"/>
    <x v="11"/>
    <x v="5"/>
    <n v="1"/>
  </r>
  <r>
    <x v="0"/>
    <x v="0"/>
    <x v="1"/>
    <x v="15"/>
    <x v="11"/>
    <x v="6"/>
    <x v="5"/>
    <n v="1"/>
  </r>
  <r>
    <x v="0"/>
    <x v="0"/>
    <x v="1"/>
    <x v="15"/>
    <x v="11"/>
    <x v="9"/>
    <x v="9"/>
    <n v="2"/>
  </r>
  <r>
    <x v="0"/>
    <x v="0"/>
    <x v="1"/>
    <x v="15"/>
    <x v="11"/>
    <x v="9"/>
    <x v="3"/>
    <n v="2"/>
  </r>
  <r>
    <x v="0"/>
    <x v="0"/>
    <x v="1"/>
    <x v="15"/>
    <x v="11"/>
    <x v="9"/>
    <x v="5"/>
    <n v="1"/>
  </r>
  <r>
    <x v="0"/>
    <x v="0"/>
    <x v="1"/>
    <x v="15"/>
    <x v="11"/>
    <x v="9"/>
    <x v="2"/>
    <n v="1"/>
  </r>
  <r>
    <x v="0"/>
    <x v="0"/>
    <x v="1"/>
    <x v="15"/>
    <x v="11"/>
    <x v="12"/>
    <x v="3"/>
    <n v="2"/>
  </r>
  <r>
    <x v="0"/>
    <x v="0"/>
    <x v="1"/>
    <x v="15"/>
    <x v="11"/>
    <x v="12"/>
    <x v="4"/>
    <n v="2"/>
  </r>
  <r>
    <x v="0"/>
    <x v="0"/>
    <x v="3"/>
    <x v="10"/>
    <x v="19"/>
    <x v="10"/>
    <x v="3"/>
    <n v="2"/>
  </r>
  <r>
    <x v="0"/>
    <x v="0"/>
    <x v="3"/>
    <x v="10"/>
    <x v="19"/>
    <x v="3"/>
    <x v="7"/>
    <n v="67"/>
  </r>
  <r>
    <x v="0"/>
    <x v="0"/>
    <x v="3"/>
    <x v="10"/>
    <x v="19"/>
    <x v="3"/>
    <x v="6"/>
    <n v="21"/>
  </r>
  <r>
    <x v="0"/>
    <x v="0"/>
    <x v="3"/>
    <x v="10"/>
    <x v="19"/>
    <x v="3"/>
    <x v="12"/>
    <n v="3"/>
  </r>
  <r>
    <x v="0"/>
    <x v="0"/>
    <x v="3"/>
    <x v="10"/>
    <x v="19"/>
    <x v="4"/>
    <x v="8"/>
    <n v="213"/>
  </r>
  <r>
    <x v="0"/>
    <x v="0"/>
    <x v="3"/>
    <x v="10"/>
    <x v="19"/>
    <x v="4"/>
    <x v="7"/>
    <n v="128"/>
  </r>
  <r>
    <x v="0"/>
    <x v="0"/>
    <x v="3"/>
    <x v="10"/>
    <x v="19"/>
    <x v="4"/>
    <x v="6"/>
    <n v="22"/>
  </r>
  <r>
    <x v="0"/>
    <x v="0"/>
    <x v="3"/>
    <x v="10"/>
    <x v="19"/>
    <x v="4"/>
    <x v="12"/>
    <n v="2"/>
  </r>
  <r>
    <x v="0"/>
    <x v="0"/>
    <x v="3"/>
    <x v="10"/>
    <x v="19"/>
    <x v="5"/>
    <x v="8"/>
    <n v="88"/>
  </r>
  <r>
    <x v="0"/>
    <x v="0"/>
    <x v="3"/>
    <x v="10"/>
    <x v="19"/>
    <x v="5"/>
    <x v="7"/>
    <n v="133"/>
  </r>
  <r>
    <x v="0"/>
    <x v="0"/>
    <x v="3"/>
    <x v="10"/>
    <x v="19"/>
    <x v="11"/>
    <x v="8"/>
    <n v="23"/>
  </r>
  <r>
    <x v="0"/>
    <x v="0"/>
    <x v="3"/>
    <x v="10"/>
    <x v="19"/>
    <x v="11"/>
    <x v="7"/>
    <n v="136"/>
  </r>
  <r>
    <x v="0"/>
    <x v="0"/>
    <x v="3"/>
    <x v="10"/>
    <x v="19"/>
    <x v="6"/>
    <x v="8"/>
    <n v="2"/>
  </r>
  <r>
    <x v="0"/>
    <x v="0"/>
    <x v="3"/>
    <x v="10"/>
    <x v="19"/>
    <x v="7"/>
    <x v="6"/>
    <n v="21"/>
  </r>
  <r>
    <x v="0"/>
    <x v="0"/>
    <x v="3"/>
    <x v="10"/>
    <x v="19"/>
    <x v="7"/>
    <x v="10"/>
    <n v="14"/>
  </r>
  <r>
    <x v="0"/>
    <x v="0"/>
    <x v="3"/>
    <x v="10"/>
    <x v="19"/>
    <x v="7"/>
    <x v="3"/>
    <n v="1"/>
  </r>
  <r>
    <x v="0"/>
    <x v="0"/>
    <x v="3"/>
    <x v="10"/>
    <x v="19"/>
    <x v="8"/>
    <x v="6"/>
    <n v="3"/>
  </r>
  <r>
    <x v="0"/>
    <x v="0"/>
    <x v="3"/>
    <x v="11"/>
    <x v="0"/>
    <x v="7"/>
    <x v="7"/>
    <n v="1"/>
  </r>
  <r>
    <x v="0"/>
    <x v="0"/>
    <x v="3"/>
    <x v="11"/>
    <x v="0"/>
    <x v="7"/>
    <x v="12"/>
    <n v="1"/>
  </r>
  <r>
    <x v="0"/>
    <x v="0"/>
    <x v="3"/>
    <x v="11"/>
    <x v="0"/>
    <x v="7"/>
    <x v="3"/>
    <n v="1"/>
  </r>
  <r>
    <x v="0"/>
    <x v="0"/>
    <x v="3"/>
    <x v="11"/>
    <x v="0"/>
    <x v="8"/>
    <x v="7"/>
    <n v="30"/>
  </r>
  <r>
    <x v="0"/>
    <x v="0"/>
    <x v="3"/>
    <x v="11"/>
    <x v="0"/>
    <x v="8"/>
    <x v="9"/>
    <n v="1"/>
  </r>
  <r>
    <x v="0"/>
    <x v="0"/>
    <x v="3"/>
    <x v="11"/>
    <x v="0"/>
    <x v="0"/>
    <x v="1"/>
    <n v="23"/>
  </r>
  <r>
    <x v="0"/>
    <x v="0"/>
    <x v="3"/>
    <x v="11"/>
    <x v="1"/>
    <x v="1"/>
    <x v="9"/>
    <n v="1"/>
  </r>
  <r>
    <x v="0"/>
    <x v="0"/>
    <x v="3"/>
    <x v="11"/>
    <x v="5"/>
    <x v="7"/>
    <x v="1"/>
    <n v="7"/>
  </r>
  <r>
    <x v="0"/>
    <x v="0"/>
    <x v="3"/>
    <x v="11"/>
    <x v="5"/>
    <x v="8"/>
    <x v="1"/>
    <n v="1"/>
  </r>
  <r>
    <x v="0"/>
    <x v="0"/>
    <x v="3"/>
    <x v="11"/>
    <x v="13"/>
    <x v="0"/>
    <x v="3"/>
    <n v="1"/>
  </r>
  <r>
    <x v="0"/>
    <x v="0"/>
    <x v="3"/>
    <x v="11"/>
    <x v="8"/>
    <x v="13"/>
    <x v="12"/>
    <n v="1"/>
  </r>
  <r>
    <x v="0"/>
    <x v="0"/>
    <x v="3"/>
    <x v="11"/>
    <x v="8"/>
    <x v="13"/>
    <x v="3"/>
    <n v="1"/>
  </r>
  <r>
    <x v="0"/>
    <x v="0"/>
    <x v="3"/>
    <x v="11"/>
    <x v="8"/>
    <x v="13"/>
    <x v="4"/>
    <n v="2"/>
  </r>
  <r>
    <x v="0"/>
    <x v="0"/>
    <x v="3"/>
    <x v="11"/>
    <x v="8"/>
    <x v="2"/>
    <x v="1"/>
    <n v="4"/>
  </r>
  <r>
    <x v="0"/>
    <x v="0"/>
    <x v="3"/>
    <x v="11"/>
    <x v="8"/>
    <x v="10"/>
    <x v="10"/>
    <n v="1"/>
  </r>
  <r>
    <x v="0"/>
    <x v="0"/>
    <x v="3"/>
    <x v="11"/>
    <x v="8"/>
    <x v="10"/>
    <x v="1"/>
    <n v="2"/>
  </r>
  <r>
    <x v="0"/>
    <x v="0"/>
    <x v="3"/>
    <x v="11"/>
    <x v="8"/>
    <x v="3"/>
    <x v="10"/>
    <n v="2"/>
  </r>
  <r>
    <x v="0"/>
    <x v="0"/>
    <x v="3"/>
    <x v="11"/>
    <x v="8"/>
    <x v="3"/>
    <x v="1"/>
    <n v="1"/>
  </r>
  <r>
    <x v="0"/>
    <x v="0"/>
    <x v="3"/>
    <x v="11"/>
    <x v="8"/>
    <x v="3"/>
    <x v="2"/>
    <n v="1"/>
  </r>
  <r>
    <x v="0"/>
    <x v="0"/>
    <x v="3"/>
    <x v="11"/>
    <x v="8"/>
    <x v="4"/>
    <x v="6"/>
    <n v="4"/>
  </r>
  <r>
    <x v="0"/>
    <x v="0"/>
    <x v="3"/>
    <x v="11"/>
    <x v="8"/>
    <x v="4"/>
    <x v="10"/>
    <n v="1"/>
  </r>
  <r>
    <x v="0"/>
    <x v="0"/>
    <x v="3"/>
    <x v="11"/>
    <x v="8"/>
    <x v="5"/>
    <x v="6"/>
    <n v="4"/>
  </r>
  <r>
    <x v="0"/>
    <x v="0"/>
    <x v="3"/>
    <x v="11"/>
    <x v="8"/>
    <x v="5"/>
    <x v="10"/>
    <n v="1"/>
  </r>
  <r>
    <x v="0"/>
    <x v="0"/>
    <x v="3"/>
    <x v="11"/>
    <x v="8"/>
    <x v="5"/>
    <x v="1"/>
    <n v="5"/>
  </r>
  <r>
    <x v="0"/>
    <x v="0"/>
    <x v="3"/>
    <x v="11"/>
    <x v="8"/>
    <x v="11"/>
    <x v="7"/>
    <n v="32"/>
  </r>
  <r>
    <x v="0"/>
    <x v="0"/>
    <x v="3"/>
    <x v="11"/>
    <x v="8"/>
    <x v="11"/>
    <x v="6"/>
    <n v="6"/>
  </r>
  <r>
    <x v="0"/>
    <x v="0"/>
    <x v="3"/>
    <x v="11"/>
    <x v="8"/>
    <x v="11"/>
    <x v="10"/>
    <n v="1"/>
  </r>
  <r>
    <x v="0"/>
    <x v="0"/>
    <x v="3"/>
    <x v="11"/>
    <x v="8"/>
    <x v="11"/>
    <x v="5"/>
    <n v="1"/>
  </r>
  <r>
    <x v="0"/>
    <x v="0"/>
    <x v="3"/>
    <x v="11"/>
    <x v="8"/>
    <x v="6"/>
    <x v="7"/>
    <n v="40"/>
  </r>
  <r>
    <x v="0"/>
    <x v="0"/>
    <x v="3"/>
    <x v="11"/>
    <x v="8"/>
    <x v="6"/>
    <x v="6"/>
    <n v="3"/>
  </r>
  <r>
    <x v="0"/>
    <x v="0"/>
    <x v="3"/>
    <x v="11"/>
    <x v="8"/>
    <x v="6"/>
    <x v="10"/>
    <n v="2"/>
  </r>
  <r>
    <x v="0"/>
    <x v="0"/>
    <x v="3"/>
    <x v="11"/>
    <x v="8"/>
    <x v="9"/>
    <x v="7"/>
    <n v="16"/>
  </r>
  <r>
    <x v="0"/>
    <x v="0"/>
    <x v="3"/>
    <x v="11"/>
    <x v="8"/>
    <x v="9"/>
    <x v="6"/>
    <n v="9"/>
  </r>
  <r>
    <x v="0"/>
    <x v="0"/>
    <x v="3"/>
    <x v="11"/>
    <x v="8"/>
    <x v="9"/>
    <x v="10"/>
    <n v="1"/>
  </r>
  <r>
    <x v="0"/>
    <x v="0"/>
    <x v="3"/>
    <x v="11"/>
    <x v="8"/>
    <x v="12"/>
    <x v="7"/>
    <n v="4"/>
  </r>
  <r>
    <x v="0"/>
    <x v="0"/>
    <x v="3"/>
    <x v="11"/>
    <x v="8"/>
    <x v="12"/>
    <x v="6"/>
    <n v="11"/>
  </r>
  <r>
    <x v="0"/>
    <x v="0"/>
    <x v="3"/>
    <x v="11"/>
    <x v="8"/>
    <x v="12"/>
    <x v="9"/>
    <n v="1"/>
  </r>
  <r>
    <x v="0"/>
    <x v="0"/>
    <x v="3"/>
    <x v="11"/>
    <x v="8"/>
    <x v="1"/>
    <x v="6"/>
    <n v="6"/>
  </r>
  <r>
    <x v="0"/>
    <x v="0"/>
    <x v="3"/>
    <x v="11"/>
    <x v="6"/>
    <x v="8"/>
    <x v="11"/>
    <n v="1"/>
  </r>
  <r>
    <x v="0"/>
    <x v="0"/>
    <x v="3"/>
    <x v="11"/>
    <x v="6"/>
    <x v="0"/>
    <x v="0"/>
    <n v="7"/>
  </r>
  <r>
    <x v="0"/>
    <x v="0"/>
    <x v="3"/>
    <x v="11"/>
    <x v="6"/>
    <x v="0"/>
    <x v="18"/>
    <n v="1"/>
  </r>
  <r>
    <x v="0"/>
    <x v="0"/>
    <x v="3"/>
    <x v="11"/>
    <x v="6"/>
    <x v="0"/>
    <x v="19"/>
    <n v="3"/>
  </r>
  <r>
    <x v="0"/>
    <x v="0"/>
    <x v="3"/>
    <x v="11"/>
    <x v="18"/>
    <x v="0"/>
    <x v="6"/>
    <n v="1"/>
  </r>
  <r>
    <x v="0"/>
    <x v="0"/>
    <x v="3"/>
    <x v="11"/>
    <x v="18"/>
    <x v="0"/>
    <x v="9"/>
    <n v="1"/>
  </r>
  <r>
    <x v="0"/>
    <x v="0"/>
    <x v="3"/>
    <x v="12"/>
    <x v="4"/>
    <x v="1"/>
    <x v="7"/>
    <n v="1"/>
  </r>
  <r>
    <x v="0"/>
    <x v="0"/>
    <x v="3"/>
    <x v="12"/>
    <x v="6"/>
    <x v="15"/>
    <x v="5"/>
    <n v="1"/>
  </r>
  <r>
    <x v="0"/>
    <x v="0"/>
    <x v="3"/>
    <x v="12"/>
    <x v="6"/>
    <x v="14"/>
    <x v="3"/>
    <n v="1"/>
  </r>
  <r>
    <x v="0"/>
    <x v="0"/>
    <x v="3"/>
    <x v="12"/>
    <x v="6"/>
    <x v="14"/>
    <x v="4"/>
    <n v="1"/>
  </r>
  <r>
    <x v="0"/>
    <x v="0"/>
    <x v="3"/>
    <x v="12"/>
    <x v="6"/>
    <x v="2"/>
    <x v="6"/>
    <n v="7"/>
  </r>
  <r>
    <x v="0"/>
    <x v="0"/>
    <x v="3"/>
    <x v="12"/>
    <x v="6"/>
    <x v="2"/>
    <x v="10"/>
    <n v="2"/>
  </r>
  <r>
    <x v="0"/>
    <x v="0"/>
    <x v="3"/>
    <x v="12"/>
    <x v="6"/>
    <x v="2"/>
    <x v="1"/>
    <n v="2"/>
  </r>
  <r>
    <x v="0"/>
    <x v="0"/>
    <x v="3"/>
    <x v="12"/>
    <x v="6"/>
    <x v="2"/>
    <x v="5"/>
    <n v="1"/>
  </r>
  <r>
    <x v="0"/>
    <x v="0"/>
    <x v="3"/>
    <x v="12"/>
    <x v="6"/>
    <x v="10"/>
    <x v="6"/>
    <n v="2"/>
  </r>
  <r>
    <x v="0"/>
    <x v="0"/>
    <x v="3"/>
    <x v="12"/>
    <x v="6"/>
    <x v="10"/>
    <x v="10"/>
    <n v="4"/>
  </r>
  <r>
    <x v="0"/>
    <x v="0"/>
    <x v="3"/>
    <x v="12"/>
    <x v="6"/>
    <x v="3"/>
    <x v="6"/>
    <n v="2"/>
  </r>
  <r>
    <x v="0"/>
    <x v="0"/>
    <x v="3"/>
    <x v="12"/>
    <x v="6"/>
    <x v="3"/>
    <x v="10"/>
    <n v="4"/>
  </r>
  <r>
    <x v="0"/>
    <x v="0"/>
    <x v="3"/>
    <x v="12"/>
    <x v="6"/>
    <x v="3"/>
    <x v="9"/>
    <n v="1"/>
  </r>
  <r>
    <x v="0"/>
    <x v="0"/>
    <x v="3"/>
    <x v="12"/>
    <x v="6"/>
    <x v="4"/>
    <x v="6"/>
    <n v="3"/>
  </r>
  <r>
    <x v="0"/>
    <x v="0"/>
    <x v="3"/>
    <x v="12"/>
    <x v="6"/>
    <x v="4"/>
    <x v="10"/>
    <n v="1"/>
  </r>
  <r>
    <x v="0"/>
    <x v="0"/>
    <x v="3"/>
    <x v="12"/>
    <x v="6"/>
    <x v="4"/>
    <x v="9"/>
    <n v="1"/>
  </r>
  <r>
    <x v="0"/>
    <x v="0"/>
    <x v="3"/>
    <x v="12"/>
    <x v="6"/>
    <x v="5"/>
    <x v="6"/>
    <n v="3"/>
  </r>
  <r>
    <x v="0"/>
    <x v="0"/>
    <x v="3"/>
    <x v="12"/>
    <x v="6"/>
    <x v="5"/>
    <x v="12"/>
    <n v="1"/>
  </r>
  <r>
    <x v="0"/>
    <x v="0"/>
    <x v="3"/>
    <x v="12"/>
    <x v="6"/>
    <x v="5"/>
    <x v="9"/>
    <n v="1"/>
  </r>
  <r>
    <x v="0"/>
    <x v="0"/>
    <x v="3"/>
    <x v="12"/>
    <x v="6"/>
    <x v="11"/>
    <x v="12"/>
    <n v="3"/>
  </r>
  <r>
    <x v="0"/>
    <x v="0"/>
    <x v="3"/>
    <x v="12"/>
    <x v="6"/>
    <x v="7"/>
    <x v="10"/>
    <n v="1"/>
  </r>
  <r>
    <x v="0"/>
    <x v="0"/>
    <x v="3"/>
    <x v="12"/>
    <x v="6"/>
    <x v="7"/>
    <x v="1"/>
    <n v="1"/>
  </r>
  <r>
    <x v="0"/>
    <x v="0"/>
    <x v="3"/>
    <x v="12"/>
    <x v="9"/>
    <x v="0"/>
    <x v="19"/>
    <n v="6"/>
  </r>
  <r>
    <x v="0"/>
    <x v="0"/>
    <x v="3"/>
    <x v="12"/>
    <x v="11"/>
    <x v="0"/>
    <x v="12"/>
    <n v="3"/>
  </r>
  <r>
    <x v="0"/>
    <x v="0"/>
    <x v="3"/>
    <x v="12"/>
    <x v="11"/>
    <x v="0"/>
    <x v="9"/>
    <n v="1"/>
  </r>
  <r>
    <x v="0"/>
    <x v="0"/>
    <x v="3"/>
    <x v="12"/>
    <x v="19"/>
    <x v="7"/>
    <x v="18"/>
    <n v="1"/>
  </r>
  <r>
    <x v="0"/>
    <x v="0"/>
    <x v="3"/>
    <x v="12"/>
    <x v="19"/>
    <x v="1"/>
    <x v="19"/>
    <n v="1"/>
  </r>
  <r>
    <x v="0"/>
    <x v="0"/>
    <x v="3"/>
    <x v="12"/>
    <x v="19"/>
    <x v="0"/>
    <x v="19"/>
    <n v="16"/>
  </r>
  <r>
    <x v="0"/>
    <x v="0"/>
    <x v="3"/>
    <x v="13"/>
    <x v="15"/>
    <x v="6"/>
    <x v="10"/>
    <n v="1"/>
  </r>
  <r>
    <x v="0"/>
    <x v="0"/>
    <x v="3"/>
    <x v="13"/>
    <x v="15"/>
    <x v="6"/>
    <x v="12"/>
    <n v="3"/>
  </r>
  <r>
    <x v="0"/>
    <x v="0"/>
    <x v="3"/>
    <x v="13"/>
    <x v="15"/>
    <x v="6"/>
    <x v="9"/>
    <n v="2"/>
  </r>
  <r>
    <x v="0"/>
    <x v="0"/>
    <x v="3"/>
    <x v="13"/>
    <x v="15"/>
    <x v="7"/>
    <x v="1"/>
    <n v="2"/>
  </r>
  <r>
    <x v="0"/>
    <x v="0"/>
    <x v="3"/>
    <x v="13"/>
    <x v="15"/>
    <x v="8"/>
    <x v="1"/>
    <n v="1"/>
  </r>
  <r>
    <x v="0"/>
    <x v="0"/>
    <x v="3"/>
    <x v="13"/>
    <x v="7"/>
    <x v="5"/>
    <x v="12"/>
    <n v="1"/>
  </r>
  <r>
    <x v="0"/>
    <x v="0"/>
    <x v="3"/>
    <x v="13"/>
    <x v="7"/>
    <x v="5"/>
    <x v="9"/>
    <n v="1"/>
  </r>
  <r>
    <x v="0"/>
    <x v="0"/>
    <x v="3"/>
    <x v="13"/>
    <x v="7"/>
    <x v="11"/>
    <x v="12"/>
    <n v="2"/>
  </r>
  <r>
    <x v="0"/>
    <x v="0"/>
    <x v="3"/>
    <x v="13"/>
    <x v="7"/>
    <x v="7"/>
    <x v="10"/>
    <n v="1"/>
  </r>
  <r>
    <x v="0"/>
    <x v="0"/>
    <x v="3"/>
    <x v="13"/>
    <x v="7"/>
    <x v="7"/>
    <x v="1"/>
    <n v="1"/>
  </r>
  <r>
    <x v="0"/>
    <x v="0"/>
    <x v="3"/>
    <x v="13"/>
    <x v="10"/>
    <x v="0"/>
    <x v="19"/>
    <n v="16"/>
  </r>
  <r>
    <x v="0"/>
    <x v="0"/>
    <x v="3"/>
    <x v="14"/>
    <x v="12"/>
    <x v="0"/>
    <x v="5"/>
    <n v="1"/>
  </r>
  <r>
    <x v="0"/>
    <x v="0"/>
    <x v="3"/>
    <x v="14"/>
    <x v="8"/>
    <x v="0"/>
    <x v="19"/>
    <n v="1"/>
  </r>
  <r>
    <x v="0"/>
    <x v="0"/>
    <x v="3"/>
    <x v="14"/>
    <x v="3"/>
    <x v="0"/>
    <x v="19"/>
    <n v="6"/>
  </r>
  <r>
    <x v="0"/>
    <x v="0"/>
    <x v="3"/>
    <x v="14"/>
    <x v="9"/>
    <x v="0"/>
    <x v="11"/>
    <n v="1"/>
  </r>
  <r>
    <x v="0"/>
    <x v="0"/>
    <x v="3"/>
    <x v="14"/>
    <x v="9"/>
    <x v="0"/>
    <x v="19"/>
    <n v="1"/>
  </r>
  <r>
    <x v="0"/>
    <x v="0"/>
    <x v="3"/>
    <x v="14"/>
    <x v="11"/>
    <x v="0"/>
    <x v="12"/>
    <n v="4"/>
  </r>
  <r>
    <x v="0"/>
    <x v="0"/>
    <x v="3"/>
    <x v="14"/>
    <x v="17"/>
    <x v="0"/>
    <x v="17"/>
    <n v="2"/>
  </r>
  <r>
    <x v="0"/>
    <x v="0"/>
    <x v="3"/>
    <x v="18"/>
    <x v="2"/>
    <x v="0"/>
    <x v="5"/>
    <n v="3"/>
  </r>
  <r>
    <x v="0"/>
    <x v="0"/>
    <x v="3"/>
    <x v="18"/>
    <x v="2"/>
    <x v="0"/>
    <x v="0"/>
    <n v="3"/>
  </r>
  <r>
    <x v="0"/>
    <x v="0"/>
    <x v="3"/>
    <x v="18"/>
    <x v="5"/>
    <x v="0"/>
    <x v="1"/>
    <n v="5"/>
  </r>
  <r>
    <x v="0"/>
    <x v="0"/>
    <x v="3"/>
    <x v="18"/>
    <x v="13"/>
    <x v="0"/>
    <x v="0"/>
    <n v="1"/>
  </r>
  <r>
    <x v="0"/>
    <x v="0"/>
    <x v="3"/>
    <x v="18"/>
    <x v="3"/>
    <x v="2"/>
    <x v="1"/>
    <n v="1"/>
  </r>
  <r>
    <x v="0"/>
    <x v="0"/>
    <x v="3"/>
    <x v="18"/>
    <x v="3"/>
    <x v="10"/>
    <x v="10"/>
    <n v="2"/>
  </r>
  <r>
    <x v="0"/>
    <x v="0"/>
    <x v="3"/>
    <x v="18"/>
    <x v="3"/>
    <x v="3"/>
    <x v="6"/>
    <n v="3"/>
  </r>
  <r>
    <x v="0"/>
    <x v="0"/>
    <x v="3"/>
    <x v="18"/>
    <x v="3"/>
    <x v="3"/>
    <x v="10"/>
    <n v="2"/>
  </r>
  <r>
    <x v="0"/>
    <x v="0"/>
    <x v="3"/>
    <x v="18"/>
    <x v="3"/>
    <x v="4"/>
    <x v="7"/>
    <n v="96"/>
  </r>
  <r>
    <x v="0"/>
    <x v="0"/>
    <x v="3"/>
    <x v="18"/>
    <x v="3"/>
    <x v="4"/>
    <x v="6"/>
    <n v="9"/>
  </r>
  <r>
    <x v="0"/>
    <x v="0"/>
    <x v="3"/>
    <x v="18"/>
    <x v="3"/>
    <x v="4"/>
    <x v="12"/>
    <n v="1"/>
  </r>
  <r>
    <x v="0"/>
    <x v="0"/>
    <x v="3"/>
    <x v="18"/>
    <x v="3"/>
    <x v="5"/>
    <x v="7"/>
    <n v="52"/>
  </r>
  <r>
    <x v="0"/>
    <x v="0"/>
    <x v="3"/>
    <x v="18"/>
    <x v="3"/>
    <x v="5"/>
    <x v="6"/>
    <n v="5"/>
  </r>
  <r>
    <x v="0"/>
    <x v="0"/>
    <x v="3"/>
    <x v="18"/>
    <x v="3"/>
    <x v="11"/>
    <x v="7"/>
    <n v="4"/>
  </r>
  <r>
    <x v="0"/>
    <x v="0"/>
    <x v="3"/>
    <x v="18"/>
    <x v="3"/>
    <x v="6"/>
    <x v="7"/>
    <n v="1"/>
  </r>
  <r>
    <x v="0"/>
    <x v="0"/>
    <x v="3"/>
    <x v="18"/>
    <x v="3"/>
    <x v="7"/>
    <x v="6"/>
    <n v="2"/>
  </r>
  <r>
    <x v="0"/>
    <x v="0"/>
    <x v="3"/>
    <x v="18"/>
    <x v="3"/>
    <x v="7"/>
    <x v="10"/>
    <n v="2"/>
  </r>
  <r>
    <x v="0"/>
    <x v="0"/>
    <x v="3"/>
    <x v="18"/>
    <x v="3"/>
    <x v="8"/>
    <x v="10"/>
    <n v="1"/>
  </r>
  <r>
    <x v="0"/>
    <x v="0"/>
    <x v="3"/>
    <x v="18"/>
    <x v="6"/>
    <x v="0"/>
    <x v="11"/>
    <n v="1"/>
  </r>
  <r>
    <x v="0"/>
    <x v="0"/>
    <x v="3"/>
    <x v="18"/>
    <x v="9"/>
    <x v="0"/>
    <x v="11"/>
    <n v="1"/>
  </r>
  <r>
    <x v="0"/>
    <x v="0"/>
    <x v="3"/>
    <x v="18"/>
    <x v="9"/>
    <x v="0"/>
    <x v="17"/>
    <n v="1"/>
  </r>
  <r>
    <x v="0"/>
    <x v="0"/>
    <x v="3"/>
    <x v="18"/>
    <x v="17"/>
    <x v="0"/>
    <x v="4"/>
    <n v="1"/>
  </r>
  <r>
    <x v="0"/>
    <x v="0"/>
    <x v="3"/>
    <x v="18"/>
    <x v="17"/>
    <x v="0"/>
    <x v="2"/>
    <n v="1"/>
  </r>
  <r>
    <x v="0"/>
    <x v="0"/>
    <x v="3"/>
    <x v="18"/>
    <x v="17"/>
    <x v="0"/>
    <x v="14"/>
    <n v="1"/>
  </r>
  <r>
    <x v="0"/>
    <x v="0"/>
    <x v="3"/>
    <x v="18"/>
    <x v="19"/>
    <x v="0"/>
    <x v="3"/>
    <n v="1"/>
  </r>
  <r>
    <x v="0"/>
    <x v="0"/>
    <x v="3"/>
    <x v="18"/>
    <x v="19"/>
    <x v="0"/>
    <x v="4"/>
    <n v="3"/>
  </r>
  <r>
    <x v="0"/>
    <x v="0"/>
    <x v="3"/>
    <x v="18"/>
    <x v="19"/>
    <x v="0"/>
    <x v="5"/>
    <n v="1"/>
  </r>
  <r>
    <x v="0"/>
    <x v="0"/>
    <x v="3"/>
    <x v="15"/>
    <x v="1"/>
    <x v="12"/>
    <x v="10"/>
    <n v="1"/>
  </r>
  <r>
    <x v="0"/>
    <x v="0"/>
    <x v="3"/>
    <x v="15"/>
    <x v="9"/>
    <x v="0"/>
    <x v="12"/>
    <n v="5"/>
  </r>
  <r>
    <x v="0"/>
    <x v="0"/>
    <x v="3"/>
    <x v="15"/>
    <x v="9"/>
    <x v="0"/>
    <x v="9"/>
    <n v="8"/>
  </r>
  <r>
    <x v="0"/>
    <x v="0"/>
    <x v="3"/>
    <x v="15"/>
    <x v="9"/>
    <x v="0"/>
    <x v="3"/>
    <n v="6"/>
  </r>
  <r>
    <x v="0"/>
    <x v="0"/>
    <x v="3"/>
    <x v="15"/>
    <x v="9"/>
    <x v="0"/>
    <x v="4"/>
    <n v="7"/>
  </r>
  <r>
    <x v="0"/>
    <x v="0"/>
    <x v="3"/>
    <x v="15"/>
    <x v="9"/>
    <x v="0"/>
    <x v="5"/>
    <n v="12"/>
  </r>
  <r>
    <x v="0"/>
    <x v="0"/>
    <x v="3"/>
    <x v="15"/>
    <x v="18"/>
    <x v="7"/>
    <x v="12"/>
    <n v="1"/>
  </r>
  <r>
    <x v="0"/>
    <x v="0"/>
    <x v="3"/>
    <x v="15"/>
    <x v="18"/>
    <x v="0"/>
    <x v="1"/>
    <n v="1"/>
  </r>
  <r>
    <x v="0"/>
    <x v="0"/>
    <x v="3"/>
    <x v="15"/>
    <x v="18"/>
    <x v="0"/>
    <x v="3"/>
    <n v="1"/>
  </r>
  <r>
    <x v="0"/>
    <x v="0"/>
    <x v="3"/>
    <x v="15"/>
    <x v="18"/>
    <x v="0"/>
    <x v="4"/>
    <n v="1"/>
  </r>
  <r>
    <x v="0"/>
    <x v="0"/>
    <x v="3"/>
    <x v="15"/>
    <x v="18"/>
    <x v="0"/>
    <x v="13"/>
    <n v="1"/>
  </r>
  <r>
    <x v="0"/>
    <x v="0"/>
    <x v="3"/>
    <x v="16"/>
    <x v="12"/>
    <x v="0"/>
    <x v="3"/>
    <n v="1"/>
  </r>
  <r>
    <x v="0"/>
    <x v="0"/>
    <x v="3"/>
    <x v="16"/>
    <x v="12"/>
    <x v="0"/>
    <x v="4"/>
    <n v="1"/>
  </r>
  <r>
    <x v="0"/>
    <x v="0"/>
    <x v="3"/>
    <x v="16"/>
    <x v="2"/>
    <x v="0"/>
    <x v="0"/>
    <n v="1"/>
  </r>
  <r>
    <x v="0"/>
    <x v="0"/>
    <x v="3"/>
    <x v="16"/>
    <x v="1"/>
    <x v="2"/>
    <x v="18"/>
    <n v="3"/>
  </r>
  <r>
    <x v="0"/>
    <x v="0"/>
    <x v="3"/>
    <x v="16"/>
    <x v="1"/>
    <x v="10"/>
    <x v="18"/>
    <n v="3"/>
  </r>
  <r>
    <x v="0"/>
    <x v="0"/>
    <x v="3"/>
    <x v="16"/>
    <x v="1"/>
    <x v="3"/>
    <x v="12"/>
    <n v="1"/>
  </r>
  <r>
    <x v="0"/>
    <x v="0"/>
    <x v="3"/>
    <x v="16"/>
    <x v="1"/>
    <x v="3"/>
    <x v="3"/>
    <n v="2"/>
  </r>
  <r>
    <x v="0"/>
    <x v="0"/>
    <x v="3"/>
    <x v="16"/>
    <x v="1"/>
    <x v="3"/>
    <x v="4"/>
    <n v="1"/>
  </r>
  <r>
    <x v="0"/>
    <x v="0"/>
    <x v="3"/>
    <x v="16"/>
    <x v="1"/>
    <x v="4"/>
    <x v="12"/>
    <n v="2"/>
  </r>
  <r>
    <x v="0"/>
    <x v="0"/>
    <x v="3"/>
    <x v="16"/>
    <x v="1"/>
    <x v="4"/>
    <x v="3"/>
    <n v="1"/>
  </r>
  <r>
    <x v="0"/>
    <x v="0"/>
    <x v="3"/>
    <x v="16"/>
    <x v="1"/>
    <x v="5"/>
    <x v="0"/>
    <n v="2"/>
  </r>
  <r>
    <x v="0"/>
    <x v="0"/>
    <x v="3"/>
    <x v="16"/>
    <x v="1"/>
    <x v="8"/>
    <x v="3"/>
    <n v="1"/>
  </r>
  <r>
    <x v="0"/>
    <x v="0"/>
    <x v="3"/>
    <x v="16"/>
    <x v="5"/>
    <x v="0"/>
    <x v="19"/>
    <n v="2"/>
  </r>
  <r>
    <x v="0"/>
    <x v="0"/>
    <x v="3"/>
    <x v="16"/>
    <x v="8"/>
    <x v="0"/>
    <x v="19"/>
    <n v="4"/>
  </r>
  <r>
    <x v="0"/>
    <x v="0"/>
    <x v="3"/>
    <x v="16"/>
    <x v="7"/>
    <x v="0"/>
    <x v="11"/>
    <n v="1"/>
  </r>
  <r>
    <x v="0"/>
    <x v="0"/>
    <x v="0"/>
    <x v="19"/>
    <x v="7"/>
    <x v="15"/>
    <x v="12"/>
    <n v="49"/>
  </r>
  <r>
    <x v="0"/>
    <x v="0"/>
    <x v="0"/>
    <x v="19"/>
    <x v="7"/>
    <x v="15"/>
    <x v="9"/>
    <n v="58"/>
  </r>
  <r>
    <x v="0"/>
    <x v="0"/>
    <x v="0"/>
    <x v="19"/>
    <x v="7"/>
    <x v="15"/>
    <x v="3"/>
    <n v="43"/>
  </r>
  <r>
    <x v="0"/>
    <x v="0"/>
    <x v="0"/>
    <x v="19"/>
    <x v="7"/>
    <x v="15"/>
    <x v="4"/>
    <n v="30"/>
  </r>
  <r>
    <x v="0"/>
    <x v="0"/>
    <x v="0"/>
    <x v="19"/>
    <x v="7"/>
    <x v="15"/>
    <x v="5"/>
    <n v="7"/>
  </r>
  <r>
    <x v="0"/>
    <x v="0"/>
    <x v="0"/>
    <x v="19"/>
    <x v="7"/>
    <x v="14"/>
    <x v="15"/>
    <n v="1544"/>
  </r>
  <r>
    <x v="0"/>
    <x v="0"/>
    <x v="0"/>
    <x v="19"/>
    <x v="7"/>
    <x v="14"/>
    <x v="12"/>
    <n v="53"/>
  </r>
  <r>
    <x v="0"/>
    <x v="0"/>
    <x v="0"/>
    <x v="19"/>
    <x v="7"/>
    <x v="14"/>
    <x v="9"/>
    <n v="42"/>
  </r>
  <r>
    <x v="0"/>
    <x v="0"/>
    <x v="0"/>
    <x v="19"/>
    <x v="7"/>
    <x v="14"/>
    <x v="3"/>
    <n v="41"/>
  </r>
  <r>
    <x v="0"/>
    <x v="0"/>
    <x v="0"/>
    <x v="19"/>
    <x v="7"/>
    <x v="13"/>
    <x v="1"/>
    <n v="59"/>
  </r>
  <r>
    <x v="0"/>
    <x v="0"/>
    <x v="0"/>
    <x v="19"/>
    <x v="7"/>
    <x v="13"/>
    <x v="12"/>
    <n v="41"/>
  </r>
  <r>
    <x v="0"/>
    <x v="0"/>
    <x v="0"/>
    <x v="19"/>
    <x v="7"/>
    <x v="2"/>
    <x v="16"/>
    <n v="2824"/>
  </r>
  <r>
    <x v="0"/>
    <x v="0"/>
    <x v="0"/>
    <x v="19"/>
    <x v="7"/>
    <x v="2"/>
    <x v="6"/>
    <n v="301"/>
  </r>
  <r>
    <x v="0"/>
    <x v="0"/>
    <x v="0"/>
    <x v="19"/>
    <x v="7"/>
    <x v="2"/>
    <x v="10"/>
    <n v="71"/>
  </r>
  <r>
    <x v="0"/>
    <x v="0"/>
    <x v="0"/>
    <x v="19"/>
    <x v="7"/>
    <x v="2"/>
    <x v="1"/>
    <n v="44"/>
  </r>
  <r>
    <x v="0"/>
    <x v="0"/>
    <x v="0"/>
    <x v="19"/>
    <x v="7"/>
    <x v="10"/>
    <x v="16"/>
    <n v="260"/>
  </r>
  <r>
    <x v="0"/>
    <x v="0"/>
    <x v="0"/>
    <x v="19"/>
    <x v="7"/>
    <x v="10"/>
    <x v="7"/>
    <n v="434"/>
  </r>
  <r>
    <x v="0"/>
    <x v="0"/>
    <x v="0"/>
    <x v="19"/>
    <x v="7"/>
    <x v="10"/>
    <x v="6"/>
    <n v="266"/>
  </r>
  <r>
    <x v="0"/>
    <x v="0"/>
    <x v="0"/>
    <x v="19"/>
    <x v="7"/>
    <x v="10"/>
    <x v="10"/>
    <n v="81"/>
  </r>
  <r>
    <x v="0"/>
    <x v="0"/>
    <x v="0"/>
    <x v="19"/>
    <x v="7"/>
    <x v="3"/>
    <x v="7"/>
    <n v="315"/>
  </r>
  <r>
    <x v="0"/>
    <x v="0"/>
    <x v="0"/>
    <x v="19"/>
    <x v="7"/>
    <x v="3"/>
    <x v="6"/>
    <n v="231"/>
  </r>
  <r>
    <x v="0"/>
    <x v="0"/>
    <x v="0"/>
    <x v="19"/>
    <x v="7"/>
    <x v="3"/>
    <x v="10"/>
    <n v="70"/>
  </r>
  <r>
    <x v="0"/>
    <x v="0"/>
    <x v="0"/>
    <x v="19"/>
    <x v="7"/>
    <x v="4"/>
    <x v="7"/>
    <n v="202"/>
  </r>
  <r>
    <x v="0"/>
    <x v="0"/>
    <x v="0"/>
    <x v="19"/>
    <x v="7"/>
    <x v="4"/>
    <x v="6"/>
    <n v="145"/>
  </r>
  <r>
    <x v="0"/>
    <x v="0"/>
    <x v="0"/>
    <x v="19"/>
    <x v="7"/>
    <x v="5"/>
    <x v="7"/>
    <n v="156"/>
  </r>
  <r>
    <x v="0"/>
    <x v="0"/>
    <x v="0"/>
    <x v="19"/>
    <x v="7"/>
    <x v="5"/>
    <x v="6"/>
    <n v="115"/>
  </r>
  <r>
    <x v="0"/>
    <x v="0"/>
    <x v="0"/>
    <x v="19"/>
    <x v="7"/>
    <x v="11"/>
    <x v="8"/>
    <n v="209"/>
  </r>
  <r>
    <x v="0"/>
    <x v="0"/>
    <x v="0"/>
    <x v="19"/>
    <x v="7"/>
    <x v="11"/>
    <x v="7"/>
    <n v="95"/>
  </r>
  <r>
    <x v="0"/>
    <x v="0"/>
    <x v="0"/>
    <x v="19"/>
    <x v="7"/>
    <x v="6"/>
    <x v="8"/>
    <n v="88"/>
  </r>
  <r>
    <x v="0"/>
    <x v="0"/>
    <x v="0"/>
    <x v="19"/>
    <x v="7"/>
    <x v="6"/>
    <x v="7"/>
    <n v="43"/>
  </r>
  <r>
    <x v="0"/>
    <x v="0"/>
    <x v="0"/>
    <x v="19"/>
    <x v="7"/>
    <x v="6"/>
    <x v="11"/>
    <n v="1"/>
  </r>
  <r>
    <x v="0"/>
    <x v="0"/>
    <x v="0"/>
    <x v="19"/>
    <x v="7"/>
    <x v="9"/>
    <x v="8"/>
    <n v="9"/>
  </r>
  <r>
    <x v="0"/>
    <x v="0"/>
    <x v="0"/>
    <x v="19"/>
    <x v="7"/>
    <x v="12"/>
    <x v="8"/>
    <n v="1"/>
  </r>
  <r>
    <x v="0"/>
    <x v="0"/>
    <x v="0"/>
    <x v="19"/>
    <x v="7"/>
    <x v="12"/>
    <x v="2"/>
    <n v="2"/>
  </r>
  <r>
    <x v="0"/>
    <x v="0"/>
    <x v="0"/>
    <x v="19"/>
    <x v="7"/>
    <x v="7"/>
    <x v="6"/>
    <n v="1"/>
  </r>
  <r>
    <x v="0"/>
    <x v="0"/>
    <x v="0"/>
    <x v="19"/>
    <x v="7"/>
    <x v="7"/>
    <x v="10"/>
    <n v="11"/>
  </r>
  <r>
    <x v="0"/>
    <x v="0"/>
    <x v="0"/>
    <x v="19"/>
    <x v="7"/>
    <x v="7"/>
    <x v="1"/>
    <n v="9"/>
  </r>
  <r>
    <x v="0"/>
    <x v="0"/>
    <x v="0"/>
    <x v="19"/>
    <x v="7"/>
    <x v="1"/>
    <x v="4"/>
    <n v="1"/>
  </r>
  <r>
    <x v="0"/>
    <x v="0"/>
    <x v="0"/>
    <x v="19"/>
    <x v="7"/>
    <x v="0"/>
    <x v="3"/>
    <n v="1"/>
  </r>
  <r>
    <x v="0"/>
    <x v="0"/>
    <x v="0"/>
    <x v="19"/>
    <x v="10"/>
    <x v="4"/>
    <x v="8"/>
    <n v="14"/>
  </r>
  <r>
    <x v="0"/>
    <x v="0"/>
    <x v="0"/>
    <x v="19"/>
    <x v="10"/>
    <x v="4"/>
    <x v="7"/>
    <n v="1"/>
  </r>
  <r>
    <x v="0"/>
    <x v="0"/>
    <x v="0"/>
    <x v="19"/>
    <x v="10"/>
    <x v="5"/>
    <x v="8"/>
    <n v="207"/>
  </r>
  <r>
    <x v="0"/>
    <x v="0"/>
    <x v="0"/>
    <x v="19"/>
    <x v="10"/>
    <x v="5"/>
    <x v="2"/>
    <n v="1"/>
  </r>
  <r>
    <x v="0"/>
    <x v="0"/>
    <x v="0"/>
    <x v="19"/>
    <x v="10"/>
    <x v="11"/>
    <x v="8"/>
    <n v="267"/>
  </r>
  <r>
    <x v="0"/>
    <x v="0"/>
    <x v="0"/>
    <x v="19"/>
    <x v="10"/>
    <x v="11"/>
    <x v="5"/>
    <n v="1"/>
  </r>
  <r>
    <x v="0"/>
    <x v="0"/>
    <x v="0"/>
    <x v="19"/>
    <x v="10"/>
    <x v="6"/>
    <x v="8"/>
    <n v="207"/>
  </r>
  <r>
    <x v="0"/>
    <x v="0"/>
    <x v="0"/>
    <x v="19"/>
    <x v="10"/>
    <x v="6"/>
    <x v="4"/>
    <n v="2"/>
  </r>
  <r>
    <x v="0"/>
    <x v="0"/>
    <x v="0"/>
    <x v="19"/>
    <x v="10"/>
    <x v="6"/>
    <x v="5"/>
    <n v="2"/>
  </r>
  <r>
    <x v="0"/>
    <x v="0"/>
    <x v="0"/>
    <x v="19"/>
    <x v="10"/>
    <x v="6"/>
    <x v="2"/>
    <n v="3"/>
  </r>
  <r>
    <x v="0"/>
    <x v="0"/>
    <x v="0"/>
    <x v="19"/>
    <x v="10"/>
    <x v="9"/>
    <x v="8"/>
    <n v="67"/>
  </r>
  <r>
    <x v="0"/>
    <x v="0"/>
    <x v="0"/>
    <x v="19"/>
    <x v="10"/>
    <x v="9"/>
    <x v="3"/>
    <n v="2"/>
  </r>
  <r>
    <x v="0"/>
    <x v="0"/>
    <x v="0"/>
    <x v="19"/>
    <x v="10"/>
    <x v="9"/>
    <x v="4"/>
    <n v="3"/>
  </r>
  <r>
    <x v="0"/>
    <x v="0"/>
    <x v="0"/>
    <x v="19"/>
    <x v="10"/>
    <x v="9"/>
    <x v="5"/>
    <n v="1"/>
  </r>
  <r>
    <x v="0"/>
    <x v="0"/>
    <x v="0"/>
    <x v="19"/>
    <x v="10"/>
    <x v="12"/>
    <x v="9"/>
    <n v="4"/>
  </r>
  <r>
    <x v="0"/>
    <x v="0"/>
    <x v="0"/>
    <x v="19"/>
    <x v="10"/>
    <x v="12"/>
    <x v="3"/>
    <n v="2"/>
  </r>
  <r>
    <x v="0"/>
    <x v="0"/>
    <x v="0"/>
    <x v="19"/>
    <x v="10"/>
    <x v="7"/>
    <x v="7"/>
    <n v="129"/>
  </r>
  <r>
    <x v="0"/>
    <x v="0"/>
    <x v="0"/>
    <x v="19"/>
    <x v="10"/>
    <x v="7"/>
    <x v="6"/>
    <n v="60"/>
  </r>
  <r>
    <x v="0"/>
    <x v="0"/>
    <x v="0"/>
    <x v="19"/>
    <x v="10"/>
    <x v="1"/>
    <x v="12"/>
    <n v="8"/>
  </r>
  <r>
    <x v="0"/>
    <x v="0"/>
    <x v="0"/>
    <x v="19"/>
    <x v="10"/>
    <x v="1"/>
    <x v="9"/>
    <n v="6"/>
  </r>
  <r>
    <x v="0"/>
    <x v="0"/>
    <x v="0"/>
    <x v="19"/>
    <x v="10"/>
    <x v="1"/>
    <x v="3"/>
    <n v="6"/>
  </r>
  <r>
    <x v="0"/>
    <x v="0"/>
    <x v="0"/>
    <x v="19"/>
    <x v="10"/>
    <x v="8"/>
    <x v="6"/>
    <n v="138"/>
  </r>
  <r>
    <x v="0"/>
    <x v="0"/>
    <x v="0"/>
    <x v="19"/>
    <x v="10"/>
    <x v="0"/>
    <x v="12"/>
    <n v="19"/>
  </r>
  <r>
    <x v="0"/>
    <x v="0"/>
    <x v="0"/>
    <x v="19"/>
    <x v="10"/>
    <x v="0"/>
    <x v="9"/>
    <n v="24"/>
  </r>
  <r>
    <x v="0"/>
    <x v="0"/>
    <x v="1"/>
    <x v="0"/>
    <x v="2"/>
    <x v="0"/>
    <x v="17"/>
    <n v="1"/>
  </r>
  <r>
    <x v="0"/>
    <x v="0"/>
    <x v="1"/>
    <x v="0"/>
    <x v="1"/>
    <x v="1"/>
    <x v="9"/>
    <n v="2"/>
  </r>
  <r>
    <x v="0"/>
    <x v="0"/>
    <x v="1"/>
    <x v="0"/>
    <x v="1"/>
    <x v="1"/>
    <x v="3"/>
    <n v="1"/>
  </r>
  <r>
    <x v="0"/>
    <x v="0"/>
    <x v="1"/>
    <x v="1"/>
    <x v="2"/>
    <x v="3"/>
    <x v="11"/>
    <n v="1"/>
  </r>
  <r>
    <x v="0"/>
    <x v="0"/>
    <x v="1"/>
    <x v="1"/>
    <x v="2"/>
    <x v="6"/>
    <x v="13"/>
    <n v="1"/>
  </r>
  <r>
    <x v="0"/>
    <x v="0"/>
    <x v="1"/>
    <x v="1"/>
    <x v="1"/>
    <x v="9"/>
    <x v="1"/>
    <n v="1"/>
  </r>
  <r>
    <x v="0"/>
    <x v="0"/>
    <x v="1"/>
    <x v="1"/>
    <x v="3"/>
    <x v="19"/>
    <x v="13"/>
    <n v="1"/>
  </r>
  <r>
    <x v="0"/>
    <x v="0"/>
    <x v="1"/>
    <x v="1"/>
    <x v="3"/>
    <x v="16"/>
    <x v="12"/>
    <n v="1"/>
  </r>
  <r>
    <x v="0"/>
    <x v="0"/>
    <x v="1"/>
    <x v="1"/>
    <x v="3"/>
    <x v="16"/>
    <x v="9"/>
    <n v="1"/>
  </r>
  <r>
    <x v="0"/>
    <x v="0"/>
    <x v="1"/>
    <x v="1"/>
    <x v="3"/>
    <x v="16"/>
    <x v="2"/>
    <n v="1"/>
  </r>
  <r>
    <x v="0"/>
    <x v="0"/>
    <x v="1"/>
    <x v="1"/>
    <x v="3"/>
    <x v="15"/>
    <x v="12"/>
    <n v="6"/>
  </r>
  <r>
    <x v="0"/>
    <x v="0"/>
    <x v="1"/>
    <x v="1"/>
    <x v="3"/>
    <x v="15"/>
    <x v="9"/>
    <n v="3"/>
  </r>
  <r>
    <x v="0"/>
    <x v="0"/>
    <x v="1"/>
    <x v="1"/>
    <x v="3"/>
    <x v="15"/>
    <x v="3"/>
    <n v="2"/>
  </r>
  <r>
    <x v="0"/>
    <x v="0"/>
    <x v="1"/>
    <x v="1"/>
    <x v="3"/>
    <x v="15"/>
    <x v="4"/>
    <n v="2"/>
  </r>
  <r>
    <x v="0"/>
    <x v="0"/>
    <x v="1"/>
    <x v="1"/>
    <x v="3"/>
    <x v="14"/>
    <x v="1"/>
    <n v="12"/>
  </r>
  <r>
    <x v="0"/>
    <x v="0"/>
    <x v="1"/>
    <x v="1"/>
    <x v="3"/>
    <x v="14"/>
    <x v="12"/>
    <n v="7"/>
  </r>
  <r>
    <x v="0"/>
    <x v="0"/>
    <x v="1"/>
    <x v="1"/>
    <x v="3"/>
    <x v="14"/>
    <x v="9"/>
    <n v="1"/>
  </r>
  <r>
    <x v="0"/>
    <x v="0"/>
    <x v="1"/>
    <x v="1"/>
    <x v="3"/>
    <x v="13"/>
    <x v="10"/>
    <n v="11"/>
  </r>
  <r>
    <x v="0"/>
    <x v="0"/>
    <x v="1"/>
    <x v="1"/>
    <x v="3"/>
    <x v="13"/>
    <x v="1"/>
    <n v="9"/>
  </r>
  <r>
    <x v="0"/>
    <x v="0"/>
    <x v="1"/>
    <x v="1"/>
    <x v="3"/>
    <x v="2"/>
    <x v="6"/>
    <n v="1"/>
  </r>
  <r>
    <x v="0"/>
    <x v="0"/>
    <x v="1"/>
    <x v="1"/>
    <x v="3"/>
    <x v="2"/>
    <x v="10"/>
    <n v="7"/>
  </r>
  <r>
    <x v="0"/>
    <x v="0"/>
    <x v="1"/>
    <x v="1"/>
    <x v="3"/>
    <x v="10"/>
    <x v="10"/>
    <n v="2"/>
  </r>
  <r>
    <x v="0"/>
    <x v="0"/>
    <x v="1"/>
    <x v="2"/>
    <x v="7"/>
    <x v="3"/>
    <x v="5"/>
    <n v="1"/>
  </r>
  <r>
    <x v="0"/>
    <x v="0"/>
    <x v="1"/>
    <x v="2"/>
    <x v="7"/>
    <x v="5"/>
    <x v="3"/>
    <n v="1"/>
  </r>
  <r>
    <x v="0"/>
    <x v="0"/>
    <x v="1"/>
    <x v="2"/>
    <x v="7"/>
    <x v="5"/>
    <x v="2"/>
    <n v="1"/>
  </r>
  <r>
    <x v="0"/>
    <x v="0"/>
    <x v="1"/>
    <x v="2"/>
    <x v="7"/>
    <x v="11"/>
    <x v="9"/>
    <n v="1"/>
  </r>
  <r>
    <x v="0"/>
    <x v="0"/>
    <x v="1"/>
    <x v="2"/>
    <x v="7"/>
    <x v="11"/>
    <x v="3"/>
    <n v="1"/>
  </r>
  <r>
    <x v="0"/>
    <x v="0"/>
    <x v="1"/>
    <x v="2"/>
    <x v="7"/>
    <x v="6"/>
    <x v="12"/>
    <n v="1"/>
  </r>
  <r>
    <x v="0"/>
    <x v="0"/>
    <x v="1"/>
    <x v="2"/>
    <x v="7"/>
    <x v="6"/>
    <x v="4"/>
    <n v="1"/>
  </r>
  <r>
    <x v="0"/>
    <x v="0"/>
    <x v="1"/>
    <x v="2"/>
    <x v="7"/>
    <x v="6"/>
    <x v="13"/>
    <n v="1"/>
  </r>
  <r>
    <x v="0"/>
    <x v="0"/>
    <x v="1"/>
    <x v="2"/>
    <x v="7"/>
    <x v="9"/>
    <x v="9"/>
    <n v="2"/>
  </r>
  <r>
    <x v="0"/>
    <x v="0"/>
    <x v="1"/>
    <x v="2"/>
    <x v="7"/>
    <x v="9"/>
    <x v="3"/>
    <n v="1"/>
  </r>
  <r>
    <x v="0"/>
    <x v="0"/>
    <x v="1"/>
    <x v="2"/>
    <x v="7"/>
    <x v="12"/>
    <x v="9"/>
    <n v="1"/>
  </r>
  <r>
    <x v="0"/>
    <x v="0"/>
    <x v="1"/>
    <x v="2"/>
    <x v="7"/>
    <x v="1"/>
    <x v="12"/>
    <n v="1"/>
  </r>
  <r>
    <x v="0"/>
    <x v="0"/>
    <x v="1"/>
    <x v="2"/>
    <x v="7"/>
    <x v="1"/>
    <x v="9"/>
    <n v="1"/>
  </r>
  <r>
    <x v="0"/>
    <x v="0"/>
    <x v="1"/>
    <x v="2"/>
    <x v="7"/>
    <x v="0"/>
    <x v="9"/>
    <n v="1"/>
  </r>
  <r>
    <x v="0"/>
    <x v="0"/>
    <x v="1"/>
    <x v="2"/>
    <x v="6"/>
    <x v="11"/>
    <x v="12"/>
    <n v="1"/>
  </r>
  <r>
    <x v="0"/>
    <x v="0"/>
    <x v="1"/>
    <x v="2"/>
    <x v="6"/>
    <x v="11"/>
    <x v="9"/>
    <n v="1"/>
  </r>
  <r>
    <x v="0"/>
    <x v="0"/>
    <x v="1"/>
    <x v="2"/>
    <x v="6"/>
    <x v="6"/>
    <x v="12"/>
    <n v="4"/>
  </r>
  <r>
    <x v="0"/>
    <x v="0"/>
    <x v="1"/>
    <x v="2"/>
    <x v="6"/>
    <x v="6"/>
    <x v="9"/>
    <n v="1"/>
  </r>
  <r>
    <x v="0"/>
    <x v="0"/>
    <x v="1"/>
    <x v="2"/>
    <x v="6"/>
    <x v="12"/>
    <x v="12"/>
    <n v="2"/>
  </r>
  <r>
    <x v="0"/>
    <x v="0"/>
    <x v="1"/>
    <x v="3"/>
    <x v="5"/>
    <x v="5"/>
    <x v="13"/>
    <n v="1"/>
  </r>
  <r>
    <x v="0"/>
    <x v="0"/>
    <x v="1"/>
    <x v="3"/>
    <x v="5"/>
    <x v="11"/>
    <x v="2"/>
    <n v="1"/>
  </r>
  <r>
    <x v="0"/>
    <x v="0"/>
    <x v="1"/>
    <x v="3"/>
    <x v="5"/>
    <x v="6"/>
    <x v="5"/>
    <n v="1"/>
  </r>
  <r>
    <x v="0"/>
    <x v="0"/>
    <x v="1"/>
    <x v="3"/>
    <x v="5"/>
    <x v="6"/>
    <x v="13"/>
    <n v="1"/>
  </r>
  <r>
    <x v="0"/>
    <x v="0"/>
    <x v="1"/>
    <x v="3"/>
    <x v="5"/>
    <x v="6"/>
    <x v="11"/>
    <n v="1"/>
  </r>
  <r>
    <x v="0"/>
    <x v="0"/>
    <x v="1"/>
    <x v="3"/>
    <x v="5"/>
    <x v="6"/>
    <x v="14"/>
    <n v="1"/>
  </r>
  <r>
    <x v="0"/>
    <x v="0"/>
    <x v="1"/>
    <x v="3"/>
    <x v="5"/>
    <x v="9"/>
    <x v="5"/>
    <n v="4"/>
  </r>
  <r>
    <x v="0"/>
    <x v="0"/>
    <x v="1"/>
    <x v="3"/>
    <x v="5"/>
    <x v="9"/>
    <x v="2"/>
    <n v="1"/>
  </r>
  <r>
    <x v="0"/>
    <x v="0"/>
    <x v="1"/>
    <x v="3"/>
    <x v="5"/>
    <x v="12"/>
    <x v="3"/>
    <n v="1"/>
  </r>
  <r>
    <x v="0"/>
    <x v="0"/>
    <x v="1"/>
    <x v="3"/>
    <x v="5"/>
    <x v="12"/>
    <x v="5"/>
    <n v="1"/>
  </r>
  <r>
    <x v="0"/>
    <x v="0"/>
    <x v="1"/>
    <x v="3"/>
    <x v="5"/>
    <x v="12"/>
    <x v="2"/>
    <n v="3"/>
  </r>
  <r>
    <x v="0"/>
    <x v="0"/>
    <x v="1"/>
    <x v="3"/>
    <x v="5"/>
    <x v="12"/>
    <x v="13"/>
    <n v="1"/>
  </r>
  <r>
    <x v="0"/>
    <x v="0"/>
    <x v="1"/>
    <x v="3"/>
    <x v="5"/>
    <x v="1"/>
    <x v="9"/>
    <n v="2"/>
  </r>
  <r>
    <x v="0"/>
    <x v="0"/>
    <x v="1"/>
    <x v="3"/>
    <x v="5"/>
    <x v="1"/>
    <x v="3"/>
    <n v="1"/>
  </r>
  <r>
    <x v="0"/>
    <x v="0"/>
    <x v="1"/>
    <x v="3"/>
    <x v="5"/>
    <x v="1"/>
    <x v="5"/>
    <n v="1"/>
  </r>
  <r>
    <x v="0"/>
    <x v="0"/>
    <x v="1"/>
    <x v="3"/>
    <x v="5"/>
    <x v="1"/>
    <x v="13"/>
    <n v="1"/>
  </r>
  <r>
    <x v="0"/>
    <x v="0"/>
    <x v="1"/>
    <x v="3"/>
    <x v="5"/>
    <x v="0"/>
    <x v="9"/>
    <n v="1"/>
  </r>
  <r>
    <x v="0"/>
    <x v="0"/>
    <x v="1"/>
    <x v="3"/>
    <x v="5"/>
    <x v="0"/>
    <x v="5"/>
    <n v="1"/>
  </r>
  <r>
    <x v="0"/>
    <x v="0"/>
    <x v="1"/>
    <x v="3"/>
    <x v="8"/>
    <x v="17"/>
    <x v="19"/>
    <n v="53"/>
  </r>
  <r>
    <x v="0"/>
    <x v="0"/>
    <x v="1"/>
    <x v="3"/>
    <x v="8"/>
    <x v="19"/>
    <x v="0"/>
    <n v="2"/>
  </r>
  <r>
    <x v="0"/>
    <x v="0"/>
    <x v="1"/>
    <x v="3"/>
    <x v="8"/>
    <x v="14"/>
    <x v="19"/>
    <n v="3"/>
  </r>
  <r>
    <x v="0"/>
    <x v="0"/>
    <x v="1"/>
    <x v="3"/>
    <x v="8"/>
    <x v="13"/>
    <x v="14"/>
    <n v="1"/>
  </r>
  <r>
    <x v="0"/>
    <x v="0"/>
    <x v="1"/>
    <x v="3"/>
    <x v="8"/>
    <x v="13"/>
    <x v="19"/>
    <n v="1"/>
  </r>
  <r>
    <x v="0"/>
    <x v="0"/>
    <x v="1"/>
    <x v="3"/>
    <x v="8"/>
    <x v="2"/>
    <x v="17"/>
    <n v="3"/>
  </r>
  <r>
    <x v="0"/>
    <x v="0"/>
    <x v="1"/>
    <x v="3"/>
    <x v="8"/>
    <x v="2"/>
    <x v="19"/>
    <n v="2"/>
  </r>
  <r>
    <x v="0"/>
    <x v="0"/>
    <x v="1"/>
    <x v="3"/>
    <x v="8"/>
    <x v="4"/>
    <x v="18"/>
    <n v="1"/>
  </r>
  <r>
    <x v="0"/>
    <x v="0"/>
    <x v="1"/>
    <x v="3"/>
    <x v="7"/>
    <x v="4"/>
    <x v="9"/>
    <n v="1"/>
  </r>
  <r>
    <x v="0"/>
    <x v="0"/>
    <x v="1"/>
    <x v="3"/>
    <x v="7"/>
    <x v="7"/>
    <x v="3"/>
    <n v="1"/>
  </r>
  <r>
    <x v="0"/>
    <x v="0"/>
    <x v="1"/>
    <x v="4"/>
    <x v="8"/>
    <x v="3"/>
    <x v="9"/>
    <n v="1"/>
  </r>
  <r>
    <x v="0"/>
    <x v="0"/>
    <x v="1"/>
    <x v="4"/>
    <x v="8"/>
    <x v="4"/>
    <x v="9"/>
    <n v="1"/>
  </r>
  <r>
    <x v="0"/>
    <x v="0"/>
    <x v="1"/>
    <x v="4"/>
    <x v="8"/>
    <x v="5"/>
    <x v="9"/>
    <n v="1"/>
  </r>
  <r>
    <x v="0"/>
    <x v="0"/>
    <x v="1"/>
    <x v="4"/>
    <x v="8"/>
    <x v="11"/>
    <x v="9"/>
    <n v="1"/>
  </r>
  <r>
    <x v="0"/>
    <x v="0"/>
    <x v="1"/>
    <x v="4"/>
    <x v="8"/>
    <x v="6"/>
    <x v="1"/>
    <n v="2"/>
  </r>
  <r>
    <x v="0"/>
    <x v="0"/>
    <x v="1"/>
    <x v="4"/>
    <x v="8"/>
    <x v="6"/>
    <x v="3"/>
    <n v="1"/>
  </r>
  <r>
    <x v="0"/>
    <x v="0"/>
    <x v="1"/>
    <x v="4"/>
    <x v="8"/>
    <x v="7"/>
    <x v="4"/>
    <n v="1"/>
  </r>
  <r>
    <x v="0"/>
    <x v="0"/>
    <x v="1"/>
    <x v="4"/>
    <x v="8"/>
    <x v="8"/>
    <x v="12"/>
    <n v="1"/>
  </r>
  <r>
    <x v="0"/>
    <x v="0"/>
    <x v="1"/>
    <x v="4"/>
    <x v="7"/>
    <x v="7"/>
    <x v="3"/>
    <n v="1"/>
  </r>
  <r>
    <x v="0"/>
    <x v="0"/>
    <x v="1"/>
    <x v="4"/>
    <x v="18"/>
    <x v="14"/>
    <x v="19"/>
    <n v="1"/>
  </r>
  <r>
    <x v="0"/>
    <x v="0"/>
    <x v="1"/>
    <x v="4"/>
    <x v="18"/>
    <x v="13"/>
    <x v="19"/>
    <n v="1"/>
  </r>
  <r>
    <x v="0"/>
    <x v="0"/>
    <x v="1"/>
    <x v="4"/>
    <x v="18"/>
    <x v="2"/>
    <x v="13"/>
    <n v="1"/>
  </r>
  <r>
    <x v="0"/>
    <x v="0"/>
    <x v="1"/>
    <x v="4"/>
    <x v="19"/>
    <x v="0"/>
    <x v="13"/>
    <n v="3"/>
  </r>
  <r>
    <x v="0"/>
    <x v="0"/>
    <x v="1"/>
    <x v="5"/>
    <x v="8"/>
    <x v="2"/>
    <x v="0"/>
    <n v="1"/>
  </r>
  <r>
    <x v="0"/>
    <x v="0"/>
    <x v="1"/>
    <x v="5"/>
    <x v="8"/>
    <x v="2"/>
    <x v="18"/>
    <n v="2"/>
  </r>
  <r>
    <x v="0"/>
    <x v="0"/>
    <x v="1"/>
    <x v="5"/>
    <x v="8"/>
    <x v="10"/>
    <x v="18"/>
    <n v="1"/>
  </r>
  <r>
    <x v="0"/>
    <x v="0"/>
    <x v="1"/>
    <x v="5"/>
    <x v="8"/>
    <x v="4"/>
    <x v="18"/>
    <n v="1"/>
  </r>
  <r>
    <x v="0"/>
    <x v="0"/>
    <x v="1"/>
    <x v="5"/>
    <x v="6"/>
    <x v="16"/>
    <x v="14"/>
    <n v="1"/>
  </r>
  <r>
    <x v="0"/>
    <x v="0"/>
    <x v="1"/>
    <x v="5"/>
    <x v="6"/>
    <x v="16"/>
    <x v="17"/>
    <n v="4"/>
  </r>
  <r>
    <x v="0"/>
    <x v="0"/>
    <x v="1"/>
    <x v="5"/>
    <x v="6"/>
    <x v="16"/>
    <x v="19"/>
    <n v="2"/>
  </r>
  <r>
    <x v="0"/>
    <x v="0"/>
    <x v="1"/>
    <x v="5"/>
    <x v="6"/>
    <x v="15"/>
    <x v="13"/>
    <n v="1"/>
  </r>
  <r>
    <x v="0"/>
    <x v="0"/>
    <x v="1"/>
    <x v="5"/>
    <x v="6"/>
    <x v="13"/>
    <x v="0"/>
    <n v="3"/>
  </r>
  <r>
    <x v="0"/>
    <x v="0"/>
    <x v="1"/>
    <x v="5"/>
    <x v="6"/>
    <x v="13"/>
    <x v="18"/>
    <n v="1"/>
  </r>
  <r>
    <x v="0"/>
    <x v="0"/>
    <x v="1"/>
    <x v="5"/>
    <x v="6"/>
    <x v="2"/>
    <x v="18"/>
    <n v="1"/>
  </r>
  <r>
    <x v="0"/>
    <x v="0"/>
    <x v="1"/>
    <x v="5"/>
    <x v="9"/>
    <x v="0"/>
    <x v="13"/>
    <n v="2"/>
  </r>
  <r>
    <x v="0"/>
    <x v="0"/>
    <x v="1"/>
    <x v="5"/>
    <x v="9"/>
    <x v="0"/>
    <x v="11"/>
    <n v="1"/>
  </r>
  <r>
    <x v="0"/>
    <x v="0"/>
    <x v="1"/>
    <x v="5"/>
    <x v="9"/>
    <x v="0"/>
    <x v="14"/>
    <n v="1"/>
  </r>
  <r>
    <x v="0"/>
    <x v="0"/>
    <x v="1"/>
    <x v="5"/>
    <x v="10"/>
    <x v="4"/>
    <x v="1"/>
    <n v="2"/>
  </r>
  <r>
    <x v="0"/>
    <x v="0"/>
    <x v="3"/>
    <x v="16"/>
    <x v="7"/>
    <x v="0"/>
    <x v="17"/>
    <n v="3"/>
  </r>
  <r>
    <x v="0"/>
    <x v="0"/>
    <x v="3"/>
    <x v="16"/>
    <x v="7"/>
    <x v="0"/>
    <x v="19"/>
    <n v="1"/>
  </r>
  <r>
    <x v="0"/>
    <x v="0"/>
    <x v="3"/>
    <x v="16"/>
    <x v="6"/>
    <x v="0"/>
    <x v="19"/>
    <n v="5"/>
  </r>
  <r>
    <x v="0"/>
    <x v="0"/>
    <x v="3"/>
    <x v="16"/>
    <x v="9"/>
    <x v="0"/>
    <x v="5"/>
    <n v="8"/>
  </r>
  <r>
    <x v="0"/>
    <x v="0"/>
    <x v="3"/>
    <x v="16"/>
    <x v="9"/>
    <x v="0"/>
    <x v="2"/>
    <n v="6"/>
  </r>
  <r>
    <x v="0"/>
    <x v="0"/>
    <x v="3"/>
    <x v="16"/>
    <x v="9"/>
    <x v="0"/>
    <x v="11"/>
    <n v="2"/>
  </r>
  <r>
    <x v="0"/>
    <x v="0"/>
    <x v="3"/>
    <x v="17"/>
    <x v="5"/>
    <x v="0"/>
    <x v="0"/>
    <n v="1"/>
  </r>
  <r>
    <x v="0"/>
    <x v="0"/>
    <x v="3"/>
    <x v="17"/>
    <x v="15"/>
    <x v="0"/>
    <x v="14"/>
    <n v="1"/>
  </r>
  <r>
    <x v="0"/>
    <x v="0"/>
    <x v="3"/>
    <x v="17"/>
    <x v="15"/>
    <x v="0"/>
    <x v="0"/>
    <n v="2"/>
  </r>
  <r>
    <x v="0"/>
    <x v="0"/>
    <x v="3"/>
    <x v="17"/>
    <x v="15"/>
    <x v="0"/>
    <x v="18"/>
    <n v="1"/>
  </r>
  <r>
    <x v="0"/>
    <x v="0"/>
    <x v="3"/>
    <x v="17"/>
    <x v="7"/>
    <x v="0"/>
    <x v="12"/>
    <n v="2"/>
  </r>
  <r>
    <x v="0"/>
    <x v="0"/>
    <x v="3"/>
    <x v="17"/>
    <x v="7"/>
    <x v="0"/>
    <x v="9"/>
    <n v="1"/>
  </r>
  <r>
    <x v="0"/>
    <x v="0"/>
    <x v="3"/>
    <x v="17"/>
    <x v="7"/>
    <x v="0"/>
    <x v="18"/>
    <n v="1"/>
  </r>
  <r>
    <x v="0"/>
    <x v="0"/>
    <x v="3"/>
    <x v="17"/>
    <x v="10"/>
    <x v="8"/>
    <x v="1"/>
    <n v="2"/>
  </r>
  <r>
    <x v="0"/>
    <x v="0"/>
    <x v="3"/>
    <x v="17"/>
    <x v="10"/>
    <x v="0"/>
    <x v="12"/>
    <n v="4"/>
  </r>
  <r>
    <x v="0"/>
    <x v="0"/>
    <x v="3"/>
    <x v="17"/>
    <x v="10"/>
    <x v="0"/>
    <x v="9"/>
    <n v="6"/>
  </r>
  <r>
    <x v="0"/>
    <x v="0"/>
    <x v="3"/>
    <x v="17"/>
    <x v="10"/>
    <x v="0"/>
    <x v="3"/>
    <n v="4"/>
  </r>
  <r>
    <x v="0"/>
    <x v="0"/>
    <x v="3"/>
    <x v="19"/>
    <x v="12"/>
    <x v="1"/>
    <x v="2"/>
    <n v="1"/>
  </r>
  <r>
    <x v="0"/>
    <x v="0"/>
    <x v="3"/>
    <x v="19"/>
    <x v="12"/>
    <x v="0"/>
    <x v="6"/>
    <n v="95"/>
  </r>
  <r>
    <x v="0"/>
    <x v="0"/>
    <x v="3"/>
    <x v="19"/>
    <x v="12"/>
    <x v="0"/>
    <x v="12"/>
    <n v="32"/>
  </r>
  <r>
    <x v="0"/>
    <x v="0"/>
    <x v="3"/>
    <x v="19"/>
    <x v="12"/>
    <x v="0"/>
    <x v="9"/>
    <n v="20"/>
  </r>
  <r>
    <x v="0"/>
    <x v="0"/>
    <x v="3"/>
    <x v="19"/>
    <x v="12"/>
    <x v="0"/>
    <x v="3"/>
    <n v="9"/>
  </r>
  <r>
    <x v="0"/>
    <x v="0"/>
    <x v="3"/>
    <x v="19"/>
    <x v="12"/>
    <x v="0"/>
    <x v="4"/>
    <n v="7"/>
  </r>
  <r>
    <x v="0"/>
    <x v="0"/>
    <x v="3"/>
    <x v="19"/>
    <x v="12"/>
    <x v="0"/>
    <x v="5"/>
    <n v="4"/>
  </r>
  <r>
    <x v="0"/>
    <x v="0"/>
    <x v="3"/>
    <x v="19"/>
    <x v="12"/>
    <x v="0"/>
    <x v="2"/>
    <n v="6"/>
  </r>
  <r>
    <x v="0"/>
    <x v="0"/>
    <x v="3"/>
    <x v="19"/>
    <x v="12"/>
    <x v="0"/>
    <x v="13"/>
    <n v="1"/>
  </r>
  <r>
    <x v="0"/>
    <x v="0"/>
    <x v="3"/>
    <x v="19"/>
    <x v="15"/>
    <x v="0"/>
    <x v="14"/>
    <n v="4"/>
  </r>
  <r>
    <x v="0"/>
    <x v="0"/>
    <x v="3"/>
    <x v="19"/>
    <x v="3"/>
    <x v="0"/>
    <x v="13"/>
    <n v="1"/>
  </r>
  <r>
    <x v="0"/>
    <x v="0"/>
    <x v="3"/>
    <x v="19"/>
    <x v="3"/>
    <x v="0"/>
    <x v="11"/>
    <n v="5"/>
  </r>
  <r>
    <x v="0"/>
    <x v="0"/>
    <x v="3"/>
    <x v="19"/>
    <x v="3"/>
    <x v="0"/>
    <x v="14"/>
    <n v="5"/>
  </r>
  <r>
    <x v="0"/>
    <x v="0"/>
    <x v="3"/>
    <x v="19"/>
    <x v="9"/>
    <x v="0"/>
    <x v="1"/>
    <n v="7"/>
  </r>
  <r>
    <x v="0"/>
    <x v="0"/>
    <x v="3"/>
    <x v="19"/>
    <x v="9"/>
    <x v="0"/>
    <x v="17"/>
    <n v="1"/>
  </r>
  <r>
    <x v="0"/>
    <x v="0"/>
    <x v="3"/>
    <x v="19"/>
    <x v="10"/>
    <x v="8"/>
    <x v="12"/>
    <n v="1"/>
  </r>
  <r>
    <x v="0"/>
    <x v="0"/>
    <x v="3"/>
    <x v="19"/>
    <x v="10"/>
    <x v="0"/>
    <x v="1"/>
    <n v="7"/>
  </r>
  <r>
    <x v="0"/>
    <x v="0"/>
    <x v="3"/>
    <x v="19"/>
    <x v="18"/>
    <x v="0"/>
    <x v="12"/>
    <n v="52"/>
  </r>
  <r>
    <x v="0"/>
    <x v="0"/>
    <x v="4"/>
    <x v="0"/>
    <x v="1"/>
    <x v="12"/>
    <x v="17"/>
    <n v="1"/>
  </r>
  <r>
    <x v="0"/>
    <x v="0"/>
    <x v="4"/>
    <x v="0"/>
    <x v="1"/>
    <x v="7"/>
    <x v="8"/>
    <n v="1"/>
  </r>
  <r>
    <x v="0"/>
    <x v="0"/>
    <x v="4"/>
    <x v="0"/>
    <x v="1"/>
    <x v="7"/>
    <x v="18"/>
    <n v="1"/>
  </r>
  <r>
    <x v="0"/>
    <x v="0"/>
    <x v="4"/>
    <x v="0"/>
    <x v="1"/>
    <x v="1"/>
    <x v="2"/>
    <n v="3"/>
  </r>
  <r>
    <x v="0"/>
    <x v="0"/>
    <x v="4"/>
    <x v="0"/>
    <x v="1"/>
    <x v="1"/>
    <x v="13"/>
    <n v="1"/>
  </r>
  <r>
    <x v="0"/>
    <x v="0"/>
    <x v="4"/>
    <x v="0"/>
    <x v="1"/>
    <x v="0"/>
    <x v="4"/>
    <n v="17"/>
  </r>
  <r>
    <x v="0"/>
    <x v="0"/>
    <x v="4"/>
    <x v="0"/>
    <x v="1"/>
    <x v="0"/>
    <x v="5"/>
    <n v="6"/>
  </r>
  <r>
    <x v="0"/>
    <x v="0"/>
    <x v="4"/>
    <x v="0"/>
    <x v="1"/>
    <x v="0"/>
    <x v="2"/>
    <n v="6"/>
  </r>
  <r>
    <x v="0"/>
    <x v="0"/>
    <x v="4"/>
    <x v="0"/>
    <x v="1"/>
    <x v="0"/>
    <x v="13"/>
    <n v="4"/>
  </r>
  <r>
    <x v="0"/>
    <x v="0"/>
    <x v="4"/>
    <x v="0"/>
    <x v="1"/>
    <x v="0"/>
    <x v="11"/>
    <n v="4"/>
  </r>
  <r>
    <x v="0"/>
    <x v="0"/>
    <x v="4"/>
    <x v="0"/>
    <x v="1"/>
    <x v="0"/>
    <x v="14"/>
    <n v="3"/>
  </r>
  <r>
    <x v="0"/>
    <x v="0"/>
    <x v="4"/>
    <x v="0"/>
    <x v="1"/>
    <x v="0"/>
    <x v="17"/>
    <n v="1"/>
  </r>
  <r>
    <x v="0"/>
    <x v="0"/>
    <x v="4"/>
    <x v="0"/>
    <x v="19"/>
    <x v="5"/>
    <x v="10"/>
    <n v="1"/>
  </r>
  <r>
    <x v="0"/>
    <x v="0"/>
    <x v="4"/>
    <x v="0"/>
    <x v="19"/>
    <x v="11"/>
    <x v="2"/>
    <n v="1"/>
  </r>
  <r>
    <x v="0"/>
    <x v="0"/>
    <x v="4"/>
    <x v="0"/>
    <x v="19"/>
    <x v="6"/>
    <x v="1"/>
    <n v="1"/>
  </r>
  <r>
    <x v="0"/>
    <x v="0"/>
    <x v="4"/>
    <x v="0"/>
    <x v="19"/>
    <x v="6"/>
    <x v="5"/>
    <n v="1"/>
  </r>
  <r>
    <x v="0"/>
    <x v="0"/>
    <x v="4"/>
    <x v="0"/>
    <x v="19"/>
    <x v="9"/>
    <x v="7"/>
    <n v="10"/>
  </r>
  <r>
    <x v="0"/>
    <x v="0"/>
    <x v="4"/>
    <x v="0"/>
    <x v="19"/>
    <x v="9"/>
    <x v="6"/>
    <n v="1"/>
  </r>
  <r>
    <x v="0"/>
    <x v="0"/>
    <x v="4"/>
    <x v="0"/>
    <x v="19"/>
    <x v="9"/>
    <x v="1"/>
    <n v="3"/>
  </r>
  <r>
    <x v="0"/>
    <x v="0"/>
    <x v="4"/>
    <x v="0"/>
    <x v="19"/>
    <x v="9"/>
    <x v="4"/>
    <n v="1"/>
  </r>
  <r>
    <x v="0"/>
    <x v="0"/>
    <x v="4"/>
    <x v="0"/>
    <x v="19"/>
    <x v="12"/>
    <x v="7"/>
    <n v="34"/>
  </r>
  <r>
    <x v="0"/>
    <x v="0"/>
    <x v="4"/>
    <x v="0"/>
    <x v="19"/>
    <x v="12"/>
    <x v="6"/>
    <n v="4"/>
  </r>
  <r>
    <x v="0"/>
    <x v="0"/>
    <x v="4"/>
    <x v="0"/>
    <x v="19"/>
    <x v="12"/>
    <x v="10"/>
    <n v="2"/>
  </r>
  <r>
    <x v="0"/>
    <x v="0"/>
    <x v="4"/>
    <x v="0"/>
    <x v="19"/>
    <x v="12"/>
    <x v="3"/>
    <n v="1"/>
  </r>
  <r>
    <x v="0"/>
    <x v="0"/>
    <x v="4"/>
    <x v="0"/>
    <x v="19"/>
    <x v="1"/>
    <x v="7"/>
    <n v="30"/>
  </r>
  <r>
    <x v="0"/>
    <x v="0"/>
    <x v="4"/>
    <x v="0"/>
    <x v="19"/>
    <x v="1"/>
    <x v="6"/>
    <n v="6"/>
  </r>
  <r>
    <x v="0"/>
    <x v="0"/>
    <x v="4"/>
    <x v="0"/>
    <x v="19"/>
    <x v="1"/>
    <x v="10"/>
    <n v="2"/>
  </r>
  <r>
    <x v="0"/>
    <x v="0"/>
    <x v="4"/>
    <x v="0"/>
    <x v="19"/>
    <x v="0"/>
    <x v="6"/>
    <n v="17"/>
  </r>
  <r>
    <x v="0"/>
    <x v="0"/>
    <x v="4"/>
    <x v="1"/>
    <x v="0"/>
    <x v="1"/>
    <x v="6"/>
    <n v="4"/>
  </r>
  <r>
    <x v="0"/>
    <x v="0"/>
    <x v="4"/>
    <x v="1"/>
    <x v="0"/>
    <x v="8"/>
    <x v="10"/>
    <n v="1"/>
  </r>
  <r>
    <x v="0"/>
    <x v="0"/>
    <x v="4"/>
    <x v="1"/>
    <x v="0"/>
    <x v="0"/>
    <x v="12"/>
    <n v="5"/>
  </r>
  <r>
    <x v="0"/>
    <x v="0"/>
    <x v="4"/>
    <x v="1"/>
    <x v="1"/>
    <x v="7"/>
    <x v="12"/>
    <n v="1"/>
  </r>
  <r>
    <x v="0"/>
    <x v="0"/>
    <x v="4"/>
    <x v="1"/>
    <x v="1"/>
    <x v="7"/>
    <x v="9"/>
    <n v="1"/>
  </r>
  <r>
    <x v="0"/>
    <x v="0"/>
    <x v="4"/>
    <x v="1"/>
    <x v="1"/>
    <x v="1"/>
    <x v="1"/>
    <n v="1"/>
  </r>
  <r>
    <x v="0"/>
    <x v="0"/>
    <x v="4"/>
    <x v="1"/>
    <x v="1"/>
    <x v="8"/>
    <x v="12"/>
    <n v="1"/>
  </r>
  <r>
    <x v="0"/>
    <x v="0"/>
    <x v="4"/>
    <x v="1"/>
    <x v="1"/>
    <x v="0"/>
    <x v="10"/>
    <n v="31"/>
  </r>
  <r>
    <x v="0"/>
    <x v="0"/>
    <x v="4"/>
    <x v="1"/>
    <x v="1"/>
    <x v="0"/>
    <x v="1"/>
    <n v="26"/>
  </r>
  <r>
    <x v="0"/>
    <x v="0"/>
    <x v="4"/>
    <x v="1"/>
    <x v="10"/>
    <x v="0"/>
    <x v="12"/>
    <n v="1"/>
  </r>
  <r>
    <x v="0"/>
    <x v="0"/>
    <x v="4"/>
    <x v="1"/>
    <x v="10"/>
    <x v="0"/>
    <x v="3"/>
    <n v="1"/>
  </r>
  <r>
    <x v="0"/>
    <x v="0"/>
    <x v="4"/>
    <x v="2"/>
    <x v="4"/>
    <x v="0"/>
    <x v="1"/>
    <n v="1"/>
  </r>
  <r>
    <x v="0"/>
    <x v="0"/>
    <x v="4"/>
    <x v="2"/>
    <x v="4"/>
    <x v="0"/>
    <x v="13"/>
    <n v="1"/>
  </r>
  <r>
    <x v="0"/>
    <x v="0"/>
    <x v="4"/>
    <x v="2"/>
    <x v="15"/>
    <x v="0"/>
    <x v="10"/>
    <n v="25"/>
  </r>
  <r>
    <x v="0"/>
    <x v="0"/>
    <x v="4"/>
    <x v="2"/>
    <x v="7"/>
    <x v="11"/>
    <x v="1"/>
    <n v="2"/>
  </r>
  <r>
    <x v="0"/>
    <x v="0"/>
    <x v="4"/>
    <x v="2"/>
    <x v="7"/>
    <x v="11"/>
    <x v="5"/>
    <n v="1"/>
  </r>
  <r>
    <x v="0"/>
    <x v="0"/>
    <x v="4"/>
    <x v="2"/>
    <x v="7"/>
    <x v="12"/>
    <x v="9"/>
    <n v="1"/>
  </r>
  <r>
    <x v="0"/>
    <x v="0"/>
    <x v="4"/>
    <x v="2"/>
    <x v="7"/>
    <x v="12"/>
    <x v="3"/>
    <n v="1"/>
  </r>
  <r>
    <x v="0"/>
    <x v="0"/>
    <x v="4"/>
    <x v="2"/>
    <x v="7"/>
    <x v="1"/>
    <x v="12"/>
    <n v="1"/>
  </r>
  <r>
    <x v="0"/>
    <x v="0"/>
    <x v="4"/>
    <x v="2"/>
    <x v="7"/>
    <x v="0"/>
    <x v="12"/>
    <n v="1"/>
  </r>
  <r>
    <x v="0"/>
    <x v="0"/>
    <x v="4"/>
    <x v="2"/>
    <x v="6"/>
    <x v="6"/>
    <x v="10"/>
    <n v="5"/>
  </r>
  <r>
    <x v="0"/>
    <x v="0"/>
    <x v="4"/>
    <x v="2"/>
    <x v="6"/>
    <x v="9"/>
    <x v="9"/>
    <n v="3"/>
  </r>
  <r>
    <x v="0"/>
    <x v="0"/>
    <x v="4"/>
    <x v="2"/>
    <x v="6"/>
    <x v="9"/>
    <x v="5"/>
    <n v="1"/>
  </r>
  <r>
    <x v="0"/>
    <x v="0"/>
    <x v="4"/>
    <x v="2"/>
    <x v="6"/>
    <x v="12"/>
    <x v="6"/>
    <n v="95"/>
  </r>
  <r>
    <x v="0"/>
    <x v="0"/>
    <x v="4"/>
    <x v="2"/>
    <x v="6"/>
    <x v="12"/>
    <x v="12"/>
    <n v="6"/>
  </r>
  <r>
    <x v="0"/>
    <x v="0"/>
    <x v="4"/>
    <x v="2"/>
    <x v="6"/>
    <x v="12"/>
    <x v="9"/>
    <n v="5"/>
  </r>
  <r>
    <x v="0"/>
    <x v="0"/>
    <x v="4"/>
    <x v="2"/>
    <x v="6"/>
    <x v="12"/>
    <x v="3"/>
    <n v="1"/>
  </r>
  <r>
    <x v="0"/>
    <x v="0"/>
    <x v="4"/>
    <x v="2"/>
    <x v="6"/>
    <x v="12"/>
    <x v="5"/>
    <n v="4"/>
  </r>
  <r>
    <x v="0"/>
    <x v="0"/>
    <x v="4"/>
    <x v="2"/>
    <x v="6"/>
    <x v="12"/>
    <x v="2"/>
    <n v="2"/>
  </r>
  <r>
    <x v="0"/>
    <x v="0"/>
    <x v="4"/>
    <x v="2"/>
    <x v="6"/>
    <x v="1"/>
    <x v="12"/>
    <n v="6"/>
  </r>
  <r>
    <x v="0"/>
    <x v="0"/>
    <x v="4"/>
    <x v="2"/>
    <x v="6"/>
    <x v="1"/>
    <x v="9"/>
    <n v="2"/>
  </r>
  <r>
    <x v="0"/>
    <x v="0"/>
    <x v="4"/>
    <x v="2"/>
    <x v="6"/>
    <x v="1"/>
    <x v="3"/>
    <n v="5"/>
  </r>
  <r>
    <x v="0"/>
    <x v="0"/>
    <x v="4"/>
    <x v="2"/>
    <x v="6"/>
    <x v="1"/>
    <x v="4"/>
    <n v="4"/>
  </r>
  <r>
    <x v="0"/>
    <x v="0"/>
    <x v="4"/>
    <x v="2"/>
    <x v="6"/>
    <x v="1"/>
    <x v="5"/>
    <n v="1"/>
  </r>
  <r>
    <x v="0"/>
    <x v="0"/>
    <x v="4"/>
    <x v="2"/>
    <x v="6"/>
    <x v="0"/>
    <x v="12"/>
    <n v="155"/>
  </r>
  <r>
    <x v="0"/>
    <x v="0"/>
    <x v="4"/>
    <x v="2"/>
    <x v="6"/>
    <x v="0"/>
    <x v="9"/>
    <n v="51"/>
  </r>
  <r>
    <x v="0"/>
    <x v="0"/>
    <x v="4"/>
    <x v="2"/>
    <x v="6"/>
    <x v="0"/>
    <x v="3"/>
    <n v="24"/>
  </r>
  <r>
    <x v="0"/>
    <x v="0"/>
    <x v="4"/>
    <x v="2"/>
    <x v="6"/>
    <x v="0"/>
    <x v="4"/>
    <n v="15"/>
  </r>
  <r>
    <x v="0"/>
    <x v="0"/>
    <x v="4"/>
    <x v="2"/>
    <x v="6"/>
    <x v="0"/>
    <x v="5"/>
    <n v="6"/>
  </r>
  <r>
    <x v="0"/>
    <x v="0"/>
    <x v="4"/>
    <x v="2"/>
    <x v="6"/>
    <x v="0"/>
    <x v="0"/>
    <n v="1"/>
  </r>
  <r>
    <x v="0"/>
    <x v="0"/>
    <x v="4"/>
    <x v="2"/>
    <x v="9"/>
    <x v="0"/>
    <x v="12"/>
    <n v="10"/>
  </r>
  <r>
    <x v="0"/>
    <x v="0"/>
    <x v="4"/>
    <x v="2"/>
    <x v="9"/>
    <x v="0"/>
    <x v="9"/>
    <n v="25"/>
  </r>
  <r>
    <x v="0"/>
    <x v="0"/>
    <x v="4"/>
    <x v="2"/>
    <x v="9"/>
    <x v="0"/>
    <x v="3"/>
    <n v="55"/>
  </r>
  <r>
    <x v="0"/>
    <x v="0"/>
    <x v="4"/>
    <x v="2"/>
    <x v="9"/>
    <x v="0"/>
    <x v="4"/>
    <n v="24"/>
  </r>
  <r>
    <x v="0"/>
    <x v="0"/>
    <x v="4"/>
    <x v="3"/>
    <x v="0"/>
    <x v="0"/>
    <x v="11"/>
    <n v="8"/>
  </r>
  <r>
    <x v="0"/>
    <x v="0"/>
    <x v="4"/>
    <x v="3"/>
    <x v="0"/>
    <x v="0"/>
    <x v="14"/>
    <n v="7"/>
  </r>
  <r>
    <x v="0"/>
    <x v="0"/>
    <x v="4"/>
    <x v="3"/>
    <x v="0"/>
    <x v="0"/>
    <x v="17"/>
    <n v="2"/>
  </r>
  <r>
    <x v="0"/>
    <x v="0"/>
    <x v="4"/>
    <x v="3"/>
    <x v="15"/>
    <x v="0"/>
    <x v="12"/>
    <n v="1"/>
  </r>
  <r>
    <x v="0"/>
    <x v="0"/>
    <x v="4"/>
    <x v="3"/>
    <x v="15"/>
    <x v="0"/>
    <x v="9"/>
    <n v="1"/>
  </r>
  <r>
    <x v="0"/>
    <x v="0"/>
    <x v="4"/>
    <x v="3"/>
    <x v="15"/>
    <x v="0"/>
    <x v="3"/>
    <n v="4"/>
  </r>
  <r>
    <x v="0"/>
    <x v="0"/>
    <x v="4"/>
    <x v="3"/>
    <x v="15"/>
    <x v="0"/>
    <x v="4"/>
    <n v="1"/>
  </r>
  <r>
    <x v="0"/>
    <x v="0"/>
    <x v="4"/>
    <x v="3"/>
    <x v="15"/>
    <x v="0"/>
    <x v="5"/>
    <n v="2"/>
  </r>
  <r>
    <x v="0"/>
    <x v="0"/>
    <x v="4"/>
    <x v="3"/>
    <x v="3"/>
    <x v="0"/>
    <x v="9"/>
    <n v="2"/>
  </r>
  <r>
    <x v="0"/>
    <x v="0"/>
    <x v="4"/>
    <x v="3"/>
    <x v="3"/>
    <x v="0"/>
    <x v="3"/>
    <n v="3"/>
  </r>
  <r>
    <x v="0"/>
    <x v="0"/>
    <x v="4"/>
    <x v="4"/>
    <x v="1"/>
    <x v="7"/>
    <x v="1"/>
    <n v="3"/>
  </r>
  <r>
    <x v="0"/>
    <x v="0"/>
    <x v="4"/>
    <x v="4"/>
    <x v="1"/>
    <x v="1"/>
    <x v="8"/>
    <n v="79"/>
  </r>
  <r>
    <x v="0"/>
    <x v="0"/>
    <x v="4"/>
    <x v="4"/>
    <x v="1"/>
    <x v="1"/>
    <x v="7"/>
    <n v="72"/>
  </r>
  <r>
    <x v="0"/>
    <x v="0"/>
    <x v="4"/>
    <x v="4"/>
    <x v="1"/>
    <x v="8"/>
    <x v="1"/>
    <n v="1"/>
  </r>
  <r>
    <x v="0"/>
    <x v="0"/>
    <x v="4"/>
    <x v="4"/>
    <x v="14"/>
    <x v="0"/>
    <x v="4"/>
    <n v="1"/>
  </r>
  <r>
    <x v="0"/>
    <x v="0"/>
    <x v="4"/>
    <x v="4"/>
    <x v="15"/>
    <x v="0"/>
    <x v="12"/>
    <n v="3"/>
  </r>
  <r>
    <x v="0"/>
    <x v="0"/>
    <x v="4"/>
    <x v="4"/>
    <x v="15"/>
    <x v="0"/>
    <x v="9"/>
    <n v="5"/>
  </r>
  <r>
    <x v="0"/>
    <x v="0"/>
    <x v="4"/>
    <x v="4"/>
    <x v="15"/>
    <x v="0"/>
    <x v="3"/>
    <n v="1"/>
  </r>
  <r>
    <x v="0"/>
    <x v="0"/>
    <x v="4"/>
    <x v="4"/>
    <x v="8"/>
    <x v="0"/>
    <x v="12"/>
    <n v="1"/>
  </r>
  <r>
    <x v="0"/>
    <x v="0"/>
    <x v="4"/>
    <x v="4"/>
    <x v="8"/>
    <x v="0"/>
    <x v="9"/>
    <n v="2"/>
  </r>
  <r>
    <x v="0"/>
    <x v="0"/>
    <x v="4"/>
    <x v="4"/>
    <x v="7"/>
    <x v="1"/>
    <x v="12"/>
    <n v="1"/>
  </r>
  <r>
    <x v="0"/>
    <x v="0"/>
    <x v="4"/>
    <x v="4"/>
    <x v="7"/>
    <x v="8"/>
    <x v="10"/>
    <n v="2"/>
  </r>
  <r>
    <x v="0"/>
    <x v="0"/>
    <x v="4"/>
    <x v="4"/>
    <x v="9"/>
    <x v="8"/>
    <x v="3"/>
    <n v="1"/>
  </r>
  <r>
    <x v="0"/>
    <x v="0"/>
    <x v="4"/>
    <x v="4"/>
    <x v="19"/>
    <x v="7"/>
    <x v="3"/>
    <n v="1"/>
  </r>
  <r>
    <x v="0"/>
    <x v="0"/>
    <x v="4"/>
    <x v="4"/>
    <x v="19"/>
    <x v="8"/>
    <x v="3"/>
    <n v="1"/>
  </r>
  <r>
    <x v="0"/>
    <x v="0"/>
    <x v="4"/>
    <x v="5"/>
    <x v="5"/>
    <x v="7"/>
    <x v="3"/>
    <n v="2"/>
  </r>
  <r>
    <x v="0"/>
    <x v="0"/>
    <x v="4"/>
    <x v="5"/>
    <x v="5"/>
    <x v="8"/>
    <x v="9"/>
    <n v="3"/>
  </r>
  <r>
    <x v="0"/>
    <x v="0"/>
    <x v="4"/>
    <x v="5"/>
    <x v="5"/>
    <x v="8"/>
    <x v="3"/>
    <n v="1"/>
  </r>
  <r>
    <x v="0"/>
    <x v="0"/>
    <x v="4"/>
    <x v="5"/>
    <x v="5"/>
    <x v="8"/>
    <x v="4"/>
    <n v="1"/>
  </r>
  <r>
    <x v="0"/>
    <x v="0"/>
    <x v="4"/>
    <x v="5"/>
    <x v="13"/>
    <x v="0"/>
    <x v="0"/>
    <n v="2"/>
  </r>
  <r>
    <x v="0"/>
    <x v="0"/>
    <x v="4"/>
    <x v="5"/>
    <x v="13"/>
    <x v="0"/>
    <x v="18"/>
    <n v="3"/>
  </r>
  <r>
    <x v="0"/>
    <x v="0"/>
    <x v="4"/>
    <x v="5"/>
    <x v="9"/>
    <x v="7"/>
    <x v="3"/>
    <n v="1"/>
  </r>
  <r>
    <x v="0"/>
    <x v="0"/>
    <x v="4"/>
    <x v="5"/>
    <x v="9"/>
    <x v="8"/>
    <x v="3"/>
    <n v="1"/>
  </r>
  <r>
    <x v="0"/>
    <x v="0"/>
    <x v="4"/>
    <x v="6"/>
    <x v="3"/>
    <x v="11"/>
    <x v="12"/>
    <n v="1"/>
  </r>
  <r>
    <x v="0"/>
    <x v="0"/>
    <x v="4"/>
    <x v="6"/>
    <x v="3"/>
    <x v="11"/>
    <x v="9"/>
    <n v="1"/>
  </r>
  <r>
    <x v="0"/>
    <x v="0"/>
    <x v="4"/>
    <x v="6"/>
    <x v="3"/>
    <x v="6"/>
    <x v="12"/>
    <n v="1"/>
  </r>
  <r>
    <x v="0"/>
    <x v="0"/>
    <x v="4"/>
    <x v="6"/>
    <x v="3"/>
    <x v="7"/>
    <x v="10"/>
    <n v="2"/>
  </r>
  <r>
    <x v="0"/>
    <x v="0"/>
    <x v="4"/>
    <x v="6"/>
    <x v="3"/>
    <x v="7"/>
    <x v="1"/>
    <n v="1"/>
  </r>
  <r>
    <x v="0"/>
    <x v="0"/>
    <x v="4"/>
    <x v="6"/>
    <x v="9"/>
    <x v="0"/>
    <x v="17"/>
    <n v="3"/>
  </r>
  <r>
    <x v="0"/>
    <x v="0"/>
    <x v="4"/>
    <x v="6"/>
    <x v="9"/>
    <x v="0"/>
    <x v="19"/>
    <n v="11"/>
  </r>
  <r>
    <x v="0"/>
    <x v="0"/>
    <x v="4"/>
    <x v="6"/>
    <x v="17"/>
    <x v="0"/>
    <x v="10"/>
    <n v="4"/>
  </r>
  <r>
    <x v="0"/>
    <x v="0"/>
    <x v="4"/>
    <x v="6"/>
    <x v="17"/>
    <x v="0"/>
    <x v="1"/>
    <n v="7"/>
  </r>
  <r>
    <x v="0"/>
    <x v="0"/>
    <x v="4"/>
    <x v="6"/>
    <x v="19"/>
    <x v="0"/>
    <x v="14"/>
    <n v="1"/>
  </r>
  <r>
    <x v="0"/>
    <x v="0"/>
    <x v="4"/>
    <x v="9"/>
    <x v="16"/>
    <x v="0"/>
    <x v="9"/>
    <n v="1"/>
  </r>
  <r>
    <x v="0"/>
    <x v="0"/>
    <x v="4"/>
    <x v="9"/>
    <x v="16"/>
    <x v="0"/>
    <x v="3"/>
    <n v="1"/>
  </r>
  <r>
    <x v="0"/>
    <x v="0"/>
    <x v="4"/>
    <x v="9"/>
    <x v="16"/>
    <x v="0"/>
    <x v="5"/>
    <n v="1"/>
  </r>
  <r>
    <x v="0"/>
    <x v="0"/>
    <x v="4"/>
    <x v="9"/>
    <x v="10"/>
    <x v="10"/>
    <x v="4"/>
    <n v="2"/>
  </r>
  <r>
    <x v="0"/>
    <x v="0"/>
    <x v="4"/>
    <x v="9"/>
    <x v="10"/>
    <x v="10"/>
    <x v="2"/>
    <n v="1"/>
  </r>
  <r>
    <x v="0"/>
    <x v="0"/>
    <x v="4"/>
    <x v="9"/>
    <x v="10"/>
    <x v="3"/>
    <x v="5"/>
    <n v="1"/>
  </r>
  <r>
    <x v="0"/>
    <x v="0"/>
    <x v="4"/>
    <x v="9"/>
    <x v="10"/>
    <x v="4"/>
    <x v="9"/>
    <n v="4"/>
  </r>
  <r>
    <x v="0"/>
    <x v="0"/>
    <x v="4"/>
    <x v="9"/>
    <x v="10"/>
    <x v="4"/>
    <x v="4"/>
    <n v="2"/>
  </r>
  <r>
    <x v="0"/>
    <x v="0"/>
    <x v="4"/>
    <x v="9"/>
    <x v="10"/>
    <x v="5"/>
    <x v="9"/>
    <n v="6"/>
  </r>
  <r>
    <x v="0"/>
    <x v="0"/>
    <x v="4"/>
    <x v="9"/>
    <x v="10"/>
    <x v="5"/>
    <x v="3"/>
    <n v="1"/>
  </r>
  <r>
    <x v="0"/>
    <x v="0"/>
    <x v="4"/>
    <x v="7"/>
    <x v="0"/>
    <x v="3"/>
    <x v="18"/>
    <n v="1"/>
  </r>
  <r>
    <x v="0"/>
    <x v="0"/>
    <x v="4"/>
    <x v="7"/>
    <x v="0"/>
    <x v="4"/>
    <x v="0"/>
    <n v="1"/>
  </r>
  <r>
    <x v="0"/>
    <x v="0"/>
    <x v="4"/>
    <x v="7"/>
    <x v="0"/>
    <x v="4"/>
    <x v="18"/>
    <n v="1"/>
  </r>
  <r>
    <x v="0"/>
    <x v="0"/>
    <x v="4"/>
    <x v="7"/>
    <x v="16"/>
    <x v="0"/>
    <x v="12"/>
    <n v="1"/>
  </r>
  <r>
    <x v="0"/>
    <x v="0"/>
    <x v="4"/>
    <x v="7"/>
    <x v="16"/>
    <x v="0"/>
    <x v="9"/>
    <n v="3"/>
  </r>
  <r>
    <x v="0"/>
    <x v="0"/>
    <x v="4"/>
    <x v="7"/>
    <x v="16"/>
    <x v="0"/>
    <x v="3"/>
    <n v="1"/>
  </r>
  <r>
    <x v="0"/>
    <x v="0"/>
    <x v="4"/>
    <x v="7"/>
    <x v="6"/>
    <x v="8"/>
    <x v="10"/>
    <n v="1"/>
  </r>
  <r>
    <x v="0"/>
    <x v="0"/>
    <x v="4"/>
    <x v="8"/>
    <x v="12"/>
    <x v="0"/>
    <x v="14"/>
    <n v="2"/>
  </r>
  <r>
    <x v="0"/>
    <x v="0"/>
    <x v="4"/>
    <x v="8"/>
    <x v="12"/>
    <x v="0"/>
    <x v="19"/>
    <n v="1"/>
  </r>
  <r>
    <x v="0"/>
    <x v="0"/>
    <x v="4"/>
    <x v="8"/>
    <x v="16"/>
    <x v="0"/>
    <x v="12"/>
    <n v="1"/>
  </r>
  <r>
    <x v="0"/>
    <x v="0"/>
    <x v="4"/>
    <x v="8"/>
    <x v="16"/>
    <x v="0"/>
    <x v="3"/>
    <n v="1"/>
  </r>
  <r>
    <x v="0"/>
    <x v="0"/>
    <x v="4"/>
    <x v="8"/>
    <x v="1"/>
    <x v="8"/>
    <x v="13"/>
    <n v="1"/>
  </r>
  <r>
    <x v="0"/>
    <x v="0"/>
    <x v="4"/>
    <x v="8"/>
    <x v="14"/>
    <x v="9"/>
    <x v="6"/>
    <n v="1"/>
  </r>
  <r>
    <x v="0"/>
    <x v="0"/>
    <x v="4"/>
    <x v="8"/>
    <x v="14"/>
    <x v="12"/>
    <x v="7"/>
    <n v="1"/>
  </r>
  <r>
    <x v="0"/>
    <x v="0"/>
    <x v="4"/>
    <x v="8"/>
    <x v="14"/>
    <x v="1"/>
    <x v="7"/>
    <n v="2"/>
  </r>
  <r>
    <x v="0"/>
    <x v="0"/>
    <x v="4"/>
    <x v="8"/>
    <x v="14"/>
    <x v="1"/>
    <x v="6"/>
    <n v="3"/>
  </r>
  <r>
    <x v="0"/>
    <x v="0"/>
    <x v="4"/>
    <x v="8"/>
    <x v="14"/>
    <x v="0"/>
    <x v="7"/>
    <n v="4"/>
  </r>
  <r>
    <x v="0"/>
    <x v="0"/>
    <x v="4"/>
    <x v="8"/>
    <x v="14"/>
    <x v="0"/>
    <x v="6"/>
    <n v="17"/>
  </r>
  <r>
    <x v="0"/>
    <x v="0"/>
    <x v="4"/>
    <x v="8"/>
    <x v="14"/>
    <x v="0"/>
    <x v="12"/>
    <n v="3"/>
  </r>
  <r>
    <x v="0"/>
    <x v="0"/>
    <x v="4"/>
    <x v="11"/>
    <x v="0"/>
    <x v="0"/>
    <x v="10"/>
    <n v="1"/>
  </r>
  <r>
    <x v="0"/>
    <x v="0"/>
    <x v="4"/>
    <x v="11"/>
    <x v="12"/>
    <x v="0"/>
    <x v="5"/>
    <n v="3"/>
  </r>
  <r>
    <x v="0"/>
    <x v="0"/>
    <x v="4"/>
    <x v="11"/>
    <x v="12"/>
    <x v="0"/>
    <x v="2"/>
    <n v="7"/>
  </r>
  <r>
    <x v="0"/>
    <x v="0"/>
    <x v="4"/>
    <x v="11"/>
    <x v="12"/>
    <x v="0"/>
    <x v="13"/>
    <n v="2"/>
  </r>
  <r>
    <x v="0"/>
    <x v="0"/>
    <x v="4"/>
    <x v="11"/>
    <x v="12"/>
    <x v="0"/>
    <x v="11"/>
    <n v="4"/>
  </r>
  <r>
    <x v="0"/>
    <x v="0"/>
    <x v="4"/>
    <x v="11"/>
    <x v="12"/>
    <x v="0"/>
    <x v="14"/>
    <n v="3"/>
  </r>
  <r>
    <x v="0"/>
    <x v="0"/>
    <x v="4"/>
    <x v="11"/>
    <x v="12"/>
    <x v="0"/>
    <x v="17"/>
    <n v="1"/>
  </r>
  <r>
    <x v="0"/>
    <x v="0"/>
    <x v="4"/>
    <x v="11"/>
    <x v="14"/>
    <x v="6"/>
    <x v="3"/>
    <n v="1"/>
  </r>
  <r>
    <x v="0"/>
    <x v="0"/>
    <x v="4"/>
    <x v="11"/>
    <x v="14"/>
    <x v="6"/>
    <x v="4"/>
    <n v="1"/>
  </r>
  <r>
    <x v="0"/>
    <x v="0"/>
    <x v="4"/>
    <x v="11"/>
    <x v="14"/>
    <x v="8"/>
    <x v="11"/>
    <n v="1"/>
  </r>
  <r>
    <x v="0"/>
    <x v="0"/>
    <x v="4"/>
    <x v="11"/>
    <x v="14"/>
    <x v="0"/>
    <x v="0"/>
    <n v="1"/>
  </r>
  <r>
    <x v="0"/>
    <x v="0"/>
    <x v="4"/>
    <x v="11"/>
    <x v="8"/>
    <x v="6"/>
    <x v="7"/>
    <n v="2"/>
  </r>
  <r>
    <x v="0"/>
    <x v="0"/>
    <x v="4"/>
    <x v="11"/>
    <x v="8"/>
    <x v="6"/>
    <x v="12"/>
    <n v="1"/>
  </r>
  <r>
    <x v="0"/>
    <x v="0"/>
    <x v="4"/>
    <x v="11"/>
    <x v="8"/>
    <x v="9"/>
    <x v="7"/>
    <n v="3"/>
  </r>
  <r>
    <x v="0"/>
    <x v="0"/>
    <x v="4"/>
    <x v="11"/>
    <x v="8"/>
    <x v="12"/>
    <x v="7"/>
    <n v="4"/>
  </r>
  <r>
    <x v="0"/>
    <x v="0"/>
    <x v="4"/>
    <x v="11"/>
    <x v="8"/>
    <x v="8"/>
    <x v="10"/>
    <n v="1"/>
  </r>
  <r>
    <x v="0"/>
    <x v="0"/>
    <x v="4"/>
    <x v="11"/>
    <x v="7"/>
    <x v="7"/>
    <x v="2"/>
    <n v="1"/>
  </r>
  <r>
    <x v="0"/>
    <x v="0"/>
    <x v="4"/>
    <x v="11"/>
    <x v="7"/>
    <x v="8"/>
    <x v="5"/>
    <n v="1"/>
  </r>
  <r>
    <x v="0"/>
    <x v="0"/>
    <x v="4"/>
    <x v="11"/>
    <x v="7"/>
    <x v="0"/>
    <x v="0"/>
    <n v="2"/>
  </r>
  <r>
    <x v="0"/>
    <x v="0"/>
    <x v="4"/>
    <x v="11"/>
    <x v="9"/>
    <x v="0"/>
    <x v="17"/>
    <n v="1"/>
  </r>
  <r>
    <x v="0"/>
    <x v="0"/>
    <x v="4"/>
    <x v="11"/>
    <x v="9"/>
    <x v="0"/>
    <x v="19"/>
    <n v="1"/>
  </r>
  <r>
    <x v="0"/>
    <x v="0"/>
    <x v="4"/>
    <x v="11"/>
    <x v="10"/>
    <x v="0"/>
    <x v="13"/>
    <n v="5"/>
  </r>
  <r>
    <x v="0"/>
    <x v="0"/>
    <x v="4"/>
    <x v="11"/>
    <x v="10"/>
    <x v="0"/>
    <x v="14"/>
    <n v="4"/>
  </r>
  <r>
    <x v="0"/>
    <x v="0"/>
    <x v="4"/>
    <x v="11"/>
    <x v="10"/>
    <x v="0"/>
    <x v="17"/>
    <n v="6"/>
  </r>
  <r>
    <x v="0"/>
    <x v="0"/>
    <x v="4"/>
    <x v="11"/>
    <x v="10"/>
    <x v="0"/>
    <x v="19"/>
    <n v="4"/>
  </r>
  <r>
    <x v="0"/>
    <x v="0"/>
    <x v="4"/>
    <x v="11"/>
    <x v="11"/>
    <x v="0"/>
    <x v="12"/>
    <n v="1"/>
  </r>
  <r>
    <x v="0"/>
    <x v="0"/>
    <x v="4"/>
    <x v="11"/>
    <x v="18"/>
    <x v="0"/>
    <x v="12"/>
    <n v="1"/>
  </r>
  <r>
    <x v="0"/>
    <x v="0"/>
    <x v="4"/>
    <x v="11"/>
    <x v="18"/>
    <x v="0"/>
    <x v="9"/>
    <n v="1"/>
  </r>
  <r>
    <x v="0"/>
    <x v="0"/>
    <x v="4"/>
    <x v="11"/>
    <x v="18"/>
    <x v="0"/>
    <x v="3"/>
    <n v="1"/>
  </r>
  <r>
    <x v="0"/>
    <x v="0"/>
    <x v="4"/>
    <x v="11"/>
    <x v="18"/>
    <x v="0"/>
    <x v="0"/>
    <n v="1"/>
  </r>
  <r>
    <x v="0"/>
    <x v="0"/>
    <x v="4"/>
    <x v="12"/>
    <x v="12"/>
    <x v="7"/>
    <x v="7"/>
    <n v="9"/>
  </r>
  <r>
    <x v="0"/>
    <x v="0"/>
    <x v="4"/>
    <x v="12"/>
    <x v="12"/>
    <x v="1"/>
    <x v="1"/>
    <n v="2"/>
  </r>
  <r>
    <x v="0"/>
    <x v="0"/>
    <x v="4"/>
    <x v="12"/>
    <x v="2"/>
    <x v="0"/>
    <x v="12"/>
    <n v="3"/>
  </r>
  <r>
    <x v="0"/>
    <x v="0"/>
    <x v="4"/>
    <x v="12"/>
    <x v="2"/>
    <x v="0"/>
    <x v="4"/>
    <n v="3"/>
  </r>
  <r>
    <x v="0"/>
    <x v="0"/>
    <x v="4"/>
    <x v="12"/>
    <x v="2"/>
    <x v="0"/>
    <x v="5"/>
    <n v="2"/>
  </r>
  <r>
    <x v="0"/>
    <x v="0"/>
    <x v="4"/>
    <x v="12"/>
    <x v="2"/>
    <x v="0"/>
    <x v="2"/>
    <n v="3"/>
  </r>
  <r>
    <x v="0"/>
    <x v="0"/>
    <x v="4"/>
    <x v="12"/>
    <x v="2"/>
    <x v="0"/>
    <x v="18"/>
    <n v="2"/>
  </r>
  <r>
    <x v="0"/>
    <x v="0"/>
    <x v="4"/>
    <x v="12"/>
    <x v="4"/>
    <x v="0"/>
    <x v="9"/>
    <n v="1"/>
  </r>
  <r>
    <x v="0"/>
    <x v="0"/>
    <x v="4"/>
    <x v="12"/>
    <x v="11"/>
    <x v="0"/>
    <x v="12"/>
    <n v="1"/>
  </r>
  <r>
    <x v="0"/>
    <x v="0"/>
    <x v="4"/>
    <x v="12"/>
    <x v="17"/>
    <x v="0"/>
    <x v="5"/>
    <n v="1"/>
  </r>
  <r>
    <x v="0"/>
    <x v="0"/>
    <x v="4"/>
    <x v="13"/>
    <x v="16"/>
    <x v="12"/>
    <x v="12"/>
    <n v="1"/>
  </r>
  <r>
    <x v="0"/>
    <x v="0"/>
    <x v="4"/>
    <x v="13"/>
    <x v="16"/>
    <x v="7"/>
    <x v="5"/>
    <n v="1"/>
  </r>
  <r>
    <x v="0"/>
    <x v="0"/>
    <x v="4"/>
    <x v="13"/>
    <x v="16"/>
    <x v="7"/>
    <x v="2"/>
    <n v="1"/>
  </r>
  <r>
    <x v="0"/>
    <x v="0"/>
    <x v="4"/>
    <x v="13"/>
    <x v="16"/>
    <x v="8"/>
    <x v="10"/>
    <n v="1"/>
  </r>
  <r>
    <x v="0"/>
    <x v="0"/>
    <x v="4"/>
    <x v="13"/>
    <x v="16"/>
    <x v="8"/>
    <x v="5"/>
    <n v="1"/>
  </r>
  <r>
    <x v="0"/>
    <x v="0"/>
    <x v="4"/>
    <x v="13"/>
    <x v="13"/>
    <x v="8"/>
    <x v="1"/>
    <n v="1"/>
  </r>
  <r>
    <x v="0"/>
    <x v="0"/>
    <x v="4"/>
    <x v="13"/>
    <x v="6"/>
    <x v="0"/>
    <x v="13"/>
    <n v="1"/>
  </r>
  <r>
    <x v="0"/>
    <x v="0"/>
    <x v="4"/>
    <x v="13"/>
    <x v="17"/>
    <x v="11"/>
    <x v="14"/>
    <n v="1"/>
  </r>
  <r>
    <x v="0"/>
    <x v="0"/>
    <x v="4"/>
    <x v="13"/>
    <x v="17"/>
    <x v="11"/>
    <x v="19"/>
    <n v="1"/>
  </r>
  <r>
    <x v="0"/>
    <x v="0"/>
    <x v="4"/>
    <x v="13"/>
    <x v="17"/>
    <x v="6"/>
    <x v="11"/>
    <n v="2"/>
  </r>
  <r>
    <x v="0"/>
    <x v="0"/>
    <x v="4"/>
    <x v="13"/>
    <x v="17"/>
    <x v="9"/>
    <x v="11"/>
    <n v="1"/>
  </r>
  <r>
    <x v="0"/>
    <x v="0"/>
    <x v="4"/>
    <x v="13"/>
    <x v="17"/>
    <x v="9"/>
    <x v="14"/>
    <n v="1"/>
  </r>
  <r>
    <x v="0"/>
    <x v="0"/>
    <x v="4"/>
    <x v="13"/>
    <x v="17"/>
    <x v="12"/>
    <x v="2"/>
    <n v="1"/>
  </r>
  <r>
    <x v="0"/>
    <x v="0"/>
    <x v="4"/>
    <x v="13"/>
    <x v="17"/>
    <x v="12"/>
    <x v="13"/>
    <n v="1"/>
  </r>
  <r>
    <x v="0"/>
    <x v="0"/>
    <x v="4"/>
    <x v="13"/>
    <x v="17"/>
    <x v="12"/>
    <x v="11"/>
    <n v="1"/>
  </r>
  <r>
    <x v="0"/>
    <x v="0"/>
    <x v="4"/>
    <x v="13"/>
    <x v="17"/>
    <x v="1"/>
    <x v="13"/>
    <n v="1"/>
  </r>
  <r>
    <x v="0"/>
    <x v="0"/>
    <x v="4"/>
    <x v="13"/>
    <x v="17"/>
    <x v="0"/>
    <x v="14"/>
    <n v="2"/>
  </r>
  <r>
    <x v="0"/>
    <x v="0"/>
    <x v="4"/>
    <x v="14"/>
    <x v="12"/>
    <x v="0"/>
    <x v="2"/>
    <n v="1"/>
  </r>
  <r>
    <x v="0"/>
    <x v="0"/>
    <x v="4"/>
    <x v="14"/>
    <x v="12"/>
    <x v="0"/>
    <x v="13"/>
    <n v="1"/>
  </r>
  <r>
    <x v="0"/>
    <x v="0"/>
    <x v="4"/>
    <x v="14"/>
    <x v="16"/>
    <x v="10"/>
    <x v="6"/>
    <n v="9"/>
  </r>
  <r>
    <x v="0"/>
    <x v="0"/>
    <x v="4"/>
    <x v="14"/>
    <x v="16"/>
    <x v="10"/>
    <x v="12"/>
    <n v="3"/>
  </r>
  <r>
    <x v="0"/>
    <x v="0"/>
    <x v="1"/>
    <x v="5"/>
    <x v="18"/>
    <x v="4"/>
    <x v="9"/>
    <n v="1"/>
  </r>
  <r>
    <x v="0"/>
    <x v="0"/>
    <x v="1"/>
    <x v="6"/>
    <x v="16"/>
    <x v="9"/>
    <x v="9"/>
    <n v="1"/>
  </r>
  <r>
    <x v="0"/>
    <x v="0"/>
    <x v="1"/>
    <x v="6"/>
    <x v="16"/>
    <x v="0"/>
    <x v="3"/>
    <n v="1"/>
  </r>
  <r>
    <x v="0"/>
    <x v="0"/>
    <x v="1"/>
    <x v="6"/>
    <x v="8"/>
    <x v="17"/>
    <x v="5"/>
    <n v="167"/>
  </r>
  <r>
    <x v="0"/>
    <x v="0"/>
    <x v="1"/>
    <x v="6"/>
    <x v="8"/>
    <x v="17"/>
    <x v="2"/>
    <n v="50"/>
  </r>
  <r>
    <x v="0"/>
    <x v="0"/>
    <x v="1"/>
    <x v="6"/>
    <x v="8"/>
    <x v="17"/>
    <x v="13"/>
    <n v="22"/>
  </r>
  <r>
    <x v="0"/>
    <x v="0"/>
    <x v="1"/>
    <x v="6"/>
    <x v="8"/>
    <x v="17"/>
    <x v="11"/>
    <n v="9"/>
  </r>
  <r>
    <x v="0"/>
    <x v="0"/>
    <x v="1"/>
    <x v="6"/>
    <x v="8"/>
    <x v="17"/>
    <x v="14"/>
    <n v="8"/>
  </r>
  <r>
    <x v="0"/>
    <x v="0"/>
    <x v="1"/>
    <x v="6"/>
    <x v="8"/>
    <x v="17"/>
    <x v="17"/>
    <n v="6"/>
  </r>
  <r>
    <x v="0"/>
    <x v="0"/>
    <x v="1"/>
    <x v="6"/>
    <x v="8"/>
    <x v="17"/>
    <x v="19"/>
    <n v="2"/>
  </r>
  <r>
    <x v="0"/>
    <x v="0"/>
    <x v="1"/>
    <x v="6"/>
    <x v="8"/>
    <x v="18"/>
    <x v="12"/>
    <n v="10"/>
  </r>
  <r>
    <x v="0"/>
    <x v="0"/>
    <x v="1"/>
    <x v="6"/>
    <x v="8"/>
    <x v="16"/>
    <x v="11"/>
    <n v="2"/>
  </r>
  <r>
    <x v="0"/>
    <x v="0"/>
    <x v="1"/>
    <x v="6"/>
    <x v="8"/>
    <x v="15"/>
    <x v="2"/>
    <n v="7"/>
  </r>
  <r>
    <x v="0"/>
    <x v="0"/>
    <x v="1"/>
    <x v="6"/>
    <x v="8"/>
    <x v="15"/>
    <x v="13"/>
    <n v="1"/>
  </r>
  <r>
    <x v="0"/>
    <x v="0"/>
    <x v="1"/>
    <x v="6"/>
    <x v="8"/>
    <x v="15"/>
    <x v="11"/>
    <n v="1"/>
  </r>
  <r>
    <x v="0"/>
    <x v="0"/>
    <x v="1"/>
    <x v="6"/>
    <x v="8"/>
    <x v="14"/>
    <x v="4"/>
    <n v="15"/>
  </r>
  <r>
    <x v="0"/>
    <x v="0"/>
    <x v="1"/>
    <x v="6"/>
    <x v="8"/>
    <x v="14"/>
    <x v="5"/>
    <n v="9"/>
  </r>
  <r>
    <x v="0"/>
    <x v="0"/>
    <x v="1"/>
    <x v="6"/>
    <x v="8"/>
    <x v="14"/>
    <x v="2"/>
    <n v="7"/>
  </r>
  <r>
    <x v="0"/>
    <x v="0"/>
    <x v="1"/>
    <x v="6"/>
    <x v="8"/>
    <x v="14"/>
    <x v="13"/>
    <n v="2"/>
  </r>
  <r>
    <x v="0"/>
    <x v="0"/>
    <x v="1"/>
    <x v="6"/>
    <x v="8"/>
    <x v="14"/>
    <x v="11"/>
    <n v="1"/>
  </r>
  <r>
    <x v="0"/>
    <x v="0"/>
    <x v="1"/>
    <x v="6"/>
    <x v="8"/>
    <x v="13"/>
    <x v="9"/>
    <n v="3"/>
  </r>
  <r>
    <x v="0"/>
    <x v="0"/>
    <x v="1"/>
    <x v="6"/>
    <x v="8"/>
    <x v="13"/>
    <x v="3"/>
    <n v="9"/>
  </r>
  <r>
    <x v="0"/>
    <x v="0"/>
    <x v="1"/>
    <x v="6"/>
    <x v="8"/>
    <x v="13"/>
    <x v="4"/>
    <n v="9"/>
  </r>
  <r>
    <x v="0"/>
    <x v="0"/>
    <x v="1"/>
    <x v="6"/>
    <x v="8"/>
    <x v="13"/>
    <x v="5"/>
    <n v="5"/>
  </r>
  <r>
    <x v="0"/>
    <x v="0"/>
    <x v="1"/>
    <x v="6"/>
    <x v="8"/>
    <x v="13"/>
    <x v="2"/>
    <n v="2"/>
  </r>
  <r>
    <x v="0"/>
    <x v="0"/>
    <x v="1"/>
    <x v="6"/>
    <x v="8"/>
    <x v="13"/>
    <x v="13"/>
    <n v="1"/>
  </r>
  <r>
    <x v="0"/>
    <x v="0"/>
    <x v="1"/>
    <x v="6"/>
    <x v="8"/>
    <x v="2"/>
    <x v="9"/>
    <n v="1"/>
  </r>
  <r>
    <x v="0"/>
    <x v="0"/>
    <x v="1"/>
    <x v="6"/>
    <x v="8"/>
    <x v="2"/>
    <x v="3"/>
    <n v="4"/>
  </r>
  <r>
    <x v="0"/>
    <x v="0"/>
    <x v="1"/>
    <x v="6"/>
    <x v="8"/>
    <x v="2"/>
    <x v="4"/>
    <n v="7"/>
  </r>
  <r>
    <x v="0"/>
    <x v="0"/>
    <x v="1"/>
    <x v="6"/>
    <x v="8"/>
    <x v="2"/>
    <x v="5"/>
    <n v="7"/>
  </r>
  <r>
    <x v="0"/>
    <x v="0"/>
    <x v="1"/>
    <x v="6"/>
    <x v="8"/>
    <x v="10"/>
    <x v="9"/>
    <n v="2"/>
  </r>
  <r>
    <x v="0"/>
    <x v="0"/>
    <x v="1"/>
    <x v="6"/>
    <x v="8"/>
    <x v="10"/>
    <x v="3"/>
    <n v="1"/>
  </r>
  <r>
    <x v="0"/>
    <x v="0"/>
    <x v="1"/>
    <x v="6"/>
    <x v="8"/>
    <x v="10"/>
    <x v="4"/>
    <n v="3"/>
  </r>
  <r>
    <x v="0"/>
    <x v="0"/>
    <x v="1"/>
    <x v="6"/>
    <x v="8"/>
    <x v="3"/>
    <x v="3"/>
    <n v="1"/>
  </r>
  <r>
    <x v="0"/>
    <x v="0"/>
    <x v="1"/>
    <x v="6"/>
    <x v="3"/>
    <x v="15"/>
    <x v="13"/>
    <n v="1"/>
  </r>
  <r>
    <x v="0"/>
    <x v="0"/>
    <x v="1"/>
    <x v="6"/>
    <x v="3"/>
    <x v="14"/>
    <x v="4"/>
    <n v="1"/>
  </r>
  <r>
    <x v="0"/>
    <x v="0"/>
    <x v="1"/>
    <x v="6"/>
    <x v="3"/>
    <x v="13"/>
    <x v="12"/>
    <n v="3"/>
  </r>
  <r>
    <x v="0"/>
    <x v="0"/>
    <x v="1"/>
    <x v="6"/>
    <x v="3"/>
    <x v="13"/>
    <x v="9"/>
    <n v="1"/>
  </r>
  <r>
    <x v="0"/>
    <x v="0"/>
    <x v="1"/>
    <x v="6"/>
    <x v="3"/>
    <x v="13"/>
    <x v="5"/>
    <n v="1"/>
  </r>
  <r>
    <x v="0"/>
    <x v="0"/>
    <x v="1"/>
    <x v="6"/>
    <x v="3"/>
    <x v="2"/>
    <x v="1"/>
    <n v="4"/>
  </r>
  <r>
    <x v="0"/>
    <x v="0"/>
    <x v="1"/>
    <x v="6"/>
    <x v="3"/>
    <x v="2"/>
    <x v="12"/>
    <n v="5"/>
  </r>
  <r>
    <x v="0"/>
    <x v="0"/>
    <x v="1"/>
    <x v="6"/>
    <x v="3"/>
    <x v="2"/>
    <x v="9"/>
    <n v="3"/>
  </r>
  <r>
    <x v="0"/>
    <x v="0"/>
    <x v="1"/>
    <x v="6"/>
    <x v="3"/>
    <x v="10"/>
    <x v="1"/>
    <n v="3"/>
  </r>
  <r>
    <x v="0"/>
    <x v="0"/>
    <x v="1"/>
    <x v="6"/>
    <x v="3"/>
    <x v="10"/>
    <x v="12"/>
    <n v="3"/>
  </r>
  <r>
    <x v="0"/>
    <x v="0"/>
    <x v="1"/>
    <x v="6"/>
    <x v="3"/>
    <x v="3"/>
    <x v="10"/>
    <n v="3"/>
  </r>
  <r>
    <x v="0"/>
    <x v="0"/>
    <x v="1"/>
    <x v="6"/>
    <x v="3"/>
    <x v="3"/>
    <x v="12"/>
    <n v="2"/>
  </r>
  <r>
    <x v="0"/>
    <x v="0"/>
    <x v="1"/>
    <x v="6"/>
    <x v="3"/>
    <x v="4"/>
    <x v="10"/>
    <n v="2"/>
  </r>
  <r>
    <x v="0"/>
    <x v="0"/>
    <x v="1"/>
    <x v="6"/>
    <x v="3"/>
    <x v="4"/>
    <x v="1"/>
    <n v="1"/>
  </r>
  <r>
    <x v="0"/>
    <x v="0"/>
    <x v="1"/>
    <x v="6"/>
    <x v="3"/>
    <x v="4"/>
    <x v="12"/>
    <n v="2"/>
  </r>
  <r>
    <x v="0"/>
    <x v="0"/>
    <x v="1"/>
    <x v="6"/>
    <x v="3"/>
    <x v="11"/>
    <x v="1"/>
    <n v="1"/>
  </r>
  <r>
    <x v="0"/>
    <x v="0"/>
    <x v="1"/>
    <x v="9"/>
    <x v="15"/>
    <x v="0"/>
    <x v="13"/>
    <n v="1"/>
  </r>
  <r>
    <x v="0"/>
    <x v="0"/>
    <x v="1"/>
    <x v="9"/>
    <x v="15"/>
    <x v="0"/>
    <x v="14"/>
    <n v="1"/>
  </r>
  <r>
    <x v="0"/>
    <x v="0"/>
    <x v="1"/>
    <x v="9"/>
    <x v="10"/>
    <x v="19"/>
    <x v="4"/>
    <n v="14"/>
  </r>
  <r>
    <x v="0"/>
    <x v="0"/>
    <x v="1"/>
    <x v="9"/>
    <x v="10"/>
    <x v="19"/>
    <x v="5"/>
    <n v="9"/>
  </r>
  <r>
    <x v="0"/>
    <x v="0"/>
    <x v="1"/>
    <x v="9"/>
    <x v="10"/>
    <x v="19"/>
    <x v="2"/>
    <n v="1"/>
  </r>
  <r>
    <x v="0"/>
    <x v="0"/>
    <x v="1"/>
    <x v="9"/>
    <x v="10"/>
    <x v="19"/>
    <x v="13"/>
    <n v="1"/>
  </r>
  <r>
    <x v="0"/>
    <x v="0"/>
    <x v="1"/>
    <x v="9"/>
    <x v="10"/>
    <x v="16"/>
    <x v="12"/>
    <n v="3"/>
  </r>
  <r>
    <x v="0"/>
    <x v="0"/>
    <x v="1"/>
    <x v="9"/>
    <x v="10"/>
    <x v="16"/>
    <x v="9"/>
    <n v="11"/>
  </r>
  <r>
    <x v="0"/>
    <x v="0"/>
    <x v="1"/>
    <x v="9"/>
    <x v="10"/>
    <x v="16"/>
    <x v="3"/>
    <n v="11"/>
  </r>
  <r>
    <x v="0"/>
    <x v="0"/>
    <x v="1"/>
    <x v="9"/>
    <x v="10"/>
    <x v="16"/>
    <x v="4"/>
    <n v="18"/>
  </r>
  <r>
    <x v="0"/>
    <x v="0"/>
    <x v="1"/>
    <x v="9"/>
    <x v="10"/>
    <x v="16"/>
    <x v="5"/>
    <n v="6"/>
  </r>
  <r>
    <x v="0"/>
    <x v="0"/>
    <x v="1"/>
    <x v="9"/>
    <x v="10"/>
    <x v="16"/>
    <x v="2"/>
    <n v="1"/>
  </r>
  <r>
    <x v="0"/>
    <x v="0"/>
    <x v="1"/>
    <x v="9"/>
    <x v="10"/>
    <x v="15"/>
    <x v="12"/>
    <n v="4"/>
  </r>
  <r>
    <x v="0"/>
    <x v="0"/>
    <x v="1"/>
    <x v="9"/>
    <x v="10"/>
    <x v="15"/>
    <x v="9"/>
    <n v="17"/>
  </r>
  <r>
    <x v="0"/>
    <x v="0"/>
    <x v="1"/>
    <x v="9"/>
    <x v="10"/>
    <x v="15"/>
    <x v="3"/>
    <n v="17"/>
  </r>
  <r>
    <x v="0"/>
    <x v="0"/>
    <x v="1"/>
    <x v="9"/>
    <x v="10"/>
    <x v="15"/>
    <x v="4"/>
    <n v="7"/>
  </r>
  <r>
    <x v="0"/>
    <x v="0"/>
    <x v="1"/>
    <x v="9"/>
    <x v="10"/>
    <x v="15"/>
    <x v="0"/>
    <n v="1"/>
  </r>
  <r>
    <x v="0"/>
    <x v="0"/>
    <x v="1"/>
    <x v="9"/>
    <x v="10"/>
    <x v="14"/>
    <x v="12"/>
    <n v="6"/>
  </r>
  <r>
    <x v="0"/>
    <x v="0"/>
    <x v="1"/>
    <x v="9"/>
    <x v="10"/>
    <x v="14"/>
    <x v="9"/>
    <n v="12"/>
  </r>
  <r>
    <x v="0"/>
    <x v="0"/>
    <x v="1"/>
    <x v="9"/>
    <x v="10"/>
    <x v="3"/>
    <x v="14"/>
    <n v="1"/>
  </r>
  <r>
    <x v="0"/>
    <x v="0"/>
    <x v="1"/>
    <x v="9"/>
    <x v="10"/>
    <x v="4"/>
    <x v="11"/>
    <n v="2"/>
  </r>
  <r>
    <x v="0"/>
    <x v="0"/>
    <x v="1"/>
    <x v="9"/>
    <x v="10"/>
    <x v="5"/>
    <x v="13"/>
    <n v="1"/>
  </r>
  <r>
    <x v="0"/>
    <x v="0"/>
    <x v="1"/>
    <x v="9"/>
    <x v="10"/>
    <x v="11"/>
    <x v="13"/>
    <n v="1"/>
  </r>
  <r>
    <x v="0"/>
    <x v="0"/>
    <x v="1"/>
    <x v="9"/>
    <x v="10"/>
    <x v="6"/>
    <x v="5"/>
    <n v="3"/>
  </r>
  <r>
    <x v="0"/>
    <x v="0"/>
    <x v="1"/>
    <x v="9"/>
    <x v="10"/>
    <x v="6"/>
    <x v="11"/>
    <n v="1"/>
  </r>
  <r>
    <x v="0"/>
    <x v="0"/>
    <x v="1"/>
    <x v="9"/>
    <x v="10"/>
    <x v="9"/>
    <x v="5"/>
    <n v="1"/>
  </r>
  <r>
    <x v="0"/>
    <x v="0"/>
    <x v="1"/>
    <x v="9"/>
    <x v="10"/>
    <x v="9"/>
    <x v="13"/>
    <n v="1"/>
  </r>
  <r>
    <x v="0"/>
    <x v="0"/>
    <x v="1"/>
    <x v="9"/>
    <x v="19"/>
    <x v="18"/>
    <x v="13"/>
    <n v="2"/>
  </r>
  <r>
    <x v="0"/>
    <x v="0"/>
    <x v="1"/>
    <x v="9"/>
    <x v="19"/>
    <x v="18"/>
    <x v="11"/>
    <n v="2"/>
  </r>
  <r>
    <x v="0"/>
    <x v="0"/>
    <x v="1"/>
    <x v="9"/>
    <x v="19"/>
    <x v="19"/>
    <x v="9"/>
    <n v="4"/>
  </r>
  <r>
    <x v="0"/>
    <x v="0"/>
    <x v="1"/>
    <x v="9"/>
    <x v="19"/>
    <x v="19"/>
    <x v="5"/>
    <n v="1"/>
  </r>
  <r>
    <x v="0"/>
    <x v="0"/>
    <x v="1"/>
    <x v="9"/>
    <x v="19"/>
    <x v="16"/>
    <x v="3"/>
    <n v="2"/>
  </r>
  <r>
    <x v="0"/>
    <x v="0"/>
    <x v="1"/>
    <x v="7"/>
    <x v="3"/>
    <x v="11"/>
    <x v="14"/>
    <n v="1"/>
  </r>
  <r>
    <x v="0"/>
    <x v="0"/>
    <x v="1"/>
    <x v="7"/>
    <x v="3"/>
    <x v="9"/>
    <x v="13"/>
    <n v="1"/>
  </r>
  <r>
    <x v="0"/>
    <x v="0"/>
    <x v="1"/>
    <x v="7"/>
    <x v="3"/>
    <x v="9"/>
    <x v="11"/>
    <n v="1"/>
  </r>
  <r>
    <x v="0"/>
    <x v="0"/>
    <x v="1"/>
    <x v="7"/>
    <x v="3"/>
    <x v="9"/>
    <x v="14"/>
    <n v="1"/>
  </r>
  <r>
    <x v="0"/>
    <x v="0"/>
    <x v="1"/>
    <x v="7"/>
    <x v="3"/>
    <x v="12"/>
    <x v="14"/>
    <n v="2"/>
  </r>
  <r>
    <x v="0"/>
    <x v="0"/>
    <x v="1"/>
    <x v="7"/>
    <x v="3"/>
    <x v="8"/>
    <x v="19"/>
    <n v="1"/>
  </r>
  <r>
    <x v="0"/>
    <x v="0"/>
    <x v="1"/>
    <x v="7"/>
    <x v="3"/>
    <x v="0"/>
    <x v="18"/>
    <n v="1"/>
  </r>
  <r>
    <x v="0"/>
    <x v="0"/>
    <x v="1"/>
    <x v="8"/>
    <x v="4"/>
    <x v="19"/>
    <x v="4"/>
    <n v="1"/>
  </r>
  <r>
    <x v="0"/>
    <x v="0"/>
    <x v="1"/>
    <x v="8"/>
    <x v="4"/>
    <x v="2"/>
    <x v="13"/>
    <n v="1"/>
  </r>
  <r>
    <x v="0"/>
    <x v="0"/>
    <x v="1"/>
    <x v="8"/>
    <x v="4"/>
    <x v="10"/>
    <x v="5"/>
    <n v="1"/>
  </r>
  <r>
    <x v="0"/>
    <x v="0"/>
    <x v="1"/>
    <x v="8"/>
    <x v="4"/>
    <x v="3"/>
    <x v="4"/>
    <n v="1"/>
  </r>
  <r>
    <x v="0"/>
    <x v="0"/>
    <x v="1"/>
    <x v="8"/>
    <x v="4"/>
    <x v="4"/>
    <x v="3"/>
    <n v="1"/>
  </r>
  <r>
    <x v="0"/>
    <x v="0"/>
    <x v="1"/>
    <x v="8"/>
    <x v="4"/>
    <x v="4"/>
    <x v="5"/>
    <n v="1"/>
  </r>
  <r>
    <x v="0"/>
    <x v="0"/>
    <x v="1"/>
    <x v="8"/>
    <x v="4"/>
    <x v="5"/>
    <x v="3"/>
    <n v="1"/>
  </r>
  <r>
    <x v="0"/>
    <x v="0"/>
    <x v="1"/>
    <x v="8"/>
    <x v="4"/>
    <x v="6"/>
    <x v="3"/>
    <n v="2"/>
  </r>
  <r>
    <x v="0"/>
    <x v="0"/>
    <x v="1"/>
    <x v="8"/>
    <x v="4"/>
    <x v="6"/>
    <x v="4"/>
    <n v="2"/>
  </r>
  <r>
    <x v="0"/>
    <x v="0"/>
    <x v="1"/>
    <x v="8"/>
    <x v="13"/>
    <x v="19"/>
    <x v="17"/>
    <n v="2"/>
  </r>
  <r>
    <x v="0"/>
    <x v="0"/>
    <x v="1"/>
    <x v="8"/>
    <x v="13"/>
    <x v="16"/>
    <x v="13"/>
    <n v="1"/>
  </r>
  <r>
    <x v="0"/>
    <x v="0"/>
    <x v="1"/>
    <x v="8"/>
    <x v="13"/>
    <x v="16"/>
    <x v="11"/>
    <n v="1"/>
  </r>
  <r>
    <x v="0"/>
    <x v="0"/>
    <x v="1"/>
    <x v="8"/>
    <x v="13"/>
    <x v="16"/>
    <x v="14"/>
    <n v="1"/>
  </r>
  <r>
    <x v="0"/>
    <x v="0"/>
    <x v="1"/>
    <x v="8"/>
    <x v="13"/>
    <x v="16"/>
    <x v="17"/>
    <n v="2"/>
  </r>
  <r>
    <x v="0"/>
    <x v="0"/>
    <x v="1"/>
    <x v="8"/>
    <x v="13"/>
    <x v="15"/>
    <x v="2"/>
    <n v="1"/>
  </r>
  <r>
    <x v="0"/>
    <x v="0"/>
    <x v="1"/>
    <x v="8"/>
    <x v="13"/>
    <x v="15"/>
    <x v="11"/>
    <n v="1"/>
  </r>
  <r>
    <x v="0"/>
    <x v="0"/>
    <x v="1"/>
    <x v="8"/>
    <x v="13"/>
    <x v="15"/>
    <x v="17"/>
    <n v="1"/>
  </r>
  <r>
    <x v="0"/>
    <x v="0"/>
    <x v="1"/>
    <x v="8"/>
    <x v="13"/>
    <x v="13"/>
    <x v="2"/>
    <n v="1"/>
  </r>
  <r>
    <x v="0"/>
    <x v="0"/>
    <x v="1"/>
    <x v="8"/>
    <x v="7"/>
    <x v="17"/>
    <x v="0"/>
    <n v="71"/>
  </r>
  <r>
    <x v="0"/>
    <x v="0"/>
    <x v="1"/>
    <x v="8"/>
    <x v="7"/>
    <x v="17"/>
    <x v="18"/>
    <n v="73"/>
  </r>
  <r>
    <x v="0"/>
    <x v="0"/>
    <x v="1"/>
    <x v="8"/>
    <x v="7"/>
    <x v="18"/>
    <x v="14"/>
    <n v="37"/>
  </r>
  <r>
    <x v="0"/>
    <x v="0"/>
    <x v="1"/>
    <x v="8"/>
    <x v="7"/>
    <x v="18"/>
    <x v="17"/>
    <n v="35"/>
  </r>
  <r>
    <x v="0"/>
    <x v="0"/>
    <x v="1"/>
    <x v="8"/>
    <x v="7"/>
    <x v="18"/>
    <x v="19"/>
    <n v="64"/>
  </r>
  <r>
    <x v="0"/>
    <x v="0"/>
    <x v="1"/>
    <x v="8"/>
    <x v="7"/>
    <x v="19"/>
    <x v="5"/>
    <n v="1"/>
  </r>
  <r>
    <x v="0"/>
    <x v="0"/>
    <x v="1"/>
    <x v="8"/>
    <x v="7"/>
    <x v="19"/>
    <x v="2"/>
    <n v="8"/>
  </r>
  <r>
    <x v="0"/>
    <x v="0"/>
    <x v="1"/>
    <x v="8"/>
    <x v="7"/>
    <x v="19"/>
    <x v="13"/>
    <n v="13"/>
  </r>
  <r>
    <x v="0"/>
    <x v="0"/>
    <x v="1"/>
    <x v="8"/>
    <x v="7"/>
    <x v="19"/>
    <x v="11"/>
    <n v="9"/>
  </r>
  <r>
    <x v="0"/>
    <x v="0"/>
    <x v="1"/>
    <x v="8"/>
    <x v="7"/>
    <x v="19"/>
    <x v="14"/>
    <n v="17"/>
  </r>
  <r>
    <x v="0"/>
    <x v="0"/>
    <x v="1"/>
    <x v="8"/>
    <x v="7"/>
    <x v="19"/>
    <x v="17"/>
    <n v="27"/>
  </r>
  <r>
    <x v="0"/>
    <x v="0"/>
    <x v="1"/>
    <x v="8"/>
    <x v="7"/>
    <x v="19"/>
    <x v="19"/>
    <n v="33"/>
  </r>
  <r>
    <x v="0"/>
    <x v="0"/>
    <x v="1"/>
    <x v="8"/>
    <x v="7"/>
    <x v="16"/>
    <x v="5"/>
    <n v="1"/>
  </r>
  <r>
    <x v="0"/>
    <x v="0"/>
    <x v="1"/>
    <x v="8"/>
    <x v="7"/>
    <x v="16"/>
    <x v="2"/>
    <n v="1"/>
  </r>
  <r>
    <x v="0"/>
    <x v="0"/>
    <x v="1"/>
    <x v="8"/>
    <x v="7"/>
    <x v="16"/>
    <x v="13"/>
    <n v="10"/>
  </r>
  <r>
    <x v="0"/>
    <x v="0"/>
    <x v="1"/>
    <x v="8"/>
    <x v="7"/>
    <x v="16"/>
    <x v="0"/>
    <n v="13"/>
  </r>
  <r>
    <x v="0"/>
    <x v="0"/>
    <x v="1"/>
    <x v="8"/>
    <x v="7"/>
    <x v="16"/>
    <x v="18"/>
    <n v="13"/>
  </r>
  <r>
    <x v="0"/>
    <x v="0"/>
    <x v="1"/>
    <x v="8"/>
    <x v="7"/>
    <x v="15"/>
    <x v="5"/>
    <n v="1"/>
  </r>
  <r>
    <x v="0"/>
    <x v="0"/>
    <x v="1"/>
    <x v="8"/>
    <x v="7"/>
    <x v="15"/>
    <x v="0"/>
    <n v="5"/>
  </r>
  <r>
    <x v="0"/>
    <x v="0"/>
    <x v="1"/>
    <x v="8"/>
    <x v="7"/>
    <x v="15"/>
    <x v="18"/>
    <n v="11"/>
  </r>
  <r>
    <x v="0"/>
    <x v="0"/>
    <x v="1"/>
    <x v="8"/>
    <x v="7"/>
    <x v="14"/>
    <x v="0"/>
    <n v="2"/>
  </r>
  <r>
    <x v="0"/>
    <x v="0"/>
    <x v="1"/>
    <x v="8"/>
    <x v="7"/>
    <x v="10"/>
    <x v="19"/>
    <n v="4"/>
  </r>
  <r>
    <x v="0"/>
    <x v="0"/>
    <x v="1"/>
    <x v="8"/>
    <x v="7"/>
    <x v="3"/>
    <x v="19"/>
    <n v="4"/>
  </r>
  <r>
    <x v="0"/>
    <x v="0"/>
    <x v="1"/>
    <x v="8"/>
    <x v="7"/>
    <x v="4"/>
    <x v="19"/>
    <n v="1"/>
  </r>
  <r>
    <x v="0"/>
    <x v="0"/>
    <x v="1"/>
    <x v="8"/>
    <x v="6"/>
    <x v="19"/>
    <x v="4"/>
    <n v="2"/>
  </r>
  <r>
    <x v="0"/>
    <x v="0"/>
    <x v="1"/>
    <x v="8"/>
    <x v="6"/>
    <x v="19"/>
    <x v="5"/>
    <n v="4"/>
  </r>
  <r>
    <x v="0"/>
    <x v="0"/>
    <x v="1"/>
    <x v="8"/>
    <x v="6"/>
    <x v="19"/>
    <x v="2"/>
    <n v="1"/>
  </r>
  <r>
    <x v="0"/>
    <x v="0"/>
    <x v="1"/>
    <x v="8"/>
    <x v="6"/>
    <x v="16"/>
    <x v="12"/>
    <n v="4"/>
  </r>
  <r>
    <x v="0"/>
    <x v="0"/>
    <x v="1"/>
    <x v="8"/>
    <x v="6"/>
    <x v="16"/>
    <x v="9"/>
    <n v="3"/>
  </r>
  <r>
    <x v="0"/>
    <x v="0"/>
    <x v="1"/>
    <x v="8"/>
    <x v="6"/>
    <x v="16"/>
    <x v="3"/>
    <n v="6"/>
  </r>
  <r>
    <x v="0"/>
    <x v="0"/>
    <x v="1"/>
    <x v="8"/>
    <x v="6"/>
    <x v="16"/>
    <x v="4"/>
    <n v="4"/>
  </r>
  <r>
    <x v="0"/>
    <x v="0"/>
    <x v="1"/>
    <x v="8"/>
    <x v="6"/>
    <x v="16"/>
    <x v="5"/>
    <n v="2"/>
  </r>
  <r>
    <x v="0"/>
    <x v="0"/>
    <x v="1"/>
    <x v="8"/>
    <x v="6"/>
    <x v="15"/>
    <x v="1"/>
    <n v="1"/>
  </r>
  <r>
    <x v="0"/>
    <x v="0"/>
    <x v="1"/>
    <x v="8"/>
    <x v="6"/>
    <x v="15"/>
    <x v="12"/>
    <n v="2"/>
  </r>
  <r>
    <x v="0"/>
    <x v="0"/>
    <x v="1"/>
    <x v="8"/>
    <x v="6"/>
    <x v="15"/>
    <x v="9"/>
    <n v="5"/>
  </r>
  <r>
    <x v="0"/>
    <x v="0"/>
    <x v="1"/>
    <x v="8"/>
    <x v="6"/>
    <x v="15"/>
    <x v="3"/>
    <n v="5"/>
  </r>
  <r>
    <x v="0"/>
    <x v="0"/>
    <x v="1"/>
    <x v="8"/>
    <x v="6"/>
    <x v="15"/>
    <x v="4"/>
    <n v="4"/>
  </r>
  <r>
    <x v="0"/>
    <x v="0"/>
    <x v="1"/>
    <x v="8"/>
    <x v="6"/>
    <x v="14"/>
    <x v="12"/>
    <n v="3"/>
  </r>
  <r>
    <x v="0"/>
    <x v="0"/>
    <x v="1"/>
    <x v="8"/>
    <x v="6"/>
    <x v="14"/>
    <x v="9"/>
    <n v="3"/>
  </r>
  <r>
    <x v="0"/>
    <x v="0"/>
    <x v="1"/>
    <x v="8"/>
    <x v="6"/>
    <x v="13"/>
    <x v="1"/>
    <n v="1"/>
  </r>
  <r>
    <x v="0"/>
    <x v="0"/>
    <x v="1"/>
    <x v="8"/>
    <x v="6"/>
    <x v="3"/>
    <x v="14"/>
    <n v="1"/>
  </r>
  <r>
    <x v="0"/>
    <x v="0"/>
    <x v="1"/>
    <x v="8"/>
    <x v="6"/>
    <x v="6"/>
    <x v="5"/>
    <n v="1"/>
  </r>
  <r>
    <x v="0"/>
    <x v="0"/>
    <x v="1"/>
    <x v="8"/>
    <x v="6"/>
    <x v="9"/>
    <x v="5"/>
    <n v="2"/>
  </r>
  <r>
    <x v="0"/>
    <x v="0"/>
    <x v="1"/>
    <x v="8"/>
    <x v="6"/>
    <x v="12"/>
    <x v="3"/>
    <n v="2"/>
  </r>
  <r>
    <x v="0"/>
    <x v="0"/>
    <x v="1"/>
    <x v="8"/>
    <x v="6"/>
    <x v="12"/>
    <x v="5"/>
    <n v="1"/>
  </r>
  <r>
    <x v="0"/>
    <x v="0"/>
    <x v="1"/>
    <x v="8"/>
    <x v="6"/>
    <x v="7"/>
    <x v="17"/>
    <n v="1"/>
  </r>
  <r>
    <x v="0"/>
    <x v="0"/>
    <x v="1"/>
    <x v="8"/>
    <x v="6"/>
    <x v="1"/>
    <x v="9"/>
    <n v="1"/>
  </r>
  <r>
    <x v="0"/>
    <x v="0"/>
    <x v="1"/>
    <x v="8"/>
    <x v="10"/>
    <x v="6"/>
    <x v="3"/>
    <n v="1"/>
  </r>
  <r>
    <x v="0"/>
    <x v="0"/>
    <x v="1"/>
    <x v="8"/>
    <x v="10"/>
    <x v="9"/>
    <x v="4"/>
    <n v="1"/>
  </r>
  <r>
    <x v="0"/>
    <x v="0"/>
    <x v="1"/>
    <x v="8"/>
    <x v="10"/>
    <x v="9"/>
    <x v="5"/>
    <n v="1"/>
  </r>
  <r>
    <x v="0"/>
    <x v="0"/>
    <x v="1"/>
    <x v="8"/>
    <x v="10"/>
    <x v="8"/>
    <x v="2"/>
    <n v="1"/>
  </r>
  <r>
    <x v="0"/>
    <x v="0"/>
    <x v="1"/>
    <x v="8"/>
    <x v="11"/>
    <x v="4"/>
    <x v="1"/>
    <n v="1"/>
  </r>
  <r>
    <x v="0"/>
    <x v="0"/>
    <x v="1"/>
    <x v="10"/>
    <x v="16"/>
    <x v="15"/>
    <x v="17"/>
    <n v="1"/>
  </r>
  <r>
    <x v="0"/>
    <x v="0"/>
    <x v="1"/>
    <x v="10"/>
    <x v="16"/>
    <x v="13"/>
    <x v="13"/>
    <n v="1"/>
  </r>
  <r>
    <x v="0"/>
    <x v="0"/>
    <x v="1"/>
    <x v="10"/>
    <x v="16"/>
    <x v="2"/>
    <x v="3"/>
    <n v="2"/>
  </r>
  <r>
    <x v="0"/>
    <x v="0"/>
    <x v="1"/>
    <x v="10"/>
    <x v="16"/>
    <x v="2"/>
    <x v="4"/>
    <n v="3"/>
  </r>
  <r>
    <x v="0"/>
    <x v="0"/>
    <x v="1"/>
    <x v="10"/>
    <x v="16"/>
    <x v="2"/>
    <x v="5"/>
    <n v="1"/>
  </r>
  <r>
    <x v="0"/>
    <x v="0"/>
    <x v="1"/>
    <x v="10"/>
    <x v="16"/>
    <x v="2"/>
    <x v="2"/>
    <n v="1"/>
  </r>
  <r>
    <x v="0"/>
    <x v="0"/>
    <x v="1"/>
    <x v="10"/>
    <x v="16"/>
    <x v="2"/>
    <x v="13"/>
    <n v="1"/>
  </r>
  <r>
    <x v="0"/>
    <x v="0"/>
    <x v="1"/>
    <x v="10"/>
    <x v="16"/>
    <x v="2"/>
    <x v="11"/>
    <n v="1"/>
  </r>
  <r>
    <x v="0"/>
    <x v="0"/>
    <x v="1"/>
    <x v="10"/>
    <x v="16"/>
    <x v="2"/>
    <x v="18"/>
    <n v="1"/>
  </r>
  <r>
    <x v="0"/>
    <x v="0"/>
    <x v="1"/>
    <x v="10"/>
    <x v="16"/>
    <x v="10"/>
    <x v="9"/>
    <n v="9"/>
  </r>
  <r>
    <x v="0"/>
    <x v="0"/>
    <x v="1"/>
    <x v="10"/>
    <x v="16"/>
    <x v="10"/>
    <x v="3"/>
    <n v="1"/>
  </r>
  <r>
    <x v="0"/>
    <x v="0"/>
    <x v="1"/>
    <x v="10"/>
    <x v="16"/>
    <x v="10"/>
    <x v="4"/>
    <n v="1"/>
  </r>
  <r>
    <x v="0"/>
    <x v="0"/>
    <x v="1"/>
    <x v="10"/>
    <x v="16"/>
    <x v="10"/>
    <x v="5"/>
    <n v="1"/>
  </r>
  <r>
    <x v="0"/>
    <x v="0"/>
    <x v="1"/>
    <x v="10"/>
    <x v="16"/>
    <x v="10"/>
    <x v="2"/>
    <n v="2"/>
  </r>
  <r>
    <x v="0"/>
    <x v="0"/>
    <x v="1"/>
    <x v="10"/>
    <x v="16"/>
    <x v="3"/>
    <x v="12"/>
    <n v="6"/>
  </r>
  <r>
    <x v="0"/>
    <x v="0"/>
    <x v="1"/>
    <x v="10"/>
    <x v="16"/>
    <x v="3"/>
    <x v="9"/>
    <n v="10"/>
  </r>
  <r>
    <x v="0"/>
    <x v="0"/>
    <x v="1"/>
    <x v="10"/>
    <x v="16"/>
    <x v="3"/>
    <x v="3"/>
    <n v="4"/>
  </r>
  <r>
    <x v="0"/>
    <x v="0"/>
    <x v="1"/>
    <x v="10"/>
    <x v="16"/>
    <x v="3"/>
    <x v="4"/>
    <n v="1"/>
  </r>
  <r>
    <x v="0"/>
    <x v="0"/>
    <x v="1"/>
    <x v="10"/>
    <x v="16"/>
    <x v="3"/>
    <x v="2"/>
    <n v="1"/>
  </r>
  <r>
    <x v="0"/>
    <x v="0"/>
    <x v="1"/>
    <x v="10"/>
    <x v="16"/>
    <x v="4"/>
    <x v="12"/>
    <n v="13"/>
  </r>
  <r>
    <x v="0"/>
    <x v="0"/>
    <x v="1"/>
    <x v="10"/>
    <x v="16"/>
    <x v="4"/>
    <x v="9"/>
    <n v="3"/>
  </r>
  <r>
    <x v="0"/>
    <x v="0"/>
    <x v="1"/>
    <x v="10"/>
    <x v="16"/>
    <x v="4"/>
    <x v="3"/>
    <n v="1"/>
  </r>
  <r>
    <x v="0"/>
    <x v="0"/>
    <x v="1"/>
    <x v="10"/>
    <x v="16"/>
    <x v="4"/>
    <x v="4"/>
    <n v="1"/>
  </r>
  <r>
    <x v="0"/>
    <x v="0"/>
    <x v="1"/>
    <x v="10"/>
    <x v="16"/>
    <x v="5"/>
    <x v="12"/>
    <n v="11"/>
  </r>
  <r>
    <x v="0"/>
    <x v="0"/>
    <x v="1"/>
    <x v="10"/>
    <x v="16"/>
    <x v="5"/>
    <x v="9"/>
    <n v="5"/>
  </r>
  <r>
    <x v="0"/>
    <x v="0"/>
    <x v="1"/>
    <x v="10"/>
    <x v="16"/>
    <x v="5"/>
    <x v="4"/>
    <n v="1"/>
  </r>
  <r>
    <x v="0"/>
    <x v="0"/>
    <x v="1"/>
    <x v="10"/>
    <x v="16"/>
    <x v="11"/>
    <x v="1"/>
    <n v="3"/>
  </r>
  <r>
    <x v="0"/>
    <x v="0"/>
    <x v="1"/>
    <x v="10"/>
    <x v="16"/>
    <x v="11"/>
    <x v="12"/>
    <n v="3"/>
  </r>
  <r>
    <x v="0"/>
    <x v="0"/>
    <x v="1"/>
    <x v="10"/>
    <x v="16"/>
    <x v="11"/>
    <x v="9"/>
    <n v="6"/>
  </r>
  <r>
    <x v="0"/>
    <x v="0"/>
    <x v="1"/>
    <x v="10"/>
    <x v="16"/>
    <x v="11"/>
    <x v="3"/>
    <n v="1"/>
  </r>
  <r>
    <x v="0"/>
    <x v="0"/>
    <x v="1"/>
    <x v="10"/>
    <x v="16"/>
    <x v="11"/>
    <x v="4"/>
    <n v="1"/>
  </r>
  <r>
    <x v="0"/>
    <x v="0"/>
    <x v="1"/>
    <x v="10"/>
    <x v="16"/>
    <x v="6"/>
    <x v="1"/>
    <n v="1"/>
  </r>
  <r>
    <x v="0"/>
    <x v="0"/>
    <x v="1"/>
    <x v="10"/>
    <x v="16"/>
    <x v="6"/>
    <x v="12"/>
    <n v="3"/>
  </r>
  <r>
    <x v="0"/>
    <x v="0"/>
    <x v="1"/>
    <x v="10"/>
    <x v="16"/>
    <x v="6"/>
    <x v="9"/>
    <n v="5"/>
  </r>
  <r>
    <x v="0"/>
    <x v="0"/>
    <x v="1"/>
    <x v="10"/>
    <x v="16"/>
    <x v="6"/>
    <x v="3"/>
    <n v="3"/>
  </r>
  <r>
    <x v="0"/>
    <x v="0"/>
    <x v="1"/>
    <x v="10"/>
    <x v="16"/>
    <x v="9"/>
    <x v="12"/>
    <n v="2"/>
  </r>
  <r>
    <x v="0"/>
    <x v="0"/>
    <x v="1"/>
    <x v="10"/>
    <x v="16"/>
    <x v="9"/>
    <x v="9"/>
    <n v="5"/>
  </r>
  <r>
    <x v="0"/>
    <x v="0"/>
    <x v="1"/>
    <x v="10"/>
    <x v="16"/>
    <x v="12"/>
    <x v="12"/>
    <n v="1"/>
  </r>
  <r>
    <x v="0"/>
    <x v="0"/>
    <x v="1"/>
    <x v="10"/>
    <x v="16"/>
    <x v="7"/>
    <x v="9"/>
    <n v="1"/>
  </r>
  <r>
    <x v="0"/>
    <x v="0"/>
    <x v="1"/>
    <x v="10"/>
    <x v="16"/>
    <x v="7"/>
    <x v="3"/>
    <n v="2"/>
  </r>
  <r>
    <x v="0"/>
    <x v="0"/>
    <x v="1"/>
    <x v="10"/>
    <x v="16"/>
    <x v="7"/>
    <x v="5"/>
    <n v="1"/>
  </r>
  <r>
    <x v="0"/>
    <x v="0"/>
    <x v="1"/>
    <x v="10"/>
    <x v="16"/>
    <x v="8"/>
    <x v="9"/>
    <n v="2"/>
  </r>
  <r>
    <x v="0"/>
    <x v="0"/>
    <x v="1"/>
    <x v="10"/>
    <x v="16"/>
    <x v="8"/>
    <x v="3"/>
    <n v="1"/>
  </r>
  <r>
    <x v="0"/>
    <x v="0"/>
    <x v="1"/>
    <x v="11"/>
    <x v="0"/>
    <x v="11"/>
    <x v="1"/>
    <n v="1"/>
  </r>
  <r>
    <x v="0"/>
    <x v="0"/>
    <x v="1"/>
    <x v="11"/>
    <x v="0"/>
    <x v="6"/>
    <x v="10"/>
    <n v="2"/>
  </r>
  <r>
    <x v="0"/>
    <x v="0"/>
    <x v="1"/>
    <x v="11"/>
    <x v="0"/>
    <x v="9"/>
    <x v="1"/>
    <n v="2"/>
  </r>
  <r>
    <x v="0"/>
    <x v="0"/>
    <x v="1"/>
    <x v="11"/>
    <x v="0"/>
    <x v="12"/>
    <x v="1"/>
    <n v="2"/>
  </r>
  <r>
    <x v="0"/>
    <x v="0"/>
    <x v="1"/>
    <x v="11"/>
    <x v="0"/>
    <x v="8"/>
    <x v="9"/>
    <n v="1"/>
  </r>
  <r>
    <x v="0"/>
    <x v="0"/>
    <x v="1"/>
    <x v="11"/>
    <x v="14"/>
    <x v="15"/>
    <x v="2"/>
    <n v="1"/>
  </r>
  <r>
    <x v="0"/>
    <x v="0"/>
    <x v="1"/>
    <x v="11"/>
    <x v="14"/>
    <x v="15"/>
    <x v="13"/>
    <n v="1"/>
  </r>
  <r>
    <x v="0"/>
    <x v="0"/>
    <x v="1"/>
    <x v="11"/>
    <x v="14"/>
    <x v="14"/>
    <x v="4"/>
    <n v="1"/>
  </r>
  <r>
    <x v="0"/>
    <x v="0"/>
    <x v="1"/>
    <x v="11"/>
    <x v="14"/>
    <x v="14"/>
    <x v="5"/>
    <n v="2"/>
  </r>
  <r>
    <x v="0"/>
    <x v="0"/>
    <x v="1"/>
    <x v="11"/>
    <x v="14"/>
    <x v="1"/>
    <x v="13"/>
    <n v="1"/>
  </r>
  <r>
    <x v="0"/>
    <x v="0"/>
    <x v="1"/>
    <x v="11"/>
    <x v="14"/>
    <x v="0"/>
    <x v="4"/>
    <n v="1"/>
  </r>
  <r>
    <x v="0"/>
    <x v="0"/>
    <x v="1"/>
    <x v="11"/>
    <x v="14"/>
    <x v="0"/>
    <x v="5"/>
    <n v="1"/>
  </r>
  <r>
    <x v="0"/>
    <x v="0"/>
    <x v="1"/>
    <x v="11"/>
    <x v="14"/>
    <x v="0"/>
    <x v="2"/>
    <n v="2"/>
  </r>
  <r>
    <x v="0"/>
    <x v="0"/>
    <x v="1"/>
    <x v="11"/>
    <x v="14"/>
    <x v="0"/>
    <x v="13"/>
    <n v="1"/>
  </r>
  <r>
    <x v="0"/>
    <x v="0"/>
    <x v="1"/>
    <x v="11"/>
    <x v="7"/>
    <x v="10"/>
    <x v="19"/>
    <n v="3"/>
  </r>
  <r>
    <x v="0"/>
    <x v="0"/>
    <x v="1"/>
    <x v="11"/>
    <x v="7"/>
    <x v="3"/>
    <x v="14"/>
    <n v="1"/>
  </r>
  <r>
    <x v="0"/>
    <x v="0"/>
    <x v="1"/>
    <x v="11"/>
    <x v="7"/>
    <x v="3"/>
    <x v="17"/>
    <n v="1"/>
  </r>
  <r>
    <x v="0"/>
    <x v="0"/>
    <x v="1"/>
    <x v="11"/>
    <x v="7"/>
    <x v="3"/>
    <x v="19"/>
    <n v="3"/>
  </r>
  <r>
    <x v="0"/>
    <x v="0"/>
    <x v="1"/>
    <x v="11"/>
    <x v="7"/>
    <x v="4"/>
    <x v="13"/>
    <n v="2"/>
  </r>
  <r>
    <x v="0"/>
    <x v="0"/>
    <x v="1"/>
    <x v="11"/>
    <x v="7"/>
    <x v="4"/>
    <x v="11"/>
    <n v="1"/>
  </r>
  <r>
    <x v="0"/>
    <x v="0"/>
    <x v="1"/>
    <x v="11"/>
    <x v="7"/>
    <x v="4"/>
    <x v="14"/>
    <n v="1"/>
  </r>
  <r>
    <x v="0"/>
    <x v="0"/>
    <x v="1"/>
    <x v="11"/>
    <x v="7"/>
    <x v="5"/>
    <x v="2"/>
    <n v="4"/>
  </r>
  <r>
    <x v="0"/>
    <x v="0"/>
    <x v="1"/>
    <x v="11"/>
    <x v="7"/>
    <x v="5"/>
    <x v="13"/>
    <n v="4"/>
  </r>
  <r>
    <x v="0"/>
    <x v="0"/>
    <x v="1"/>
    <x v="11"/>
    <x v="7"/>
    <x v="5"/>
    <x v="11"/>
    <n v="2"/>
  </r>
  <r>
    <x v="0"/>
    <x v="0"/>
    <x v="1"/>
    <x v="11"/>
    <x v="7"/>
    <x v="5"/>
    <x v="14"/>
    <n v="2"/>
  </r>
  <r>
    <x v="0"/>
    <x v="0"/>
    <x v="1"/>
    <x v="11"/>
    <x v="7"/>
    <x v="11"/>
    <x v="5"/>
    <n v="4"/>
  </r>
  <r>
    <x v="0"/>
    <x v="0"/>
    <x v="1"/>
    <x v="11"/>
    <x v="7"/>
    <x v="11"/>
    <x v="2"/>
    <n v="4"/>
  </r>
  <r>
    <x v="0"/>
    <x v="0"/>
    <x v="1"/>
    <x v="11"/>
    <x v="7"/>
    <x v="11"/>
    <x v="13"/>
    <n v="6"/>
  </r>
  <r>
    <x v="0"/>
    <x v="0"/>
    <x v="1"/>
    <x v="11"/>
    <x v="7"/>
    <x v="11"/>
    <x v="11"/>
    <n v="4"/>
  </r>
  <r>
    <x v="0"/>
    <x v="0"/>
    <x v="1"/>
    <x v="11"/>
    <x v="7"/>
    <x v="6"/>
    <x v="5"/>
    <n v="3"/>
  </r>
  <r>
    <x v="0"/>
    <x v="0"/>
    <x v="1"/>
    <x v="11"/>
    <x v="7"/>
    <x v="6"/>
    <x v="2"/>
    <n v="4"/>
  </r>
  <r>
    <x v="0"/>
    <x v="0"/>
    <x v="1"/>
    <x v="11"/>
    <x v="7"/>
    <x v="6"/>
    <x v="13"/>
    <n v="5"/>
  </r>
  <r>
    <x v="0"/>
    <x v="0"/>
    <x v="1"/>
    <x v="11"/>
    <x v="7"/>
    <x v="6"/>
    <x v="18"/>
    <n v="1"/>
  </r>
  <r>
    <x v="0"/>
    <x v="0"/>
    <x v="1"/>
    <x v="11"/>
    <x v="7"/>
    <x v="9"/>
    <x v="3"/>
    <n v="1"/>
  </r>
  <r>
    <x v="0"/>
    <x v="0"/>
    <x v="1"/>
    <x v="11"/>
    <x v="7"/>
    <x v="9"/>
    <x v="5"/>
    <n v="5"/>
  </r>
  <r>
    <x v="0"/>
    <x v="0"/>
    <x v="1"/>
    <x v="11"/>
    <x v="7"/>
    <x v="9"/>
    <x v="2"/>
    <n v="5"/>
  </r>
  <r>
    <x v="0"/>
    <x v="0"/>
    <x v="1"/>
    <x v="11"/>
    <x v="7"/>
    <x v="9"/>
    <x v="0"/>
    <n v="3"/>
  </r>
  <r>
    <x v="0"/>
    <x v="0"/>
    <x v="1"/>
    <x v="11"/>
    <x v="7"/>
    <x v="12"/>
    <x v="4"/>
    <n v="3"/>
  </r>
  <r>
    <x v="0"/>
    <x v="0"/>
    <x v="4"/>
    <x v="14"/>
    <x v="16"/>
    <x v="10"/>
    <x v="9"/>
    <n v="1"/>
  </r>
  <r>
    <x v="0"/>
    <x v="0"/>
    <x v="4"/>
    <x v="14"/>
    <x v="16"/>
    <x v="10"/>
    <x v="4"/>
    <n v="1"/>
  </r>
  <r>
    <x v="0"/>
    <x v="0"/>
    <x v="4"/>
    <x v="14"/>
    <x v="16"/>
    <x v="10"/>
    <x v="5"/>
    <n v="1"/>
  </r>
  <r>
    <x v="0"/>
    <x v="0"/>
    <x v="4"/>
    <x v="14"/>
    <x v="16"/>
    <x v="3"/>
    <x v="12"/>
    <n v="13"/>
  </r>
  <r>
    <x v="0"/>
    <x v="0"/>
    <x v="4"/>
    <x v="14"/>
    <x v="16"/>
    <x v="3"/>
    <x v="9"/>
    <n v="5"/>
  </r>
  <r>
    <x v="0"/>
    <x v="0"/>
    <x v="4"/>
    <x v="14"/>
    <x v="16"/>
    <x v="3"/>
    <x v="3"/>
    <n v="2"/>
  </r>
  <r>
    <x v="0"/>
    <x v="0"/>
    <x v="4"/>
    <x v="14"/>
    <x v="16"/>
    <x v="3"/>
    <x v="4"/>
    <n v="2"/>
  </r>
  <r>
    <x v="0"/>
    <x v="0"/>
    <x v="4"/>
    <x v="14"/>
    <x v="16"/>
    <x v="3"/>
    <x v="5"/>
    <n v="1"/>
  </r>
  <r>
    <x v="0"/>
    <x v="0"/>
    <x v="4"/>
    <x v="14"/>
    <x v="16"/>
    <x v="4"/>
    <x v="7"/>
    <n v="31"/>
  </r>
  <r>
    <x v="0"/>
    <x v="0"/>
    <x v="4"/>
    <x v="14"/>
    <x v="16"/>
    <x v="4"/>
    <x v="12"/>
    <n v="12"/>
  </r>
  <r>
    <x v="0"/>
    <x v="0"/>
    <x v="4"/>
    <x v="14"/>
    <x v="16"/>
    <x v="4"/>
    <x v="9"/>
    <n v="8"/>
  </r>
  <r>
    <x v="0"/>
    <x v="0"/>
    <x v="4"/>
    <x v="14"/>
    <x v="16"/>
    <x v="4"/>
    <x v="4"/>
    <n v="4"/>
  </r>
  <r>
    <x v="0"/>
    <x v="0"/>
    <x v="4"/>
    <x v="14"/>
    <x v="16"/>
    <x v="4"/>
    <x v="5"/>
    <n v="3"/>
  </r>
  <r>
    <x v="0"/>
    <x v="0"/>
    <x v="4"/>
    <x v="14"/>
    <x v="16"/>
    <x v="5"/>
    <x v="12"/>
    <n v="15"/>
  </r>
  <r>
    <x v="0"/>
    <x v="0"/>
    <x v="4"/>
    <x v="14"/>
    <x v="16"/>
    <x v="5"/>
    <x v="9"/>
    <n v="9"/>
  </r>
  <r>
    <x v="0"/>
    <x v="0"/>
    <x v="4"/>
    <x v="14"/>
    <x v="16"/>
    <x v="5"/>
    <x v="3"/>
    <n v="3"/>
  </r>
  <r>
    <x v="0"/>
    <x v="0"/>
    <x v="4"/>
    <x v="14"/>
    <x v="16"/>
    <x v="5"/>
    <x v="4"/>
    <n v="2"/>
  </r>
  <r>
    <x v="0"/>
    <x v="0"/>
    <x v="4"/>
    <x v="14"/>
    <x v="16"/>
    <x v="11"/>
    <x v="12"/>
    <n v="12"/>
  </r>
  <r>
    <x v="0"/>
    <x v="0"/>
    <x v="4"/>
    <x v="14"/>
    <x v="16"/>
    <x v="11"/>
    <x v="9"/>
    <n v="4"/>
  </r>
  <r>
    <x v="0"/>
    <x v="0"/>
    <x v="4"/>
    <x v="14"/>
    <x v="16"/>
    <x v="11"/>
    <x v="3"/>
    <n v="5"/>
  </r>
  <r>
    <x v="0"/>
    <x v="0"/>
    <x v="4"/>
    <x v="14"/>
    <x v="16"/>
    <x v="11"/>
    <x v="0"/>
    <n v="1"/>
  </r>
  <r>
    <x v="0"/>
    <x v="0"/>
    <x v="4"/>
    <x v="14"/>
    <x v="16"/>
    <x v="6"/>
    <x v="12"/>
    <n v="12"/>
  </r>
  <r>
    <x v="0"/>
    <x v="0"/>
    <x v="4"/>
    <x v="14"/>
    <x v="16"/>
    <x v="6"/>
    <x v="9"/>
    <n v="9"/>
  </r>
  <r>
    <x v="0"/>
    <x v="0"/>
    <x v="4"/>
    <x v="14"/>
    <x v="16"/>
    <x v="9"/>
    <x v="8"/>
    <n v="335"/>
  </r>
  <r>
    <x v="0"/>
    <x v="0"/>
    <x v="4"/>
    <x v="14"/>
    <x v="16"/>
    <x v="9"/>
    <x v="12"/>
    <n v="18"/>
  </r>
  <r>
    <x v="0"/>
    <x v="0"/>
    <x v="4"/>
    <x v="14"/>
    <x v="16"/>
    <x v="7"/>
    <x v="10"/>
    <n v="30"/>
  </r>
  <r>
    <x v="0"/>
    <x v="0"/>
    <x v="4"/>
    <x v="14"/>
    <x v="16"/>
    <x v="7"/>
    <x v="1"/>
    <n v="15"/>
  </r>
  <r>
    <x v="0"/>
    <x v="0"/>
    <x v="4"/>
    <x v="14"/>
    <x v="16"/>
    <x v="8"/>
    <x v="6"/>
    <n v="21"/>
  </r>
  <r>
    <x v="0"/>
    <x v="0"/>
    <x v="4"/>
    <x v="14"/>
    <x v="16"/>
    <x v="8"/>
    <x v="10"/>
    <n v="21"/>
  </r>
  <r>
    <x v="0"/>
    <x v="0"/>
    <x v="4"/>
    <x v="14"/>
    <x v="16"/>
    <x v="8"/>
    <x v="1"/>
    <n v="11"/>
  </r>
  <r>
    <x v="0"/>
    <x v="0"/>
    <x v="4"/>
    <x v="14"/>
    <x v="16"/>
    <x v="8"/>
    <x v="3"/>
    <n v="2"/>
  </r>
  <r>
    <x v="0"/>
    <x v="0"/>
    <x v="4"/>
    <x v="14"/>
    <x v="16"/>
    <x v="8"/>
    <x v="4"/>
    <n v="3"/>
  </r>
  <r>
    <x v="0"/>
    <x v="0"/>
    <x v="4"/>
    <x v="14"/>
    <x v="18"/>
    <x v="11"/>
    <x v="9"/>
    <n v="2"/>
  </r>
  <r>
    <x v="0"/>
    <x v="0"/>
    <x v="4"/>
    <x v="14"/>
    <x v="18"/>
    <x v="6"/>
    <x v="9"/>
    <n v="3"/>
  </r>
  <r>
    <x v="0"/>
    <x v="0"/>
    <x v="4"/>
    <x v="14"/>
    <x v="18"/>
    <x v="9"/>
    <x v="3"/>
    <n v="1"/>
  </r>
  <r>
    <x v="0"/>
    <x v="0"/>
    <x v="4"/>
    <x v="14"/>
    <x v="18"/>
    <x v="12"/>
    <x v="12"/>
    <n v="1"/>
  </r>
  <r>
    <x v="0"/>
    <x v="0"/>
    <x v="4"/>
    <x v="14"/>
    <x v="18"/>
    <x v="1"/>
    <x v="9"/>
    <n v="1"/>
  </r>
  <r>
    <x v="0"/>
    <x v="0"/>
    <x v="4"/>
    <x v="14"/>
    <x v="18"/>
    <x v="0"/>
    <x v="9"/>
    <n v="3"/>
  </r>
  <r>
    <x v="0"/>
    <x v="0"/>
    <x v="4"/>
    <x v="18"/>
    <x v="12"/>
    <x v="0"/>
    <x v="4"/>
    <n v="3"/>
  </r>
  <r>
    <x v="0"/>
    <x v="0"/>
    <x v="4"/>
    <x v="18"/>
    <x v="12"/>
    <x v="0"/>
    <x v="5"/>
    <n v="33"/>
  </r>
  <r>
    <x v="0"/>
    <x v="0"/>
    <x v="4"/>
    <x v="18"/>
    <x v="12"/>
    <x v="0"/>
    <x v="2"/>
    <n v="54"/>
  </r>
  <r>
    <x v="0"/>
    <x v="0"/>
    <x v="4"/>
    <x v="18"/>
    <x v="12"/>
    <x v="0"/>
    <x v="13"/>
    <n v="77"/>
  </r>
  <r>
    <x v="0"/>
    <x v="0"/>
    <x v="4"/>
    <x v="18"/>
    <x v="14"/>
    <x v="8"/>
    <x v="5"/>
    <n v="1"/>
  </r>
  <r>
    <x v="0"/>
    <x v="0"/>
    <x v="4"/>
    <x v="18"/>
    <x v="14"/>
    <x v="0"/>
    <x v="0"/>
    <n v="6"/>
  </r>
  <r>
    <x v="0"/>
    <x v="0"/>
    <x v="4"/>
    <x v="18"/>
    <x v="14"/>
    <x v="0"/>
    <x v="17"/>
    <n v="7"/>
  </r>
  <r>
    <x v="0"/>
    <x v="0"/>
    <x v="4"/>
    <x v="18"/>
    <x v="14"/>
    <x v="0"/>
    <x v="19"/>
    <n v="7"/>
  </r>
  <r>
    <x v="0"/>
    <x v="0"/>
    <x v="4"/>
    <x v="18"/>
    <x v="6"/>
    <x v="0"/>
    <x v="5"/>
    <n v="2"/>
  </r>
  <r>
    <x v="0"/>
    <x v="0"/>
    <x v="4"/>
    <x v="18"/>
    <x v="6"/>
    <x v="0"/>
    <x v="2"/>
    <n v="1"/>
  </r>
  <r>
    <x v="0"/>
    <x v="0"/>
    <x v="4"/>
    <x v="18"/>
    <x v="6"/>
    <x v="0"/>
    <x v="11"/>
    <n v="1"/>
  </r>
  <r>
    <x v="0"/>
    <x v="0"/>
    <x v="4"/>
    <x v="18"/>
    <x v="6"/>
    <x v="0"/>
    <x v="14"/>
    <n v="1"/>
  </r>
  <r>
    <x v="0"/>
    <x v="0"/>
    <x v="4"/>
    <x v="15"/>
    <x v="1"/>
    <x v="0"/>
    <x v="9"/>
    <n v="3"/>
  </r>
  <r>
    <x v="0"/>
    <x v="0"/>
    <x v="4"/>
    <x v="15"/>
    <x v="13"/>
    <x v="0"/>
    <x v="2"/>
    <n v="1"/>
  </r>
  <r>
    <x v="0"/>
    <x v="0"/>
    <x v="4"/>
    <x v="15"/>
    <x v="8"/>
    <x v="0"/>
    <x v="9"/>
    <n v="37"/>
  </r>
  <r>
    <x v="0"/>
    <x v="0"/>
    <x v="4"/>
    <x v="15"/>
    <x v="8"/>
    <x v="0"/>
    <x v="3"/>
    <n v="48"/>
  </r>
  <r>
    <x v="0"/>
    <x v="0"/>
    <x v="4"/>
    <x v="15"/>
    <x v="8"/>
    <x v="0"/>
    <x v="4"/>
    <n v="63"/>
  </r>
  <r>
    <x v="0"/>
    <x v="0"/>
    <x v="4"/>
    <x v="15"/>
    <x v="8"/>
    <x v="0"/>
    <x v="5"/>
    <n v="13"/>
  </r>
  <r>
    <x v="0"/>
    <x v="0"/>
    <x v="4"/>
    <x v="15"/>
    <x v="8"/>
    <x v="0"/>
    <x v="2"/>
    <n v="3"/>
  </r>
  <r>
    <x v="0"/>
    <x v="0"/>
    <x v="4"/>
    <x v="15"/>
    <x v="6"/>
    <x v="0"/>
    <x v="12"/>
    <n v="2"/>
  </r>
  <r>
    <x v="0"/>
    <x v="0"/>
    <x v="4"/>
    <x v="15"/>
    <x v="6"/>
    <x v="0"/>
    <x v="9"/>
    <n v="1"/>
  </r>
  <r>
    <x v="0"/>
    <x v="0"/>
    <x v="4"/>
    <x v="15"/>
    <x v="6"/>
    <x v="0"/>
    <x v="3"/>
    <n v="1"/>
  </r>
  <r>
    <x v="0"/>
    <x v="0"/>
    <x v="4"/>
    <x v="15"/>
    <x v="18"/>
    <x v="1"/>
    <x v="10"/>
    <n v="1"/>
  </r>
  <r>
    <x v="0"/>
    <x v="0"/>
    <x v="4"/>
    <x v="15"/>
    <x v="18"/>
    <x v="0"/>
    <x v="1"/>
    <n v="14"/>
  </r>
  <r>
    <x v="0"/>
    <x v="0"/>
    <x v="4"/>
    <x v="15"/>
    <x v="18"/>
    <x v="0"/>
    <x v="12"/>
    <n v="13"/>
  </r>
  <r>
    <x v="0"/>
    <x v="0"/>
    <x v="4"/>
    <x v="15"/>
    <x v="18"/>
    <x v="0"/>
    <x v="9"/>
    <n v="5"/>
  </r>
  <r>
    <x v="0"/>
    <x v="0"/>
    <x v="4"/>
    <x v="15"/>
    <x v="18"/>
    <x v="0"/>
    <x v="3"/>
    <n v="8"/>
  </r>
  <r>
    <x v="0"/>
    <x v="0"/>
    <x v="4"/>
    <x v="15"/>
    <x v="18"/>
    <x v="0"/>
    <x v="4"/>
    <n v="3"/>
  </r>
  <r>
    <x v="0"/>
    <x v="0"/>
    <x v="4"/>
    <x v="15"/>
    <x v="18"/>
    <x v="0"/>
    <x v="5"/>
    <n v="1"/>
  </r>
  <r>
    <x v="0"/>
    <x v="0"/>
    <x v="4"/>
    <x v="16"/>
    <x v="19"/>
    <x v="0"/>
    <x v="1"/>
    <n v="2"/>
  </r>
  <r>
    <x v="0"/>
    <x v="0"/>
    <x v="4"/>
    <x v="16"/>
    <x v="19"/>
    <x v="0"/>
    <x v="4"/>
    <n v="1"/>
  </r>
  <r>
    <x v="0"/>
    <x v="0"/>
    <x v="4"/>
    <x v="17"/>
    <x v="12"/>
    <x v="5"/>
    <x v="0"/>
    <n v="1"/>
  </r>
  <r>
    <x v="0"/>
    <x v="0"/>
    <x v="4"/>
    <x v="17"/>
    <x v="12"/>
    <x v="5"/>
    <x v="18"/>
    <n v="1"/>
  </r>
  <r>
    <x v="0"/>
    <x v="0"/>
    <x v="4"/>
    <x v="17"/>
    <x v="12"/>
    <x v="11"/>
    <x v="0"/>
    <n v="1"/>
  </r>
  <r>
    <x v="0"/>
    <x v="0"/>
    <x v="4"/>
    <x v="17"/>
    <x v="12"/>
    <x v="11"/>
    <x v="18"/>
    <n v="2"/>
  </r>
  <r>
    <x v="0"/>
    <x v="0"/>
    <x v="4"/>
    <x v="17"/>
    <x v="12"/>
    <x v="6"/>
    <x v="0"/>
    <n v="2"/>
  </r>
  <r>
    <x v="0"/>
    <x v="0"/>
    <x v="4"/>
    <x v="17"/>
    <x v="12"/>
    <x v="7"/>
    <x v="3"/>
    <n v="1"/>
  </r>
  <r>
    <x v="0"/>
    <x v="0"/>
    <x v="4"/>
    <x v="17"/>
    <x v="12"/>
    <x v="7"/>
    <x v="5"/>
    <n v="3"/>
  </r>
  <r>
    <x v="0"/>
    <x v="0"/>
    <x v="4"/>
    <x v="17"/>
    <x v="12"/>
    <x v="7"/>
    <x v="2"/>
    <n v="2"/>
  </r>
  <r>
    <x v="0"/>
    <x v="0"/>
    <x v="4"/>
    <x v="17"/>
    <x v="12"/>
    <x v="7"/>
    <x v="13"/>
    <n v="1"/>
  </r>
  <r>
    <x v="0"/>
    <x v="0"/>
    <x v="4"/>
    <x v="17"/>
    <x v="12"/>
    <x v="1"/>
    <x v="19"/>
    <n v="1"/>
  </r>
  <r>
    <x v="0"/>
    <x v="0"/>
    <x v="4"/>
    <x v="17"/>
    <x v="12"/>
    <x v="8"/>
    <x v="18"/>
    <n v="1"/>
  </r>
  <r>
    <x v="0"/>
    <x v="0"/>
    <x v="1"/>
    <x v="11"/>
    <x v="7"/>
    <x v="12"/>
    <x v="5"/>
    <n v="7"/>
  </r>
  <r>
    <x v="0"/>
    <x v="0"/>
    <x v="1"/>
    <x v="11"/>
    <x v="7"/>
    <x v="12"/>
    <x v="0"/>
    <n v="2"/>
  </r>
  <r>
    <x v="0"/>
    <x v="0"/>
    <x v="1"/>
    <x v="11"/>
    <x v="7"/>
    <x v="12"/>
    <x v="18"/>
    <n v="2"/>
  </r>
  <r>
    <x v="0"/>
    <x v="0"/>
    <x v="1"/>
    <x v="11"/>
    <x v="7"/>
    <x v="7"/>
    <x v="11"/>
    <n v="4"/>
  </r>
  <r>
    <x v="0"/>
    <x v="0"/>
    <x v="1"/>
    <x v="11"/>
    <x v="7"/>
    <x v="7"/>
    <x v="14"/>
    <n v="7"/>
  </r>
  <r>
    <x v="0"/>
    <x v="0"/>
    <x v="1"/>
    <x v="11"/>
    <x v="7"/>
    <x v="7"/>
    <x v="17"/>
    <n v="4"/>
  </r>
  <r>
    <x v="0"/>
    <x v="0"/>
    <x v="1"/>
    <x v="11"/>
    <x v="7"/>
    <x v="7"/>
    <x v="19"/>
    <n v="1"/>
  </r>
  <r>
    <x v="0"/>
    <x v="0"/>
    <x v="1"/>
    <x v="11"/>
    <x v="7"/>
    <x v="1"/>
    <x v="4"/>
    <n v="4"/>
  </r>
  <r>
    <x v="0"/>
    <x v="0"/>
    <x v="1"/>
    <x v="11"/>
    <x v="7"/>
    <x v="1"/>
    <x v="0"/>
    <n v="3"/>
  </r>
  <r>
    <x v="0"/>
    <x v="0"/>
    <x v="1"/>
    <x v="11"/>
    <x v="7"/>
    <x v="1"/>
    <x v="18"/>
    <n v="1"/>
  </r>
  <r>
    <x v="0"/>
    <x v="0"/>
    <x v="1"/>
    <x v="11"/>
    <x v="7"/>
    <x v="8"/>
    <x v="13"/>
    <n v="4"/>
  </r>
  <r>
    <x v="0"/>
    <x v="0"/>
    <x v="1"/>
    <x v="11"/>
    <x v="7"/>
    <x v="8"/>
    <x v="11"/>
    <n v="3"/>
  </r>
  <r>
    <x v="0"/>
    <x v="0"/>
    <x v="1"/>
    <x v="11"/>
    <x v="7"/>
    <x v="8"/>
    <x v="14"/>
    <n v="5"/>
  </r>
  <r>
    <x v="0"/>
    <x v="0"/>
    <x v="1"/>
    <x v="11"/>
    <x v="7"/>
    <x v="8"/>
    <x v="17"/>
    <n v="4"/>
  </r>
  <r>
    <x v="0"/>
    <x v="0"/>
    <x v="1"/>
    <x v="11"/>
    <x v="7"/>
    <x v="8"/>
    <x v="19"/>
    <n v="2"/>
  </r>
  <r>
    <x v="0"/>
    <x v="0"/>
    <x v="1"/>
    <x v="11"/>
    <x v="7"/>
    <x v="0"/>
    <x v="0"/>
    <n v="8"/>
  </r>
  <r>
    <x v="0"/>
    <x v="0"/>
    <x v="1"/>
    <x v="11"/>
    <x v="7"/>
    <x v="0"/>
    <x v="18"/>
    <n v="6"/>
  </r>
  <r>
    <x v="0"/>
    <x v="0"/>
    <x v="1"/>
    <x v="12"/>
    <x v="7"/>
    <x v="19"/>
    <x v="5"/>
    <n v="2"/>
  </r>
  <r>
    <x v="0"/>
    <x v="0"/>
    <x v="1"/>
    <x v="12"/>
    <x v="7"/>
    <x v="11"/>
    <x v="4"/>
    <n v="1"/>
  </r>
  <r>
    <x v="0"/>
    <x v="0"/>
    <x v="1"/>
    <x v="12"/>
    <x v="7"/>
    <x v="11"/>
    <x v="13"/>
    <n v="1"/>
  </r>
  <r>
    <x v="0"/>
    <x v="0"/>
    <x v="1"/>
    <x v="12"/>
    <x v="6"/>
    <x v="18"/>
    <x v="5"/>
    <n v="1"/>
  </r>
  <r>
    <x v="0"/>
    <x v="0"/>
    <x v="1"/>
    <x v="12"/>
    <x v="6"/>
    <x v="18"/>
    <x v="11"/>
    <n v="1"/>
  </r>
  <r>
    <x v="0"/>
    <x v="0"/>
    <x v="1"/>
    <x v="12"/>
    <x v="6"/>
    <x v="19"/>
    <x v="12"/>
    <n v="14"/>
  </r>
  <r>
    <x v="0"/>
    <x v="0"/>
    <x v="1"/>
    <x v="12"/>
    <x v="6"/>
    <x v="19"/>
    <x v="9"/>
    <n v="2"/>
  </r>
  <r>
    <x v="0"/>
    <x v="0"/>
    <x v="1"/>
    <x v="12"/>
    <x v="6"/>
    <x v="19"/>
    <x v="4"/>
    <n v="1"/>
  </r>
  <r>
    <x v="0"/>
    <x v="0"/>
    <x v="1"/>
    <x v="12"/>
    <x v="6"/>
    <x v="19"/>
    <x v="5"/>
    <n v="1"/>
  </r>
  <r>
    <x v="0"/>
    <x v="0"/>
    <x v="1"/>
    <x v="12"/>
    <x v="6"/>
    <x v="19"/>
    <x v="2"/>
    <n v="1"/>
  </r>
  <r>
    <x v="0"/>
    <x v="0"/>
    <x v="1"/>
    <x v="12"/>
    <x v="6"/>
    <x v="19"/>
    <x v="13"/>
    <n v="1"/>
  </r>
  <r>
    <x v="0"/>
    <x v="0"/>
    <x v="1"/>
    <x v="12"/>
    <x v="6"/>
    <x v="16"/>
    <x v="1"/>
    <n v="6"/>
  </r>
  <r>
    <x v="0"/>
    <x v="0"/>
    <x v="1"/>
    <x v="12"/>
    <x v="6"/>
    <x v="16"/>
    <x v="12"/>
    <n v="8"/>
  </r>
  <r>
    <x v="0"/>
    <x v="0"/>
    <x v="1"/>
    <x v="12"/>
    <x v="6"/>
    <x v="16"/>
    <x v="9"/>
    <n v="3"/>
  </r>
  <r>
    <x v="0"/>
    <x v="0"/>
    <x v="1"/>
    <x v="12"/>
    <x v="6"/>
    <x v="16"/>
    <x v="3"/>
    <n v="1"/>
  </r>
  <r>
    <x v="0"/>
    <x v="0"/>
    <x v="1"/>
    <x v="12"/>
    <x v="6"/>
    <x v="15"/>
    <x v="10"/>
    <n v="16"/>
  </r>
  <r>
    <x v="0"/>
    <x v="0"/>
    <x v="1"/>
    <x v="12"/>
    <x v="6"/>
    <x v="15"/>
    <x v="1"/>
    <n v="2"/>
  </r>
  <r>
    <x v="0"/>
    <x v="0"/>
    <x v="1"/>
    <x v="12"/>
    <x v="6"/>
    <x v="15"/>
    <x v="12"/>
    <n v="11"/>
  </r>
  <r>
    <x v="0"/>
    <x v="0"/>
    <x v="1"/>
    <x v="12"/>
    <x v="6"/>
    <x v="14"/>
    <x v="6"/>
    <n v="2"/>
  </r>
  <r>
    <x v="0"/>
    <x v="0"/>
    <x v="1"/>
    <x v="12"/>
    <x v="6"/>
    <x v="14"/>
    <x v="10"/>
    <n v="7"/>
  </r>
  <r>
    <x v="0"/>
    <x v="0"/>
    <x v="1"/>
    <x v="12"/>
    <x v="6"/>
    <x v="14"/>
    <x v="1"/>
    <n v="7"/>
  </r>
  <r>
    <x v="0"/>
    <x v="0"/>
    <x v="1"/>
    <x v="12"/>
    <x v="6"/>
    <x v="13"/>
    <x v="6"/>
    <n v="1"/>
  </r>
  <r>
    <x v="0"/>
    <x v="0"/>
    <x v="1"/>
    <x v="12"/>
    <x v="6"/>
    <x v="13"/>
    <x v="10"/>
    <n v="2"/>
  </r>
  <r>
    <x v="0"/>
    <x v="0"/>
    <x v="1"/>
    <x v="12"/>
    <x v="6"/>
    <x v="2"/>
    <x v="11"/>
    <n v="1"/>
  </r>
  <r>
    <x v="0"/>
    <x v="0"/>
    <x v="1"/>
    <x v="12"/>
    <x v="6"/>
    <x v="10"/>
    <x v="13"/>
    <n v="1"/>
  </r>
  <r>
    <x v="0"/>
    <x v="0"/>
    <x v="1"/>
    <x v="12"/>
    <x v="6"/>
    <x v="10"/>
    <x v="14"/>
    <n v="1"/>
  </r>
  <r>
    <x v="0"/>
    <x v="0"/>
    <x v="1"/>
    <x v="12"/>
    <x v="6"/>
    <x v="3"/>
    <x v="13"/>
    <n v="1"/>
  </r>
  <r>
    <x v="0"/>
    <x v="0"/>
    <x v="1"/>
    <x v="12"/>
    <x v="6"/>
    <x v="4"/>
    <x v="5"/>
    <n v="1"/>
  </r>
  <r>
    <x v="0"/>
    <x v="0"/>
    <x v="1"/>
    <x v="12"/>
    <x v="6"/>
    <x v="4"/>
    <x v="11"/>
    <n v="1"/>
  </r>
  <r>
    <x v="0"/>
    <x v="0"/>
    <x v="1"/>
    <x v="12"/>
    <x v="6"/>
    <x v="5"/>
    <x v="4"/>
    <n v="2"/>
  </r>
  <r>
    <x v="0"/>
    <x v="0"/>
    <x v="1"/>
    <x v="12"/>
    <x v="6"/>
    <x v="5"/>
    <x v="2"/>
    <n v="1"/>
  </r>
  <r>
    <x v="0"/>
    <x v="0"/>
    <x v="1"/>
    <x v="12"/>
    <x v="6"/>
    <x v="5"/>
    <x v="18"/>
    <n v="1"/>
  </r>
  <r>
    <x v="0"/>
    <x v="0"/>
    <x v="1"/>
    <x v="12"/>
    <x v="6"/>
    <x v="11"/>
    <x v="3"/>
    <n v="3"/>
  </r>
  <r>
    <x v="0"/>
    <x v="0"/>
    <x v="1"/>
    <x v="12"/>
    <x v="6"/>
    <x v="11"/>
    <x v="4"/>
    <n v="2"/>
  </r>
  <r>
    <x v="0"/>
    <x v="0"/>
    <x v="1"/>
    <x v="12"/>
    <x v="6"/>
    <x v="11"/>
    <x v="5"/>
    <n v="1"/>
  </r>
  <r>
    <x v="0"/>
    <x v="0"/>
    <x v="1"/>
    <x v="12"/>
    <x v="6"/>
    <x v="11"/>
    <x v="2"/>
    <n v="1"/>
  </r>
  <r>
    <x v="0"/>
    <x v="0"/>
    <x v="1"/>
    <x v="12"/>
    <x v="6"/>
    <x v="6"/>
    <x v="9"/>
    <n v="3"/>
  </r>
  <r>
    <x v="0"/>
    <x v="0"/>
    <x v="1"/>
    <x v="12"/>
    <x v="6"/>
    <x v="6"/>
    <x v="3"/>
    <n v="2"/>
  </r>
  <r>
    <x v="0"/>
    <x v="0"/>
    <x v="1"/>
    <x v="12"/>
    <x v="6"/>
    <x v="6"/>
    <x v="5"/>
    <n v="1"/>
  </r>
  <r>
    <x v="0"/>
    <x v="0"/>
    <x v="1"/>
    <x v="12"/>
    <x v="6"/>
    <x v="9"/>
    <x v="12"/>
    <n v="5"/>
  </r>
  <r>
    <x v="0"/>
    <x v="0"/>
    <x v="1"/>
    <x v="12"/>
    <x v="6"/>
    <x v="9"/>
    <x v="9"/>
    <n v="2"/>
  </r>
  <r>
    <x v="0"/>
    <x v="0"/>
    <x v="1"/>
    <x v="12"/>
    <x v="6"/>
    <x v="9"/>
    <x v="3"/>
    <n v="1"/>
  </r>
  <r>
    <x v="0"/>
    <x v="0"/>
    <x v="1"/>
    <x v="12"/>
    <x v="6"/>
    <x v="12"/>
    <x v="12"/>
    <n v="1"/>
  </r>
  <r>
    <x v="0"/>
    <x v="0"/>
    <x v="1"/>
    <x v="12"/>
    <x v="6"/>
    <x v="12"/>
    <x v="9"/>
    <n v="2"/>
  </r>
  <r>
    <x v="0"/>
    <x v="0"/>
    <x v="1"/>
    <x v="12"/>
    <x v="6"/>
    <x v="12"/>
    <x v="3"/>
    <n v="3"/>
  </r>
  <r>
    <x v="0"/>
    <x v="0"/>
    <x v="1"/>
    <x v="12"/>
    <x v="6"/>
    <x v="7"/>
    <x v="17"/>
    <n v="1"/>
  </r>
  <r>
    <x v="0"/>
    <x v="0"/>
    <x v="1"/>
    <x v="12"/>
    <x v="6"/>
    <x v="1"/>
    <x v="9"/>
    <n v="1"/>
  </r>
  <r>
    <x v="0"/>
    <x v="0"/>
    <x v="1"/>
    <x v="13"/>
    <x v="0"/>
    <x v="17"/>
    <x v="5"/>
    <n v="4"/>
  </r>
  <r>
    <x v="0"/>
    <x v="0"/>
    <x v="1"/>
    <x v="13"/>
    <x v="0"/>
    <x v="17"/>
    <x v="2"/>
    <n v="4"/>
  </r>
  <r>
    <x v="0"/>
    <x v="0"/>
    <x v="1"/>
    <x v="13"/>
    <x v="0"/>
    <x v="17"/>
    <x v="13"/>
    <n v="1"/>
  </r>
  <r>
    <x v="0"/>
    <x v="0"/>
    <x v="1"/>
    <x v="13"/>
    <x v="0"/>
    <x v="17"/>
    <x v="19"/>
    <n v="1"/>
  </r>
  <r>
    <x v="0"/>
    <x v="0"/>
    <x v="1"/>
    <x v="13"/>
    <x v="0"/>
    <x v="16"/>
    <x v="11"/>
    <n v="1"/>
  </r>
  <r>
    <x v="0"/>
    <x v="0"/>
    <x v="1"/>
    <x v="13"/>
    <x v="0"/>
    <x v="16"/>
    <x v="19"/>
    <n v="1"/>
  </r>
  <r>
    <x v="0"/>
    <x v="0"/>
    <x v="1"/>
    <x v="13"/>
    <x v="0"/>
    <x v="15"/>
    <x v="2"/>
    <n v="3"/>
  </r>
  <r>
    <x v="0"/>
    <x v="0"/>
    <x v="1"/>
    <x v="13"/>
    <x v="0"/>
    <x v="15"/>
    <x v="13"/>
    <n v="3"/>
  </r>
  <r>
    <x v="0"/>
    <x v="0"/>
    <x v="1"/>
    <x v="13"/>
    <x v="0"/>
    <x v="15"/>
    <x v="11"/>
    <n v="1"/>
  </r>
  <r>
    <x v="0"/>
    <x v="0"/>
    <x v="1"/>
    <x v="13"/>
    <x v="0"/>
    <x v="15"/>
    <x v="19"/>
    <n v="1"/>
  </r>
  <r>
    <x v="0"/>
    <x v="0"/>
    <x v="1"/>
    <x v="13"/>
    <x v="0"/>
    <x v="14"/>
    <x v="5"/>
    <n v="4"/>
  </r>
  <r>
    <x v="0"/>
    <x v="0"/>
    <x v="1"/>
    <x v="13"/>
    <x v="0"/>
    <x v="14"/>
    <x v="2"/>
    <n v="5"/>
  </r>
  <r>
    <x v="0"/>
    <x v="0"/>
    <x v="1"/>
    <x v="13"/>
    <x v="0"/>
    <x v="14"/>
    <x v="13"/>
    <n v="6"/>
  </r>
  <r>
    <x v="0"/>
    <x v="0"/>
    <x v="1"/>
    <x v="13"/>
    <x v="0"/>
    <x v="14"/>
    <x v="14"/>
    <n v="3"/>
  </r>
  <r>
    <x v="0"/>
    <x v="0"/>
    <x v="1"/>
    <x v="13"/>
    <x v="0"/>
    <x v="13"/>
    <x v="5"/>
    <n v="2"/>
  </r>
  <r>
    <x v="0"/>
    <x v="0"/>
    <x v="1"/>
    <x v="13"/>
    <x v="0"/>
    <x v="13"/>
    <x v="2"/>
    <n v="4"/>
  </r>
  <r>
    <x v="0"/>
    <x v="0"/>
    <x v="1"/>
    <x v="15"/>
    <x v="11"/>
    <x v="1"/>
    <x v="3"/>
    <n v="1"/>
  </r>
  <r>
    <x v="0"/>
    <x v="0"/>
    <x v="1"/>
    <x v="15"/>
    <x v="11"/>
    <x v="1"/>
    <x v="4"/>
    <n v="1"/>
  </r>
  <r>
    <x v="0"/>
    <x v="0"/>
    <x v="1"/>
    <x v="15"/>
    <x v="19"/>
    <x v="7"/>
    <x v="4"/>
    <n v="1"/>
  </r>
  <r>
    <x v="0"/>
    <x v="0"/>
    <x v="1"/>
    <x v="16"/>
    <x v="14"/>
    <x v="0"/>
    <x v="2"/>
    <n v="1"/>
  </r>
  <r>
    <x v="0"/>
    <x v="0"/>
    <x v="1"/>
    <x v="17"/>
    <x v="11"/>
    <x v="1"/>
    <x v="3"/>
    <n v="1"/>
  </r>
  <r>
    <x v="0"/>
    <x v="0"/>
    <x v="1"/>
    <x v="17"/>
    <x v="11"/>
    <x v="1"/>
    <x v="4"/>
    <n v="2"/>
  </r>
  <r>
    <x v="0"/>
    <x v="0"/>
    <x v="1"/>
    <x v="17"/>
    <x v="11"/>
    <x v="0"/>
    <x v="3"/>
    <n v="1"/>
  </r>
  <r>
    <x v="0"/>
    <x v="0"/>
    <x v="1"/>
    <x v="19"/>
    <x v="7"/>
    <x v="17"/>
    <x v="12"/>
    <n v="499"/>
  </r>
  <r>
    <x v="0"/>
    <x v="0"/>
    <x v="1"/>
    <x v="19"/>
    <x v="7"/>
    <x v="17"/>
    <x v="9"/>
    <n v="91"/>
  </r>
  <r>
    <x v="0"/>
    <x v="0"/>
    <x v="1"/>
    <x v="19"/>
    <x v="7"/>
    <x v="17"/>
    <x v="18"/>
    <n v="3"/>
  </r>
  <r>
    <x v="0"/>
    <x v="0"/>
    <x v="1"/>
    <x v="19"/>
    <x v="7"/>
    <x v="18"/>
    <x v="11"/>
    <n v="22"/>
  </r>
  <r>
    <x v="0"/>
    <x v="0"/>
    <x v="1"/>
    <x v="19"/>
    <x v="7"/>
    <x v="18"/>
    <x v="14"/>
    <n v="27"/>
  </r>
  <r>
    <x v="0"/>
    <x v="0"/>
    <x v="1"/>
    <x v="19"/>
    <x v="7"/>
    <x v="18"/>
    <x v="17"/>
    <n v="4"/>
  </r>
  <r>
    <x v="0"/>
    <x v="0"/>
    <x v="1"/>
    <x v="19"/>
    <x v="7"/>
    <x v="18"/>
    <x v="19"/>
    <n v="1"/>
  </r>
  <r>
    <x v="0"/>
    <x v="0"/>
    <x v="1"/>
    <x v="19"/>
    <x v="7"/>
    <x v="19"/>
    <x v="4"/>
    <n v="69"/>
  </r>
  <r>
    <x v="0"/>
    <x v="0"/>
    <x v="1"/>
    <x v="19"/>
    <x v="7"/>
    <x v="19"/>
    <x v="5"/>
    <n v="63"/>
  </r>
  <r>
    <x v="0"/>
    <x v="0"/>
    <x v="1"/>
    <x v="19"/>
    <x v="7"/>
    <x v="19"/>
    <x v="2"/>
    <n v="51"/>
  </r>
  <r>
    <x v="0"/>
    <x v="0"/>
    <x v="1"/>
    <x v="19"/>
    <x v="7"/>
    <x v="19"/>
    <x v="13"/>
    <n v="50"/>
  </r>
  <r>
    <x v="0"/>
    <x v="0"/>
    <x v="1"/>
    <x v="19"/>
    <x v="7"/>
    <x v="19"/>
    <x v="11"/>
    <n v="50"/>
  </r>
  <r>
    <x v="0"/>
    <x v="0"/>
    <x v="1"/>
    <x v="19"/>
    <x v="7"/>
    <x v="19"/>
    <x v="14"/>
    <n v="38"/>
  </r>
  <r>
    <x v="0"/>
    <x v="0"/>
    <x v="1"/>
    <x v="19"/>
    <x v="7"/>
    <x v="16"/>
    <x v="12"/>
    <n v="217"/>
  </r>
  <r>
    <x v="0"/>
    <x v="0"/>
    <x v="1"/>
    <x v="19"/>
    <x v="7"/>
    <x v="16"/>
    <x v="9"/>
    <n v="121"/>
  </r>
  <r>
    <x v="0"/>
    <x v="0"/>
    <x v="1"/>
    <x v="19"/>
    <x v="7"/>
    <x v="16"/>
    <x v="3"/>
    <n v="72"/>
  </r>
  <r>
    <x v="0"/>
    <x v="0"/>
    <x v="1"/>
    <x v="19"/>
    <x v="7"/>
    <x v="16"/>
    <x v="4"/>
    <n v="58"/>
  </r>
  <r>
    <x v="0"/>
    <x v="0"/>
    <x v="1"/>
    <x v="19"/>
    <x v="7"/>
    <x v="16"/>
    <x v="5"/>
    <n v="64"/>
  </r>
  <r>
    <x v="0"/>
    <x v="0"/>
    <x v="1"/>
    <x v="19"/>
    <x v="7"/>
    <x v="15"/>
    <x v="1"/>
    <n v="252"/>
  </r>
  <r>
    <x v="0"/>
    <x v="0"/>
    <x v="1"/>
    <x v="19"/>
    <x v="7"/>
    <x v="15"/>
    <x v="12"/>
    <n v="170"/>
  </r>
  <r>
    <x v="0"/>
    <x v="0"/>
    <x v="1"/>
    <x v="19"/>
    <x v="7"/>
    <x v="15"/>
    <x v="9"/>
    <n v="106"/>
  </r>
  <r>
    <x v="0"/>
    <x v="0"/>
    <x v="1"/>
    <x v="19"/>
    <x v="7"/>
    <x v="15"/>
    <x v="3"/>
    <n v="64"/>
  </r>
  <r>
    <x v="0"/>
    <x v="0"/>
    <x v="1"/>
    <x v="19"/>
    <x v="7"/>
    <x v="14"/>
    <x v="10"/>
    <n v="294"/>
  </r>
  <r>
    <x v="0"/>
    <x v="0"/>
    <x v="1"/>
    <x v="19"/>
    <x v="7"/>
    <x v="14"/>
    <x v="1"/>
    <n v="211"/>
  </r>
  <r>
    <x v="0"/>
    <x v="0"/>
    <x v="1"/>
    <x v="19"/>
    <x v="7"/>
    <x v="14"/>
    <x v="12"/>
    <n v="119"/>
  </r>
  <r>
    <x v="0"/>
    <x v="0"/>
    <x v="1"/>
    <x v="19"/>
    <x v="7"/>
    <x v="14"/>
    <x v="0"/>
    <n v="7"/>
  </r>
  <r>
    <x v="0"/>
    <x v="0"/>
    <x v="1"/>
    <x v="19"/>
    <x v="7"/>
    <x v="14"/>
    <x v="18"/>
    <n v="1"/>
  </r>
  <r>
    <x v="0"/>
    <x v="0"/>
    <x v="1"/>
    <x v="19"/>
    <x v="7"/>
    <x v="13"/>
    <x v="6"/>
    <n v="204"/>
  </r>
  <r>
    <x v="0"/>
    <x v="0"/>
    <x v="1"/>
    <x v="19"/>
    <x v="7"/>
    <x v="13"/>
    <x v="10"/>
    <n v="217"/>
  </r>
  <r>
    <x v="0"/>
    <x v="0"/>
    <x v="1"/>
    <x v="19"/>
    <x v="7"/>
    <x v="13"/>
    <x v="1"/>
    <n v="143"/>
  </r>
  <r>
    <x v="0"/>
    <x v="0"/>
    <x v="1"/>
    <x v="19"/>
    <x v="7"/>
    <x v="13"/>
    <x v="0"/>
    <n v="6"/>
  </r>
  <r>
    <x v="0"/>
    <x v="0"/>
    <x v="1"/>
    <x v="19"/>
    <x v="7"/>
    <x v="2"/>
    <x v="6"/>
    <n v="79"/>
  </r>
  <r>
    <x v="0"/>
    <x v="0"/>
    <x v="1"/>
    <x v="19"/>
    <x v="7"/>
    <x v="2"/>
    <x v="10"/>
    <n v="170"/>
  </r>
  <r>
    <x v="0"/>
    <x v="0"/>
    <x v="1"/>
    <x v="19"/>
    <x v="7"/>
    <x v="10"/>
    <x v="6"/>
    <n v="26"/>
  </r>
  <r>
    <x v="0"/>
    <x v="0"/>
    <x v="1"/>
    <x v="19"/>
    <x v="7"/>
    <x v="10"/>
    <x v="17"/>
    <n v="1"/>
  </r>
  <r>
    <x v="0"/>
    <x v="0"/>
    <x v="1"/>
    <x v="19"/>
    <x v="7"/>
    <x v="3"/>
    <x v="6"/>
    <n v="3"/>
  </r>
  <r>
    <x v="0"/>
    <x v="0"/>
    <x v="1"/>
    <x v="19"/>
    <x v="7"/>
    <x v="3"/>
    <x v="14"/>
    <n v="2"/>
  </r>
  <r>
    <x v="0"/>
    <x v="0"/>
    <x v="1"/>
    <x v="19"/>
    <x v="7"/>
    <x v="3"/>
    <x v="17"/>
    <n v="1"/>
  </r>
  <r>
    <x v="0"/>
    <x v="0"/>
    <x v="1"/>
    <x v="19"/>
    <x v="7"/>
    <x v="4"/>
    <x v="11"/>
    <n v="2"/>
  </r>
  <r>
    <x v="0"/>
    <x v="0"/>
    <x v="1"/>
    <x v="19"/>
    <x v="7"/>
    <x v="4"/>
    <x v="14"/>
    <n v="1"/>
  </r>
  <r>
    <x v="0"/>
    <x v="0"/>
    <x v="1"/>
    <x v="19"/>
    <x v="7"/>
    <x v="5"/>
    <x v="13"/>
    <n v="3"/>
  </r>
  <r>
    <x v="0"/>
    <x v="0"/>
    <x v="1"/>
    <x v="19"/>
    <x v="7"/>
    <x v="5"/>
    <x v="11"/>
    <n v="4"/>
  </r>
  <r>
    <x v="0"/>
    <x v="0"/>
    <x v="1"/>
    <x v="19"/>
    <x v="7"/>
    <x v="11"/>
    <x v="2"/>
    <n v="4"/>
  </r>
  <r>
    <x v="0"/>
    <x v="0"/>
    <x v="1"/>
    <x v="19"/>
    <x v="7"/>
    <x v="11"/>
    <x v="13"/>
    <n v="2"/>
  </r>
  <r>
    <x v="0"/>
    <x v="0"/>
    <x v="1"/>
    <x v="19"/>
    <x v="7"/>
    <x v="11"/>
    <x v="11"/>
    <n v="1"/>
  </r>
  <r>
    <x v="0"/>
    <x v="0"/>
    <x v="1"/>
    <x v="19"/>
    <x v="7"/>
    <x v="11"/>
    <x v="14"/>
    <n v="1"/>
  </r>
  <r>
    <x v="0"/>
    <x v="0"/>
    <x v="1"/>
    <x v="19"/>
    <x v="7"/>
    <x v="6"/>
    <x v="5"/>
    <n v="1"/>
  </r>
  <r>
    <x v="0"/>
    <x v="0"/>
    <x v="1"/>
    <x v="19"/>
    <x v="7"/>
    <x v="6"/>
    <x v="2"/>
    <n v="6"/>
  </r>
  <r>
    <x v="0"/>
    <x v="0"/>
    <x v="1"/>
    <x v="19"/>
    <x v="7"/>
    <x v="6"/>
    <x v="13"/>
    <n v="4"/>
  </r>
  <r>
    <x v="0"/>
    <x v="0"/>
    <x v="1"/>
    <x v="19"/>
    <x v="7"/>
    <x v="6"/>
    <x v="11"/>
    <n v="1"/>
  </r>
  <r>
    <x v="0"/>
    <x v="0"/>
    <x v="1"/>
    <x v="19"/>
    <x v="7"/>
    <x v="6"/>
    <x v="14"/>
    <n v="2"/>
  </r>
  <r>
    <x v="0"/>
    <x v="0"/>
    <x v="1"/>
    <x v="19"/>
    <x v="7"/>
    <x v="9"/>
    <x v="4"/>
    <n v="3"/>
  </r>
  <r>
    <x v="0"/>
    <x v="0"/>
    <x v="1"/>
    <x v="19"/>
    <x v="7"/>
    <x v="9"/>
    <x v="5"/>
    <n v="1"/>
  </r>
  <r>
    <x v="0"/>
    <x v="0"/>
    <x v="1"/>
    <x v="19"/>
    <x v="7"/>
    <x v="9"/>
    <x v="2"/>
    <n v="1"/>
  </r>
  <r>
    <x v="0"/>
    <x v="0"/>
    <x v="1"/>
    <x v="19"/>
    <x v="7"/>
    <x v="12"/>
    <x v="3"/>
    <n v="1"/>
  </r>
  <r>
    <x v="0"/>
    <x v="0"/>
    <x v="1"/>
    <x v="19"/>
    <x v="7"/>
    <x v="12"/>
    <x v="4"/>
    <n v="3"/>
  </r>
  <r>
    <x v="0"/>
    <x v="0"/>
    <x v="1"/>
    <x v="19"/>
    <x v="7"/>
    <x v="12"/>
    <x v="5"/>
    <n v="2"/>
  </r>
  <r>
    <x v="0"/>
    <x v="0"/>
    <x v="1"/>
    <x v="19"/>
    <x v="7"/>
    <x v="1"/>
    <x v="9"/>
    <n v="1"/>
  </r>
  <r>
    <x v="0"/>
    <x v="0"/>
    <x v="1"/>
    <x v="19"/>
    <x v="7"/>
    <x v="1"/>
    <x v="3"/>
    <n v="1"/>
  </r>
  <r>
    <x v="0"/>
    <x v="0"/>
    <x v="1"/>
    <x v="19"/>
    <x v="7"/>
    <x v="1"/>
    <x v="4"/>
    <n v="3"/>
  </r>
  <r>
    <x v="0"/>
    <x v="0"/>
    <x v="1"/>
    <x v="19"/>
    <x v="7"/>
    <x v="1"/>
    <x v="5"/>
    <n v="1"/>
  </r>
  <r>
    <x v="0"/>
    <x v="0"/>
    <x v="1"/>
    <x v="19"/>
    <x v="10"/>
    <x v="9"/>
    <x v="12"/>
    <n v="1"/>
  </r>
  <r>
    <x v="0"/>
    <x v="0"/>
    <x v="1"/>
    <x v="19"/>
    <x v="10"/>
    <x v="9"/>
    <x v="2"/>
    <n v="1"/>
  </r>
  <r>
    <x v="0"/>
    <x v="0"/>
    <x v="1"/>
    <x v="19"/>
    <x v="10"/>
    <x v="12"/>
    <x v="12"/>
    <n v="1"/>
  </r>
  <r>
    <x v="0"/>
    <x v="0"/>
    <x v="1"/>
    <x v="19"/>
    <x v="10"/>
    <x v="12"/>
    <x v="9"/>
    <n v="2"/>
  </r>
  <r>
    <x v="0"/>
    <x v="0"/>
    <x v="1"/>
    <x v="19"/>
    <x v="10"/>
    <x v="1"/>
    <x v="12"/>
    <n v="2"/>
  </r>
  <r>
    <x v="0"/>
    <x v="0"/>
    <x v="1"/>
    <x v="19"/>
    <x v="10"/>
    <x v="1"/>
    <x v="9"/>
    <n v="2"/>
  </r>
  <r>
    <x v="0"/>
    <x v="0"/>
    <x v="1"/>
    <x v="19"/>
    <x v="10"/>
    <x v="0"/>
    <x v="9"/>
    <n v="1"/>
  </r>
  <r>
    <x v="0"/>
    <x v="0"/>
    <x v="2"/>
    <x v="0"/>
    <x v="4"/>
    <x v="0"/>
    <x v="19"/>
    <n v="1"/>
  </r>
  <r>
    <x v="0"/>
    <x v="0"/>
    <x v="2"/>
    <x v="0"/>
    <x v="16"/>
    <x v="0"/>
    <x v="19"/>
    <n v="2"/>
  </r>
  <r>
    <x v="0"/>
    <x v="0"/>
    <x v="2"/>
    <x v="0"/>
    <x v="1"/>
    <x v="0"/>
    <x v="5"/>
    <n v="2"/>
  </r>
  <r>
    <x v="0"/>
    <x v="0"/>
    <x v="2"/>
    <x v="0"/>
    <x v="1"/>
    <x v="0"/>
    <x v="2"/>
    <n v="1"/>
  </r>
  <r>
    <x v="0"/>
    <x v="0"/>
    <x v="2"/>
    <x v="0"/>
    <x v="8"/>
    <x v="0"/>
    <x v="18"/>
    <n v="3"/>
  </r>
  <r>
    <x v="0"/>
    <x v="0"/>
    <x v="4"/>
    <x v="17"/>
    <x v="12"/>
    <x v="0"/>
    <x v="17"/>
    <n v="1"/>
  </r>
  <r>
    <x v="0"/>
    <x v="0"/>
    <x v="4"/>
    <x v="17"/>
    <x v="12"/>
    <x v="0"/>
    <x v="19"/>
    <n v="3"/>
  </r>
  <r>
    <x v="0"/>
    <x v="0"/>
    <x v="4"/>
    <x v="17"/>
    <x v="2"/>
    <x v="9"/>
    <x v="17"/>
    <n v="1"/>
  </r>
  <r>
    <x v="0"/>
    <x v="0"/>
    <x v="4"/>
    <x v="17"/>
    <x v="2"/>
    <x v="12"/>
    <x v="11"/>
    <n v="1"/>
  </r>
  <r>
    <x v="0"/>
    <x v="0"/>
    <x v="4"/>
    <x v="17"/>
    <x v="2"/>
    <x v="12"/>
    <x v="17"/>
    <n v="2"/>
  </r>
  <r>
    <x v="0"/>
    <x v="0"/>
    <x v="4"/>
    <x v="17"/>
    <x v="2"/>
    <x v="12"/>
    <x v="19"/>
    <n v="2"/>
  </r>
  <r>
    <x v="0"/>
    <x v="0"/>
    <x v="4"/>
    <x v="17"/>
    <x v="2"/>
    <x v="7"/>
    <x v="0"/>
    <n v="1"/>
  </r>
  <r>
    <x v="0"/>
    <x v="0"/>
    <x v="4"/>
    <x v="17"/>
    <x v="2"/>
    <x v="7"/>
    <x v="18"/>
    <n v="2"/>
  </r>
  <r>
    <x v="0"/>
    <x v="0"/>
    <x v="4"/>
    <x v="17"/>
    <x v="2"/>
    <x v="1"/>
    <x v="11"/>
    <n v="1"/>
  </r>
  <r>
    <x v="0"/>
    <x v="0"/>
    <x v="4"/>
    <x v="17"/>
    <x v="2"/>
    <x v="1"/>
    <x v="14"/>
    <n v="1"/>
  </r>
  <r>
    <x v="0"/>
    <x v="0"/>
    <x v="4"/>
    <x v="17"/>
    <x v="4"/>
    <x v="0"/>
    <x v="3"/>
    <n v="3"/>
  </r>
  <r>
    <x v="0"/>
    <x v="0"/>
    <x v="4"/>
    <x v="17"/>
    <x v="4"/>
    <x v="0"/>
    <x v="4"/>
    <n v="8"/>
  </r>
  <r>
    <x v="0"/>
    <x v="0"/>
    <x v="4"/>
    <x v="17"/>
    <x v="4"/>
    <x v="0"/>
    <x v="5"/>
    <n v="10"/>
  </r>
  <r>
    <x v="0"/>
    <x v="0"/>
    <x v="4"/>
    <x v="17"/>
    <x v="16"/>
    <x v="0"/>
    <x v="10"/>
    <n v="2"/>
  </r>
  <r>
    <x v="0"/>
    <x v="0"/>
    <x v="4"/>
    <x v="17"/>
    <x v="16"/>
    <x v="0"/>
    <x v="12"/>
    <n v="3"/>
  </r>
  <r>
    <x v="0"/>
    <x v="0"/>
    <x v="4"/>
    <x v="17"/>
    <x v="16"/>
    <x v="0"/>
    <x v="9"/>
    <n v="5"/>
  </r>
  <r>
    <x v="0"/>
    <x v="0"/>
    <x v="4"/>
    <x v="17"/>
    <x v="16"/>
    <x v="0"/>
    <x v="3"/>
    <n v="6"/>
  </r>
  <r>
    <x v="0"/>
    <x v="0"/>
    <x v="4"/>
    <x v="17"/>
    <x v="13"/>
    <x v="0"/>
    <x v="4"/>
    <n v="3"/>
  </r>
  <r>
    <x v="0"/>
    <x v="0"/>
    <x v="4"/>
    <x v="17"/>
    <x v="13"/>
    <x v="0"/>
    <x v="13"/>
    <n v="1"/>
  </r>
  <r>
    <x v="0"/>
    <x v="0"/>
    <x v="4"/>
    <x v="17"/>
    <x v="13"/>
    <x v="0"/>
    <x v="11"/>
    <n v="1"/>
  </r>
  <r>
    <x v="0"/>
    <x v="0"/>
    <x v="4"/>
    <x v="17"/>
    <x v="13"/>
    <x v="0"/>
    <x v="14"/>
    <n v="1"/>
  </r>
  <r>
    <x v="0"/>
    <x v="0"/>
    <x v="4"/>
    <x v="17"/>
    <x v="3"/>
    <x v="0"/>
    <x v="9"/>
    <n v="3"/>
  </r>
  <r>
    <x v="0"/>
    <x v="0"/>
    <x v="4"/>
    <x v="17"/>
    <x v="3"/>
    <x v="0"/>
    <x v="3"/>
    <n v="3"/>
  </r>
  <r>
    <x v="0"/>
    <x v="0"/>
    <x v="4"/>
    <x v="17"/>
    <x v="3"/>
    <x v="0"/>
    <x v="4"/>
    <n v="4"/>
  </r>
  <r>
    <x v="0"/>
    <x v="0"/>
    <x v="4"/>
    <x v="17"/>
    <x v="3"/>
    <x v="0"/>
    <x v="5"/>
    <n v="4"/>
  </r>
  <r>
    <x v="0"/>
    <x v="0"/>
    <x v="4"/>
    <x v="17"/>
    <x v="3"/>
    <x v="0"/>
    <x v="0"/>
    <n v="1"/>
  </r>
  <r>
    <x v="0"/>
    <x v="0"/>
    <x v="4"/>
    <x v="17"/>
    <x v="7"/>
    <x v="0"/>
    <x v="12"/>
    <n v="3"/>
  </r>
  <r>
    <x v="0"/>
    <x v="0"/>
    <x v="4"/>
    <x v="17"/>
    <x v="7"/>
    <x v="0"/>
    <x v="9"/>
    <n v="2"/>
  </r>
  <r>
    <x v="0"/>
    <x v="0"/>
    <x v="4"/>
    <x v="17"/>
    <x v="6"/>
    <x v="0"/>
    <x v="12"/>
    <n v="133"/>
  </r>
  <r>
    <x v="0"/>
    <x v="0"/>
    <x v="4"/>
    <x v="17"/>
    <x v="6"/>
    <x v="0"/>
    <x v="9"/>
    <n v="163"/>
  </r>
  <r>
    <x v="0"/>
    <x v="0"/>
    <x v="4"/>
    <x v="17"/>
    <x v="6"/>
    <x v="0"/>
    <x v="3"/>
    <n v="95"/>
  </r>
  <r>
    <x v="0"/>
    <x v="0"/>
    <x v="4"/>
    <x v="19"/>
    <x v="14"/>
    <x v="9"/>
    <x v="19"/>
    <n v="1"/>
  </r>
  <r>
    <x v="0"/>
    <x v="0"/>
    <x v="4"/>
    <x v="19"/>
    <x v="14"/>
    <x v="12"/>
    <x v="19"/>
    <n v="1"/>
  </r>
  <r>
    <x v="0"/>
    <x v="0"/>
    <x v="4"/>
    <x v="19"/>
    <x v="14"/>
    <x v="7"/>
    <x v="14"/>
    <n v="1"/>
  </r>
  <r>
    <x v="0"/>
    <x v="0"/>
    <x v="4"/>
    <x v="19"/>
    <x v="14"/>
    <x v="0"/>
    <x v="17"/>
    <n v="1"/>
  </r>
  <r>
    <x v="0"/>
    <x v="0"/>
    <x v="4"/>
    <x v="19"/>
    <x v="10"/>
    <x v="0"/>
    <x v="10"/>
    <n v="1"/>
  </r>
  <r>
    <x v="0"/>
    <x v="0"/>
    <x v="4"/>
    <x v="19"/>
    <x v="17"/>
    <x v="0"/>
    <x v="1"/>
    <n v="1"/>
  </r>
  <r>
    <x v="0"/>
    <x v="0"/>
    <x v="5"/>
    <x v="0"/>
    <x v="19"/>
    <x v="4"/>
    <x v="2"/>
    <n v="1"/>
  </r>
  <r>
    <x v="0"/>
    <x v="0"/>
    <x v="5"/>
    <x v="2"/>
    <x v="0"/>
    <x v="5"/>
    <x v="0"/>
    <n v="1"/>
  </r>
  <r>
    <x v="0"/>
    <x v="0"/>
    <x v="5"/>
    <x v="3"/>
    <x v="0"/>
    <x v="0"/>
    <x v="19"/>
    <n v="3"/>
  </r>
  <r>
    <x v="0"/>
    <x v="0"/>
    <x v="5"/>
    <x v="3"/>
    <x v="8"/>
    <x v="2"/>
    <x v="19"/>
    <n v="3"/>
  </r>
  <r>
    <x v="0"/>
    <x v="0"/>
    <x v="5"/>
    <x v="4"/>
    <x v="8"/>
    <x v="10"/>
    <x v="13"/>
    <n v="2"/>
  </r>
  <r>
    <x v="0"/>
    <x v="0"/>
    <x v="5"/>
    <x v="4"/>
    <x v="8"/>
    <x v="3"/>
    <x v="2"/>
    <n v="1"/>
  </r>
  <r>
    <x v="0"/>
    <x v="0"/>
    <x v="5"/>
    <x v="4"/>
    <x v="8"/>
    <x v="3"/>
    <x v="13"/>
    <n v="1"/>
  </r>
  <r>
    <x v="0"/>
    <x v="0"/>
    <x v="5"/>
    <x v="4"/>
    <x v="18"/>
    <x v="15"/>
    <x v="19"/>
    <n v="2"/>
  </r>
  <r>
    <x v="0"/>
    <x v="0"/>
    <x v="5"/>
    <x v="4"/>
    <x v="18"/>
    <x v="2"/>
    <x v="17"/>
    <n v="1"/>
  </r>
  <r>
    <x v="0"/>
    <x v="0"/>
    <x v="5"/>
    <x v="4"/>
    <x v="18"/>
    <x v="2"/>
    <x v="19"/>
    <n v="4"/>
  </r>
  <r>
    <x v="0"/>
    <x v="0"/>
    <x v="5"/>
    <x v="4"/>
    <x v="18"/>
    <x v="10"/>
    <x v="14"/>
    <n v="1"/>
  </r>
  <r>
    <x v="0"/>
    <x v="0"/>
    <x v="5"/>
    <x v="4"/>
    <x v="18"/>
    <x v="10"/>
    <x v="17"/>
    <n v="1"/>
  </r>
  <r>
    <x v="0"/>
    <x v="0"/>
    <x v="5"/>
    <x v="4"/>
    <x v="18"/>
    <x v="7"/>
    <x v="19"/>
    <n v="2"/>
  </r>
  <r>
    <x v="0"/>
    <x v="0"/>
    <x v="5"/>
    <x v="4"/>
    <x v="18"/>
    <x v="8"/>
    <x v="19"/>
    <n v="1"/>
  </r>
  <r>
    <x v="0"/>
    <x v="0"/>
    <x v="5"/>
    <x v="5"/>
    <x v="8"/>
    <x v="13"/>
    <x v="18"/>
    <n v="2"/>
  </r>
  <r>
    <x v="0"/>
    <x v="0"/>
    <x v="5"/>
    <x v="5"/>
    <x v="8"/>
    <x v="3"/>
    <x v="18"/>
    <n v="1"/>
  </r>
  <r>
    <x v="0"/>
    <x v="0"/>
    <x v="5"/>
    <x v="5"/>
    <x v="8"/>
    <x v="4"/>
    <x v="0"/>
    <n v="1"/>
  </r>
  <r>
    <x v="0"/>
    <x v="0"/>
    <x v="5"/>
    <x v="5"/>
    <x v="8"/>
    <x v="4"/>
    <x v="18"/>
    <n v="1"/>
  </r>
  <r>
    <x v="0"/>
    <x v="0"/>
    <x v="5"/>
    <x v="5"/>
    <x v="8"/>
    <x v="11"/>
    <x v="18"/>
    <n v="1"/>
  </r>
  <r>
    <x v="0"/>
    <x v="0"/>
    <x v="5"/>
    <x v="5"/>
    <x v="6"/>
    <x v="17"/>
    <x v="19"/>
    <n v="3"/>
  </r>
  <r>
    <x v="0"/>
    <x v="0"/>
    <x v="5"/>
    <x v="5"/>
    <x v="6"/>
    <x v="16"/>
    <x v="18"/>
    <n v="5"/>
  </r>
  <r>
    <x v="0"/>
    <x v="0"/>
    <x v="5"/>
    <x v="5"/>
    <x v="6"/>
    <x v="15"/>
    <x v="0"/>
    <n v="2"/>
  </r>
  <r>
    <x v="0"/>
    <x v="0"/>
    <x v="5"/>
    <x v="5"/>
    <x v="6"/>
    <x v="15"/>
    <x v="18"/>
    <n v="3"/>
  </r>
  <r>
    <x v="0"/>
    <x v="0"/>
    <x v="5"/>
    <x v="5"/>
    <x v="6"/>
    <x v="14"/>
    <x v="18"/>
    <n v="1"/>
  </r>
  <r>
    <x v="0"/>
    <x v="0"/>
    <x v="5"/>
    <x v="5"/>
    <x v="6"/>
    <x v="13"/>
    <x v="19"/>
    <n v="14"/>
  </r>
  <r>
    <x v="0"/>
    <x v="0"/>
    <x v="5"/>
    <x v="5"/>
    <x v="6"/>
    <x v="2"/>
    <x v="18"/>
    <n v="4"/>
  </r>
  <r>
    <x v="0"/>
    <x v="0"/>
    <x v="5"/>
    <x v="5"/>
    <x v="6"/>
    <x v="10"/>
    <x v="0"/>
    <n v="1"/>
  </r>
  <r>
    <x v="0"/>
    <x v="0"/>
    <x v="5"/>
    <x v="5"/>
    <x v="6"/>
    <x v="3"/>
    <x v="0"/>
    <n v="1"/>
  </r>
  <r>
    <x v="0"/>
    <x v="0"/>
    <x v="5"/>
    <x v="5"/>
    <x v="6"/>
    <x v="3"/>
    <x v="18"/>
    <n v="1"/>
  </r>
  <r>
    <x v="0"/>
    <x v="0"/>
    <x v="5"/>
    <x v="5"/>
    <x v="6"/>
    <x v="1"/>
    <x v="19"/>
    <n v="1"/>
  </r>
  <r>
    <x v="0"/>
    <x v="0"/>
    <x v="5"/>
    <x v="5"/>
    <x v="11"/>
    <x v="10"/>
    <x v="14"/>
    <n v="1"/>
  </r>
  <r>
    <x v="0"/>
    <x v="0"/>
    <x v="5"/>
    <x v="7"/>
    <x v="12"/>
    <x v="0"/>
    <x v="11"/>
    <n v="2"/>
  </r>
  <r>
    <x v="0"/>
    <x v="0"/>
    <x v="5"/>
    <x v="7"/>
    <x v="12"/>
    <x v="0"/>
    <x v="17"/>
    <n v="1"/>
  </r>
  <r>
    <x v="0"/>
    <x v="0"/>
    <x v="5"/>
    <x v="8"/>
    <x v="13"/>
    <x v="16"/>
    <x v="19"/>
    <n v="9"/>
  </r>
  <r>
    <x v="0"/>
    <x v="0"/>
    <x v="5"/>
    <x v="8"/>
    <x v="13"/>
    <x v="15"/>
    <x v="11"/>
    <n v="1"/>
  </r>
  <r>
    <x v="0"/>
    <x v="0"/>
    <x v="5"/>
    <x v="8"/>
    <x v="13"/>
    <x v="15"/>
    <x v="14"/>
    <n v="2"/>
  </r>
  <r>
    <x v="0"/>
    <x v="0"/>
    <x v="5"/>
    <x v="8"/>
    <x v="13"/>
    <x v="15"/>
    <x v="17"/>
    <n v="2"/>
  </r>
  <r>
    <x v="0"/>
    <x v="0"/>
    <x v="5"/>
    <x v="8"/>
    <x v="13"/>
    <x v="15"/>
    <x v="19"/>
    <n v="9"/>
  </r>
  <r>
    <x v="0"/>
    <x v="0"/>
    <x v="5"/>
    <x v="8"/>
    <x v="13"/>
    <x v="14"/>
    <x v="13"/>
    <n v="1"/>
  </r>
  <r>
    <x v="0"/>
    <x v="0"/>
    <x v="5"/>
    <x v="8"/>
    <x v="13"/>
    <x v="14"/>
    <x v="11"/>
    <n v="5"/>
  </r>
  <r>
    <x v="0"/>
    <x v="0"/>
    <x v="5"/>
    <x v="8"/>
    <x v="13"/>
    <x v="14"/>
    <x v="14"/>
    <n v="1"/>
  </r>
  <r>
    <x v="0"/>
    <x v="0"/>
    <x v="5"/>
    <x v="8"/>
    <x v="13"/>
    <x v="13"/>
    <x v="13"/>
    <n v="1"/>
  </r>
  <r>
    <x v="0"/>
    <x v="0"/>
    <x v="5"/>
    <x v="8"/>
    <x v="13"/>
    <x v="2"/>
    <x v="14"/>
    <n v="1"/>
  </r>
  <r>
    <x v="0"/>
    <x v="0"/>
    <x v="1"/>
    <x v="13"/>
    <x v="0"/>
    <x v="13"/>
    <x v="13"/>
    <n v="2"/>
  </r>
  <r>
    <x v="0"/>
    <x v="0"/>
    <x v="1"/>
    <x v="13"/>
    <x v="0"/>
    <x v="13"/>
    <x v="11"/>
    <n v="1"/>
  </r>
  <r>
    <x v="0"/>
    <x v="0"/>
    <x v="1"/>
    <x v="13"/>
    <x v="0"/>
    <x v="2"/>
    <x v="18"/>
    <n v="1"/>
  </r>
  <r>
    <x v="0"/>
    <x v="0"/>
    <x v="1"/>
    <x v="13"/>
    <x v="0"/>
    <x v="10"/>
    <x v="0"/>
    <n v="1"/>
  </r>
  <r>
    <x v="0"/>
    <x v="0"/>
    <x v="1"/>
    <x v="13"/>
    <x v="0"/>
    <x v="3"/>
    <x v="0"/>
    <n v="1"/>
  </r>
  <r>
    <x v="0"/>
    <x v="0"/>
    <x v="1"/>
    <x v="13"/>
    <x v="17"/>
    <x v="19"/>
    <x v="0"/>
    <n v="1"/>
  </r>
  <r>
    <x v="0"/>
    <x v="0"/>
    <x v="1"/>
    <x v="13"/>
    <x v="17"/>
    <x v="13"/>
    <x v="13"/>
    <n v="2"/>
  </r>
  <r>
    <x v="0"/>
    <x v="0"/>
    <x v="1"/>
    <x v="13"/>
    <x v="17"/>
    <x v="13"/>
    <x v="11"/>
    <n v="1"/>
  </r>
  <r>
    <x v="0"/>
    <x v="0"/>
    <x v="1"/>
    <x v="13"/>
    <x v="17"/>
    <x v="2"/>
    <x v="4"/>
    <n v="1"/>
  </r>
  <r>
    <x v="0"/>
    <x v="0"/>
    <x v="1"/>
    <x v="13"/>
    <x v="17"/>
    <x v="2"/>
    <x v="5"/>
    <n v="3"/>
  </r>
  <r>
    <x v="0"/>
    <x v="0"/>
    <x v="1"/>
    <x v="13"/>
    <x v="17"/>
    <x v="2"/>
    <x v="2"/>
    <n v="1"/>
  </r>
  <r>
    <x v="0"/>
    <x v="0"/>
    <x v="1"/>
    <x v="13"/>
    <x v="17"/>
    <x v="2"/>
    <x v="13"/>
    <n v="3"/>
  </r>
  <r>
    <x v="0"/>
    <x v="0"/>
    <x v="1"/>
    <x v="13"/>
    <x v="17"/>
    <x v="10"/>
    <x v="4"/>
    <n v="1"/>
  </r>
  <r>
    <x v="0"/>
    <x v="0"/>
    <x v="1"/>
    <x v="13"/>
    <x v="17"/>
    <x v="10"/>
    <x v="5"/>
    <n v="1"/>
  </r>
  <r>
    <x v="0"/>
    <x v="0"/>
    <x v="1"/>
    <x v="13"/>
    <x v="17"/>
    <x v="3"/>
    <x v="5"/>
    <n v="1"/>
  </r>
  <r>
    <x v="0"/>
    <x v="0"/>
    <x v="1"/>
    <x v="14"/>
    <x v="16"/>
    <x v="15"/>
    <x v="2"/>
    <n v="1"/>
  </r>
  <r>
    <x v="0"/>
    <x v="0"/>
    <x v="1"/>
    <x v="14"/>
    <x v="16"/>
    <x v="15"/>
    <x v="11"/>
    <n v="1"/>
  </r>
  <r>
    <x v="0"/>
    <x v="0"/>
    <x v="1"/>
    <x v="14"/>
    <x v="16"/>
    <x v="14"/>
    <x v="4"/>
    <n v="1"/>
  </r>
  <r>
    <x v="0"/>
    <x v="0"/>
    <x v="1"/>
    <x v="14"/>
    <x v="16"/>
    <x v="13"/>
    <x v="9"/>
    <n v="2"/>
  </r>
  <r>
    <x v="0"/>
    <x v="0"/>
    <x v="1"/>
    <x v="14"/>
    <x v="16"/>
    <x v="13"/>
    <x v="3"/>
    <n v="1"/>
  </r>
  <r>
    <x v="0"/>
    <x v="0"/>
    <x v="1"/>
    <x v="14"/>
    <x v="16"/>
    <x v="13"/>
    <x v="4"/>
    <n v="1"/>
  </r>
  <r>
    <x v="0"/>
    <x v="0"/>
    <x v="1"/>
    <x v="14"/>
    <x v="16"/>
    <x v="13"/>
    <x v="5"/>
    <n v="1"/>
  </r>
  <r>
    <x v="0"/>
    <x v="0"/>
    <x v="1"/>
    <x v="14"/>
    <x v="16"/>
    <x v="13"/>
    <x v="13"/>
    <n v="2"/>
  </r>
  <r>
    <x v="0"/>
    <x v="0"/>
    <x v="1"/>
    <x v="14"/>
    <x v="16"/>
    <x v="2"/>
    <x v="12"/>
    <n v="18"/>
  </r>
  <r>
    <x v="0"/>
    <x v="0"/>
    <x v="1"/>
    <x v="14"/>
    <x v="16"/>
    <x v="2"/>
    <x v="9"/>
    <n v="5"/>
  </r>
  <r>
    <x v="0"/>
    <x v="0"/>
    <x v="1"/>
    <x v="14"/>
    <x v="16"/>
    <x v="2"/>
    <x v="3"/>
    <n v="1"/>
  </r>
  <r>
    <x v="0"/>
    <x v="0"/>
    <x v="1"/>
    <x v="14"/>
    <x v="16"/>
    <x v="2"/>
    <x v="5"/>
    <n v="1"/>
  </r>
  <r>
    <x v="0"/>
    <x v="0"/>
    <x v="1"/>
    <x v="14"/>
    <x v="16"/>
    <x v="10"/>
    <x v="1"/>
    <n v="30"/>
  </r>
  <r>
    <x v="0"/>
    <x v="0"/>
    <x v="1"/>
    <x v="14"/>
    <x v="16"/>
    <x v="10"/>
    <x v="12"/>
    <n v="18"/>
  </r>
  <r>
    <x v="0"/>
    <x v="0"/>
    <x v="1"/>
    <x v="14"/>
    <x v="16"/>
    <x v="10"/>
    <x v="9"/>
    <n v="5"/>
  </r>
  <r>
    <x v="0"/>
    <x v="0"/>
    <x v="1"/>
    <x v="14"/>
    <x v="16"/>
    <x v="10"/>
    <x v="3"/>
    <n v="5"/>
  </r>
  <r>
    <x v="0"/>
    <x v="0"/>
    <x v="1"/>
    <x v="14"/>
    <x v="16"/>
    <x v="10"/>
    <x v="4"/>
    <n v="2"/>
  </r>
  <r>
    <x v="0"/>
    <x v="0"/>
    <x v="1"/>
    <x v="14"/>
    <x v="16"/>
    <x v="3"/>
    <x v="1"/>
    <n v="16"/>
  </r>
  <r>
    <x v="0"/>
    <x v="0"/>
    <x v="1"/>
    <x v="14"/>
    <x v="16"/>
    <x v="3"/>
    <x v="12"/>
    <n v="18"/>
  </r>
  <r>
    <x v="0"/>
    <x v="0"/>
    <x v="1"/>
    <x v="14"/>
    <x v="16"/>
    <x v="3"/>
    <x v="9"/>
    <n v="5"/>
  </r>
  <r>
    <x v="0"/>
    <x v="0"/>
    <x v="1"/>
    <x v="14"/>
    <x v="16"/>
    <x v="3"/>
    <x v="3"/>
    <n v="1"/>
  </r>
  <r>
    <x v="0"/>
    <x v="0"/>
    <x v="1"/>
    <x v="14"/>
    <x v="16"/>
    <x v="4"/>
    <x v="10"/>
    <n v="11"/>
  </r>
  <r>
    <x v="0"/>
    <x v="0"/>
    <x v="1"/>
    <x v="14"/>
    <x v="16"/>
    <x v="4"/>
    <x v="1"/>
    <n v="18"/>
  </r>
  <r>
    <x v="0"/>
    <x v="0"/>
    <x v="1"/>
    <x v="14"/>
    <x v="16"/>
    <x v="4"/>
    <x v="12"/>
    <n v="9"/>
  </r>
  <r>
    <x v="0"/>
    <x v="0"/>
    <x v="1"/>
    <x v="14"/>
    <x v="16"/>
    <x v="4"/>
    <x v="9"/>
    <n v="8"/>
  </r>
  <r>
    <x v="0"/>
    <x v="0"/>
    <x v="1"/>
    <x v="14"/>
    <x v="16"/>
    <x v="5"/>
    <x v="10"/>
    <n v="2"/>
  </r>
  <r>
    <x v="0"/>
    <x v="0"/>
    <x v="1"/>
    <x v="14"/>
    <x v="16"/>
    <x v="5"/>
    <x v="1"/>
    <n v="7"/>
  </r>
  <r>
    <x v="0"/>
    <x v="0"/>
    <x v="1"/>
    <x v="14"/>
    <x v="16"/>
    <x v="5"/>
    <x v="12"/>
    <n v="10"/>
  </r>
  <r>
    <x v="0"/>
    <x v="0"/>
    <x v="1"/>
    <x v="14"/>
    <x v="16"/>
    <x v="11"/>
    <x v="10"/>
    <n v="5"/>
  </r>
  <r>
    <x v="0"/>
    <x v="0"/>
    <x v="1"/>
    <x v="14"/>
    <x v="16"/>
    <x v="11"/>
    <x v="1"/>
    <n v="3"/>
  </r>
  <r>
    <x v="0"/>
    <x v="0"/>
    <x v="1"/>
    <x v="14"/>
    <x v="16"/>
    <x v="6"/>
    <x v="10"/>
    <n v="1"/>
  </r>
  <r>
    <x v="0"/>
    <x v="0"/>
    <x v="1"/>
    <x v="14"/>
    <x v="16"/>
    <x v="6"/>
    <x v="1"/>
    <n v="3"/>
  </r>
  <r>
    <x v="0"/>
    <x v="0"/>
    <x v="1"/>
    <x v="14"/>
    <x v="16"/>
    <x v="7"/>
    <x v="12"/>
    <n v="1"/>
  </r>
  <r>
    <x v="0"/>
    <x v="0"/>
    <x v="1"/>
    <x v="14"/>
    <x v="18"/>
    <x v="3"/>
    <x v="11"/>
    <n v="2"/>
  </r>
  <r>
    <x v="0"/>
    <x v="0"/>
    <x v="1"/>
    <x v="14"/>
    <x v="18"/>
    <x v="11"/>
    <x v="4"/>
    <n v="1"/>
  </r>
  <r>
    <x v="0"/>
    <x v="0"/>
    <x v="1"/>
    <x v="14"/>
    <x v="18"/>
    <x v="11"/>
    <x v="5"/>
    <n v="1"/>
  </r>
  <r>
    <x v="0"/>
    <x v="0"/>
    <x v="1"/>
    <x v="14"/>
    <x v="18"/>
    <x v="6"/>
    <x v="3"/>
    <n v="1"/>
  </r>
  <r>
    <x v="0"/>
    <x v="0"/>
    <x v="1"/>
    <x v="14"/>
    <x v="18"/>
    <x v="6"/>
    <x v="5"/>
    <n v="1"/>
  </r>
  <r>
    <x v="0"/>
    <x v="0"/>
    <x v="1"/>
    <x v="14"/>
    <x v="18"/>
    <x v="9"/>
    <x v="9"/>
    <n v="3"/>
  </r>
  <r>
    <x v="0"/>
    <x v="0"/>
    <x v="1"/>
    <x v="14"/>
    <x v="18"/>
    <x v="9"/>
    <x v="2"/>
    <n v="1"/>
  </r>
  <r>
    <x v="0"/>
    <x v="0"/>
    <x v="1"/>
    <x v="14"/>
    <x v="18"/>
    <x v="9"/>
    <x v="13"/>
    <n v="1"/>
  </r>
  <r>
    <x v="0"/>
    <x v="0"/>
    <x v="1"/>
    <x v="14"/>
    <x v="18"/>
    <x v="12"/>
    <x v="12"/>
    <n v="1"/>
  </r>
  <r>
    <x v="0"/>
    <x v="0"/>
    <x v="1"/>
    <x v="14"/>
    <x v="18"/>
    <x v="12"/>
    <x v="3"/>
    <n v="1"/>
  </r>
  <r>
    <x v="0"/>
    <x v="0"/>
    <x v="1"/>
    <x v="14"/>
    <x v="18"/>
    <x v="1"/>
    <x v="12"/>
    <n v="1"/>
  </r>
  <r>
    <x v="0"/>
    <x v="0"/>
    <x v="1"/>
    <x v="14"/>
    <x v="18"/>
    <x v="1"/>
    <x v="9"/>
    <n v="1"/>
  </r>
  <r>
    <x v="0"/>
    <x v="0"/>
    <x v="1"/>
    <x v="14"/>
    <x v="18"/>
    <x v="0"/>
    <x v="12"/>
    <n v="1"/>
  </r>
  <r>
    <x v="0"/>
    <x v="0"/>
    <x v="1"/>
    <x v="14"/>
    <x v="18"/>
    <x v="0"/>
    <x v="9"/>
    <n v="1"/>
  </r>
  <r>
    <x v="0"/>
    <x v="0"/>
    <x v="1"/>
    <x v="15"/>
    <x v="1"/>
    <x v="3"/>
    <x v="12"/>
    <n v="1"/>
  </r>
  <r>
    <x v="0"/>
    <x v="0"/>
    <x v="1"/>
    <x v="15"/>
    <x v="1"/>
    <x v="4"/>
    <x v="9"/>
    <n v="1"/>
  </r>
  <r>
    <x v="0"/>
    <x v="0"/>
    <x v="1"/>
    <x v="15"/>
    <x v="1"/>
    <x v="5"/>
    <x v="12"/>
    <n v="1"/>
  </r>
  <r>
    <x v="0"/>
    <x v="0"/>
    <x v="1"/>
    <x v="15"/>
    <x v="1"/>
    <x v="5"/>
    <x v="9"/>
    <n v="4"/>
  </r>
  <r>
    <x v="0"/>
    <x v="0"/>
    <x v="1"/>
    <x v="15"/>
    <x v="1"/>
    <x v="11"/>
    <x v="12"/>
    <n v="6"/>
  </r>
  <r>
    <x v="0"/>
    <x v="0"/>
    <x v="1"/>
    <x v="15"/>
    <x v="1"/>
    <x v="11"/>
    <x v="9"/>
    <n v="2"/>
  </r>
  <r>
    <x v="0"/>
    <x v="0"/>
    <x v="1"/>
    <x v="15"/>
    <x v="1"/>
    <x v="11"/>
    <x v="3"/>
    <n v="1"/>
  </r>
  <r>
    <x v="0"/>
    <x v="0"/>
    <x v="1"/>
    <x v="15"/>
    <x v="1"/>
    <x v="6"/>
    <x v="12"/>
    <n v="1"/>
  </r>
  <r>
    <x v="0"/>
    <x v="0"/>
    <x v="1"/>
    <x v="15"/>
    <x v="11"/>
    <x v="14"/>
    <x v="14"/>
    <n v="1"/>
  </r>
  <r>
    <x v="0"/>
    <x v="0"/>
    <x v="1"/>
    <x v="15"/>
    <x v="11"/>
    <x v="2"/>
    <x v="9"/>
    <n v="4"/>
  </r>
  <r>
    <x v="0"/>
    <x v="0"/>
    <x v="1"/>
    <x v="15"/>
    <x v="11"/>
    <x v="2"/>
    <x v="3"/>
    <n v="6"/>
  </r>
  <r>
    <x v="0"/>
    <x v="0"/>
    <x v="1"/>
    <x v="15"/>
    <x v="11"/>
    <x v="2"/>
    <x v="4"/>
    <n v="1"/>
  </r>
  <r>
    <x v="0"/>
    <x v="0"/>
    <x v="1"/>
    <x v="15"/>
    <x v="11"/>
    <x v="10"/>
    <x v="9"/>
    <n v="2"/>
  </r>
  <r>
    <x v="0"/>
    <x v="0"/>
    <x v="1"/>
    <x v="15"/>
    <x v="11"/>
    <x v="10"/>
    <x v="3"/>
    <n v="1"/>
  </r>
  <r>
    <x v="0"/>
    <x v="0"/>
    <x v="1"/>
    <x v="15"/>
    <x v="11"/>
    <x v="10"/>
    <x v="4"/>
    <n v="1"/>
  </r>
  <r>
    <x v="0"/>
    <x v="0"/>
    <x v="1"/>
    <x v="15"/>
    <x v="11"/>
    <x v="3"/>
    <x v="12"/>
    <n v="1"/>
  </r>
  <r>
    <x v="0"/>
    <x v="0"/>
    <x v="1"/>
    <x v="15"/>
    <x v="11"/>
    <x v="3"/>
    <x v="9"/>
    <n v="1"/>
  </r>
  <r>
    <x v="0"/>
    <x v="0"/>
    <x v="1"/>
    <x v="15"/>
    <x v="11"/>
    <x v="3"/>
    <x v="3"/>
    <n v="2"/>
  </r>
  <r>
    <x v="0"/>
    <x v="0"/>
    <x v="2"/>
    <x v="0"/>
    <x v="9"/>
    <x v="0"/>
    <x v="19"/>
    <n v="800"/>
  </r>
  <r>
    <x v="0"/>
    <x v="0"/>
    <x v="2"/>
    <x v="1"/>
    <x v="13"/>
    <x v="0"/>
    <x v="14"/>
    <n v="1"/>
  </r>
  <r>
    <x v="0"/>
    <x v="0"/>
    <x v="2"/>
    <x v="1"/>
    <x v="14"/>
    <x v="0"/>
    <x v="17"/>
    <n v="1"/>
  </r>
  <r>
    <x v="0"/>
    <x v="0"/>
    <x v="2"/>
    <x v="1"/>
    <x v="15"/>
    <x v="0"/>
    <x v="17"/>
    <n v="1"/>
  </r>
  <r>
    <x v="0"/>
    <x v="0"/>
    <x v="2"/>
    <x v="1"/>
    <x v="15"/>
    <x v="0"/>
    <x v="19"/>
    <n v="4"/>
  </r>
  <r>
    <x v="0"/>
    <x v="0"/>
    <x v="2"/>
    <x v="2"/>
    <x v="4"/>
    <x v="0"/>
    <x v="1"/>
    <n v="1"/>
  </r>
  <r>
    <x v="0"/>
    <x v="0"/>
    <x v="2"/>
    <x v="2"/>
    <x v="1"/>
    <x v="0"/>
    <x v="19"/>
    <n v="356"/>
  </r>
  <r>
    <x v="0"/>
    <x v="0"/>
    <x v="2"/>
    <x v="2"/>
    <x v="10"/>
    <x v="0"/>
    <x v="18"/>
    <n v="10"/>
  </r>
  <r>
    <x v="0"/>
    <x v="0"/>
    <x v="2"/>
    <x v="2"/>
    <x v="18"/>
    <x v="0"/>
    <x v="19"/>
    <n v="1"/>
  </r>
  <r>
    <x v="0"/>
    <x v="0"/>
    <x v="2"/>
    <x v="3"/>
    <x v="0"/>
    <x v="0"/>
    <x v="14"/>
    <n v="63"/>
  </r>
  <r>
    <x v="0"/>
    <x v="0"/>
    <x v="2"/>
    <x v="3"/>
    <x v="0"/>
    <x v="0"/>
    <x v="17"/>
    <n v="38"/>
  </r>
  <r>
    <x v="0"/>
    <x v="0"/>
    <x v="2"/>
    <x v="3"/>
    <x v="0"/>
    <x v="0"/>
    <x v="19"/>
    <n v="38"/>
  </r>
  <r>
    <x v="0"/>
    <x v="0"/>
    <x v="2"/>
    <x v="3"/>
    <x v="4"/>
    <x v="0"/>
    <x v="19"/>
    <n v="2"/>
  </r>
  <r>
    <x v="0"/>
    <x v="0"/>
    <x v="2"/>
    <x v="3"/>
    <x v="1"/>
    <x v="0"/>
    <x v="2"/>
    <n v="3"/>
  </r>
  <r>
    <x v="0"/>
    <x v="0"/>
    <x v="2"/>
    <x v="3"/>
    <x v="1"/>
    <x v="0"/>
    <x v="13"/>
    <n v="5"/>
  </r>
  <r>
    <x v="0"/>
    <x v="0"/>
    <x v="2"/>
    <x v="3"/>
    <x v="1"/>
    <x v="0"/>
    <x v="11"/>
    <n v="4"/>
  </r>
  <r>
    <x v="0"/>
    <x v="0"/>
    <x v="2"/>
    <x v="3"/>
    <x v="1"/>
    <x v="0"/>
    <x v="14"/>
    <n v="2"/>
  </r>
  <r>
    <x v="0"/>
    <x v="0"/>
    <x v="2"/>
    <x v="3"/>
    <x v="1"/>
    <x v="0"/>
    <x v="17"/>
    <n v="1"/>
  </r>
  <r>
    <x v="0"/>
    <x v="0"/>
    <x v="2"/>
    <x v="3"/>
    <x v="5"/>
    <x v="0"/>
    <x v="4"/>
    <n v="1"/>
  </r>
  <r>
    <x v="0"/>
    <x v="0"/>
    <x v="2"/>
    <x v="3"/>
    <x v="5"/>
    <x v="0"/>
    <x v="14"/>
    <n v="1"/>
  </r>
  <r>
    <x v="0"/>
    <x v="0"/>
    <x v="2"/>
    <x v="4"/>
    <x v="12"/>
    <x v="0"/>
    <x v="0"/>
    <n v="3"/>
  </r>
  <r>
    <x v="0"/>
    <x v="0"/>
    <x v="2"/>
    <x v="4"/>
    <x v="12"/>
    <x v="0"/>
    <x v="18"/>
    <n v="11"/>
  </r>
  <r>
    <x v="0"/>
    <x v="0"/>
    <x v="2"/>
    <x v="4"/>
    <x v="10"/>
    <x v="0"/>
    <x v="19"/>
    <n v="11"/>
  </r>
  <r>
    <x v="0"/>
    <x v="0"/>
    <x v="2"/>
    <x v="4"/>
    <x v="11"/>
    <x v="0"/>
    <x v="18"/>
    <n v="1"/>
  </r>
  <r>
    <x v="0"/>
    <x v="0"/>
    <x v="2"/>
    <x v="5"/>
    <x v="0"/>
    <x v="0"/>
    <x v="5"/>
    <n v="9"/>
  </r>
  <r>
    <x v="0"/>
    <x v="0"/>
    <x v="2"/>
    <x v="5"/>
    <x v="0"/>
    <x v="0"/>
    <x v="2"/>
    <n v="6"/>
  </r>
  <r>
    <x v="0"/>
    <x v="0"/>
    <x v="2"/>
    <x v="5"/>
    <x v="0"/>
    <x v="0"/>
    <x v="13"/>
    <n v="5"/>
  </r>
  <r>
    <x v="0"/>
    <x v="0"/>
    <x v="2"/>
    <x v="5"/>
    <x v="0"/>
    <x v="0"/>
    <x v="11"/>
    <n v="2"/>
  </r>
  <r>
    <x v="0"/>
    <x v="0"/>
    <x v="2"/>
    <x v="5"/>
    <x v="0"/>
    <x v="0"/>
    <x v="14"/>
    <n v="2"/>
  </r>
  <r>
    <x v="0"/>
    <x v="0"/>
    <x v="2"/>
    <x v="5"/>
    <x v="16"/>
    <x v="0"/>
    <x v="4"/>
    <n v="5"/>
  </r>
  <r>
    <x v="0"/>
    <x v="0"/>
    <x v="2"/>
    <x v="5"/>
    <x v="16"/>
    <x v="0"/>
    <x v="5"/>
    <n v="6"/>
  </r>
  <r>
    <x v="0"/>
    <x v="0"/>
    <x v="2"/>
    <x v="5"/>
    <x v="16"/>
    <x v="0"/>
    <x v="2"/>
    <n v="5"/>
  </r>
  <r>
    <x v="0"/>
    <x v="0"/>
    <x v="2"/>
    <x v="5"/>
    <x v="16"/>
    <x v="0"/>
    <x v="13"/>
    <n v="5"/>
  </r>
  <r>
    <x v="0"/>
    <x v="0"/>
    <x v="2"/>
    <x v="5"/>
    <x v="16"/>
    <x v="0"/>
    <x v="11"/>
    <n v="3"/>
  </r>
  <r>
    <x v="0"/>
    <x v="0"/>
    <x v="2"/>
    <x v="5"/>
    <x v="16"/>
    <x v="0"/>
    <x v="14"/>
    <n v="3"/>
  </r>
  <r>
    <x v="0"/>
    <x v="0"/>
    <x v="2"/>
    <x v="5"/>
    <x v="13"/>
    <x v="0"/>
    <x v="18"/>
    <n v="1"/>
  </r>
  <r>
    <x v="0"/>
    <x v="0"/>
    <x v="2"/>
    <x v="5"/>
    <x v="8"/>
    <x v="1"/>
    <x v="18"/>
    <n v="1"/>
  </r>
  <r>
    <x v="0"/>
    <x v="0"/>
    <x v="2"/>
    <x v="5"/>
    <x v="11"/>
    <x v="0"/>
    <x v="9"/>
    <n v="1"/>
  </r>
  <r>
    <x v="0"/>
    <x v="0"/>
    <x v="2"/>
    <x v="5"/>
    <x v="11"/>
    <x v="0"/>
    <x v="3"/>
    <n v="1"/>
  </r>
  <r>
    <x v="0"/>
    <x v="0"/>
    <x v="2"/>
    <x v="6"/>
    <x v="12"/>
    <x v="0"/>
    <x v="0"/>
    <n v="3"/>
  </r>
  <r>
    <x v="0"/>
    <x v="0"/>
    <x v="2"/>
    <x v="6"/>
    <x v="12"/>
    <x v="0"/>
    <x v="18"/>
    <n v="10"/>
  </r>
  <r>
    <x v="0"/>
    <x v="0"/>
    <x v="2"/>
    <x v="6"/>
    <x v="6"/>
    <x v="0"/>
    <x v="19"/>
    <n v="1"/>
  </r>
  <r>
    <x v="0"/>
    <x v="0"/>
    <x v="2"/>
    <x v="6"/>
    <x v="9"/>
    <x v="0"/>
    <x v="19"/>
    <n v="1"/>
  </r>
  <r>
    <x v="0"/>
    <x v="0"/>
    <x v="2"/>
    <x v="6"/>
    <x v="18"/>
    <x v="0"/>
    <x v="0"/>
    <n v="4"/>
  </r>
  <r>
    <x v="0"/>
    <x v="0"/>
    <x v="2"/>
    <x v="9"/>
    <x v="14"/>
    <x v="0"/>
    <x v="19"/>
    <n v="1"/>
  </r>
  <r>
    <x v="0"/>
    <x v="0"/>
    <x v="2"/>
    <x v="9"/>
    <x v="8"/>
    <x v="0"/>
    <x v="14"/>
    <n v="1"/>
  </r>
  <r>
    <x v="0"/>
    <x v="0"/>
    <x v="2"/>
    <x v="9"/>
    <x v="8"/>
    <x v="0"/>
    <x v="17"/>
    <n v="1"/>
  </r>
  <r>
    <x v="0"/>
    <x v="0"/>
    <x v="2"/>
    <x v="9"/>
    <x v="3"/>
    <x v="0"/>
    <x v="19"/>
    <n v="2"/>
  </r>
  <r>
    <x v="0"/>
    <x v="0"/>
    <x v="2"/>
    <x v="9"/>
    <x v="7"/>
    <x v="0"/>
    <x v="19"/>
    <n v="7"/>
  </r>
  <r>
    <x v="0"/>
    <x v="0"/>
    <x v="2"/>
    <x v="9"/>
    <x v="9"/>
    <x v="0"/>
    <x v="13"/>
    <n v="1"/>
  </r>
  <r>
    <x v="0"/>
    <x v="0"/>
    <x v="2"/>
    <x v="9"/>
    <x v="9"/>
    <x v="0"/>
    <x v="11"/>
    <n v="8"/>
  </r>
  <r>
    <x v="0"/>
    <x v="0"/>
    <x v="2"/>
    <x v="9"/>
    <x v="9"/>
    <x v="0"/>
    <x v="14"/>
    <n v="8"/>
  </r>
  <r>
    <x v="0"/>
    <x v="0"/>
    <x v="2"/>
    <x v="9"/>
    <x v="9"/>
    <x v="0"/>
    <x v="17"/>
    <n v="1"/>
  </r>
  <r>
    <x v="0"/>
    <x v="0"/>
    <x v="2"/>
    <x v="7"/>
    <x v="12"/>
    <x v="0"/>
    <x v="14"/>
    <n v="1"/>
  </r>
  <r>
    <x v="0"/>
    <x v="0"/>
    <x v="2"/>
    <x v="7"/>
    <x v="12"/>
    <x v="0"/>
    <x v="19"/>
    <n v="1"/>
  </r>
  <r>
    <x v="0"/>
    <x v="0"/>
    <x v="2"/>
    <x v="8"/>
    <x v="16"/>
    <x v="0"/>
    <x v="1"/>
    <n v="3"/>
  </r>
  <r>
    <x v="0"/>
    <x v="0"/>
    <x v="2"/>
    <x v="8"/>
    <x v="16"/>
    <x v="0"/>
    <x v="12"/>
    <n v="3"/>
  </r>
  <r>
    <x v="0"/>
    <x v="0"/>
    <x v="2"/>
    <x v="8"/>
    <x v="16"/>
    <x v="0"/>
    <x v="9"/>
    <n v="4"/>
  </r>
  <r>
    <x v="0"/>
    <x v="0"/>
    <x v="2"/>
    <x v="8"/>
    <x v="10"/>
    <x v="0"/>
    <x v="5"/>
    <n v="2"/>
  </r>
  <r>
    <x v="0"/>
    <x v="0"/>
    <x v="2"/>
    <x v="8"/>
    <x v="10"/>
    <x v="0"/>
    <x v="2"/>
    <n v="25"/>
  </r>
  <r>
    <x v="0"/>
    <x v="0"/>
    <x v="2"/>
    <x v="8"/>
    <x v="10"/>
    <x v="0"/>
    <x v="13"/>
    <n v="56"/>
  </r>
  <r>
    <x v="0"/>
    <x v="0"/>
    <x v="2"/>
    <x v="8"/>
    <x v="11"/>
    <x v="0"/>
    <x v="10"/>
    <n v="7"/>
  </r>
  <r>
    <x v="0"/>
    <x v="0"/>
    <x v="2"/>
    <x v="10"/>
    <x v="13"/>
    <x v="0"/>
    <x v="19"/>
    <n v="2"/>
  </r>
  <r>
    <x v="0"/>
    <x v="0"/>
    <x v="2"/>
    <x v="10"/>
    <x v="14"/>
    <x v="0"/>
    <x v="11"/>
    <n v="1"/>
  </r>
  <r>
    <x v="0"/>
    <x v="0"/>
    <x v="2"/>
    <x v="10"/>
    <x v="15"/>
    <x v="0"/>
    <x v="11"/>
    <n v="1"/>
  </r>
  <r>
    <x v="0"/>
    <x v="0"/>
    <x v="2"/>
    <x v="10"/>
    <x v="15"/>
    <x v="0"/>
    <x v="17"/>
    <n v="3"/>
  </r>
  <r>
    <x v="0"/>
    <x v="0"/>
    <x v="2"/>
    <x v="10"/>
    <x v="15"/>
    <x v="0"/>
    <x v="19"/>
    <n v="4"/>
  </r>
  <r>
    <x v="0"/>
    <x v="0"/>
    <x v="2"/>
    <x v="10"/>
    <x v="3"/>
    <x v="0"/>
    <x v="5"/>
    <n v="20"/>
  </r>
  <r>
    <x v="0"/>
    <x v="0"/>
    <x v="2"/>
    <x v="10"/>
    <x v="3"/>
    <x v="0"/>
    <x v="2"/>
    <n v="25"/>
  </r>
  <r>
    <x v="0"/>
    <x v="0"/>
    <x v="2"/>
    <x v="10"/>
    <x v="3"/>
    <x v="0"/>
    <x v="13"/>
    <n v="24"/>
  </r>
  <r>
    <x v="0"/>
    <x v="0"/>
    <x v="2"/>
    <x v="10"/>
    <x v="3"/>
    <x v="0"/>
    <x v="11"/>
    <n v="27"/>
  </r>
  <r>
    <x v="0"/>
    <x v="0"/>
    <x v="2"/>
    <x v="10"/>
    <x v="3"/>
    <x v="0"/>
    <x v="14"/>
    <n v="18"/>
  </r>
  <r>
    <x v="0"/>
    <x v="0"/>
    <x v="2"/>
    <x v="10"/>
    <x v="3"/>
    <x v="0"/>
    <x v="17"/>
    <n v="18"/>
  </r>
  <r>
    <x v="0"/>
    <x v="0"/>
    <x v="2"/>
    <x v="11"/>
    <x v="2"/>
    <x v="0"/>
    <x v="5"/>
    <n v="1"/>
  </r>
  <r>
    <x v="0"/>
    <x v="0"/>
    <x v="2"/>
    <x v="11"/>
    <x v="15"/>
    <x v="0"/>
    <x v="13"/>
    <n v="2"/>
  </r>
  <r>
    <x v="0"/>
    <x v="0"/>
    <x v="2"/>
    <x v="11"/>
    <x v="15"/>
    <x v="0"/>
    <x v="11"/>
    <n v="1"/>
  </r>
  <r>
    <x v="0"/>
    <x v="0"/>
    <x v="2"/>
    <x v="11"/>
    <x v="7"/>
    <x v="0"/>
    <x v="11"/>
    <n v="7"/>
  </r>
  <r>
    <x v="0"/>
    <x v="0"/>
    <x v="2"/>
    <x v="12"/>
    <x v="5"/>
    <x v="0"/>
    <x v="19"/>
    <n v="1"/>
  </r>
  <r>
    <x v="0"/>
    <x v="0"/>
    <x v="2"/>
    <x v="12"/>
    <x v="13"/>
    <x v="0"/>
    <x v="11"/>
    <n v="1"/>
  </r>
  <r>
    <x v="0"/>
    <x v="0"/>
    <x v="2"/>
    <x v="12"/>
    <x v="13"/>
    <x v="0"/>
    <x v="17"/>
    <n v="2"/>
  </r>
  <r>
    <x v="0"/>
    <x v="0"/>
    <x v="2"/>
    <x v="12"/>
    <x v="14"/>
    <x v="0"/>
    <x v="19"/>
    <n v="10"/>
  </r>
  <r>
    <x v="0"/>
    <x v="0"/>
    <x v="2"/>
    <x v="12"/>
    <x v="15"/>
    <x v="0"/>
    <x v="5"/>
    <n v="39"/>
  </r>
  <r>
    <x v="0"/>
    <x v="0"/>
    <x v="2"/>
    <x v="12"/>
    <x v="15"/>
    <x v="0"/>
    <x v="2"/>
    <n v="33"/>
  </r>
  <r>
    <x v="0"/>
    <x v="0"/>
    <x v="2"/>
    <x v="12"/>
    <x v="15"/>
    <x v="0"/>
    <x v="13"/>
    <n v="25"/>
  </r>
  <r>
    <x v="0"/>
    <x v="0"/>
    <x v="2"/>
    <x v="12"/>
    <x v="15"/>
    <x v="0"/>
    <x v="11"/>
    <n v="30"/>
  </r>
  <r>
    <x v="0"/>
    <x v="0"/>
    <x v="2"/>
    <x v="12"/>
    <x v="15"/>
    <x v="0"/>
    <x v="14"/>
    <n v="15"/>
  </r>
  <r>
    <x v="0"/>
    <x v="0"/>
    <x v="2"/>
    <x v="12"/>
    <x v="15"/>
    <x v="0"/>
    <x v="17"/>
    <n v="13"/>
  </r>
  <r>
    <x v="0"/>
    <x v="0"/>
    <x v="2"/>
    <x v="12"/>
    <x v="8"/>
    <x v="0"/>
    <x v="11"/>
    <n v="1"/>
  </r>
  <r>
    <x v="0"/>
    <x v="0"/>
    <x v="2"/>
    <x v="12"/>
    <x v="6"/>
    <x v="1"/>
    <x v="9"/>
    <n v="1"/>
  </r>
  <r>
    <x v="0"/>
    <x v="0"/>
    <x v="2"/>
    <x v="12"/>
    <x v="6"/>
    <x v="1"/>
    <x v="3"/>
    <n v="1"/>
  </r>
  <r>
    <x v="0"/>
    <x v="0"/>
    <x v="2"/>
    <x v="12"/>
    <x v="6"/>
    <x v="0"/>
    <x v="3"/>
    <n v="2"/>
  </r>
  <r>
    <x v="0"/>
    <x v="0"/>
    <x v="2"/>
    <x v="12"/>
    <x v="6"/>
    <x v="0"/>
    <x v="5"/>
    <n v="1"/>
  </r>
  <r>
    <x v="0"/>
    <x v="0"/>
    <x v="2"/>
    <x v="13"/>
    <x v="5"/>
    <x v="0"/>
    <x v="19"/>
    <n v="340"/>
  </r>
  <r>
    <x v="0"/>
    <x v="0"/>
    <x v="2"/>
    <x v="13"/>
    <x v="14"/>
    <x v="0"/>
    <x v="2"/>
    <n v="1"/>
  </r>
  <r>
    <x v="0"/>
    <x v="0"/>
    <x v="2"/>
    <x v="13"/>
    <x v="14"/>
    <x v="0"/>
    <x v="13"/>
    <n v="1"/>
  </r>
  <r>
    <x v="0"/>
    <x v="0"/>
    <x v="2"/>
    <x v="13"/>
    <x v="14"/>
    <x v="0"/>
    <x v="14"/>
    <n v="1"/>
  </r>
  <r>
    <x v="0"/>
    <x v="0"/>
    <x v="2"/>
    <x v="13"/>
    <x v="8"/>
    <x v="0"/>
    <x v="3"/>
    <n v="1"/>
  </r>
  <r>
    <x v="0"/>
    <x v="0"/>
    <x v="2"/>
    <x v="13"/>
    <x v="8"/>
    <x v="0"/>
    <x v="5"/>
    <n v="2"/>
  </r>
  <r>
    <x v="0"/>
    <x v="0"/>
    <x v="2"/>
    <x v="13"/>
    <x v="8"/>
    <x v="0"/>
    <x v="2"/>
    <n v="2"/>
  </r>
  <r>
    <x v="0"/>
    <x v="0"/>
    <x v="2"/>
    <x v="13"/>
    <x v="8"/>
    <x v="0"/>
    <x v="11"/>
    <n v="1"/>
  </r>
  <r>
    <x v="0"/>
    <x v="0"/>
    <x v="2"/>
    <x v="13"/>
    <x v="9"/>
    <x v="0"/>
    <x v="3"/>
    <n v="2"/>
  </r>
  <r>
    <x v="0"/>
    <x v="0"/>
    <x v="2"/>
    <x v="13"/>
    <x v="9"/>
    <x v="0"/>
    <x v="4"/>
    <n v="1"/>
  </r>
  <r>
    <x v="0"/>
    <x v="0"/>
    <x v="2"/>
    <x v="14"/>
    <x v="12"/>
    <x v="0"/>
    <x v="3"/>
    <n v="1"/>
  </r>
  <r>
    <x v="0"/>
    <x v="0"/>
    <x v="2"/>
    <x v="14"/>
    <x v="12"/>
    <x v="0"/>
    <x v="5"/>
    <n v="2"/>
  </r>
  <r>
    <x v="0"/>
    <x v="0"/>
    <x v="2"/>
    <x v="14"/>
    <x v="12"/>
    <x v="0"/>
    <x v="13"/>
    <n v="1"/>
  </r>
  <r>
    <x v="0"/>
    <x v="0"/>
    <x v="2"/>
    <x v="14"/>
    <x v="14"/>
    <x v="0"/>
    <x v="14"/>
    <n v="1"/>
  </r>
  <r>
    <x v="0"/>
    <x v="0"/>
    <x v="2"/>
    <x v="14"/>
    <x v="10"/>
    <x v="0"/>
    <x v="9"/>
    <n v="1"/>
  </r>
  <r>
    <x v="0"/>
    <x v="0"/>
    <x v="2"/>
    <x v="18"/>
    <x v="0"/>
    <x v="0"/>
    <x v="17"/>
    <n v="9"/>
  </r>
  <r>
    <x v="0"/>
    <x v="0"/>
    <x v="2"/>
    <x v="18"/>
    <x v="0"/>
    <x v="0"/>
    <x v="19"/>
    <n v="10"/>
  </r>
  <r>
    <x v="0"/>
    <x v="0"/>
    <x v="2"/>
    <x v="18"/>
    <x v="1"/>
    <x v="0"/>
    <x v="19"/>
    <n v="3"/>
  </r>
  <r>
    <x v="0"/>
    <x v="0"/>
    <x v="2"/>
    <x v="18"/>
    <x v="8"/>
    <x v="0"/>
    <x v="12"/>
    <n v="4"/>
  </r>
  <r>
    <x v="0"/>
    <x v="0"/>
    <x v="2"/>
    <x v="18"/>
    <x v="8"/>
    <x v="0"/>
    <x v="9"/>
    <n v="5"/>
  </r>
  <r>
    <x v="0"/>
    <x v="0"/>
    <x v="2"/>
    <x v="18"/>
    <x v="8"/>
    <x v="0"/>
    <x v="3"/>
    <n v="2"/>
  </r>
  <r>
    <x v="0"/>
    <x v="0"/>
    <x v="2"/>
    <x v="18"/>
    <x v="8"/>
    <x v="0"/>
    <x v="4"/>
    <n v="4"/>
  </r>
  <r>
    <x v="0"/>
    <x v="0"/>
    <x v="2"/>
    <x v="18"/>
    <x v="8"/>
    <x v="0"/>
    <x v="5"/>
    <n v="1"/>
  </r>
  <r>
    <x v="0"/>
    <x v="0"/>
    <x v="2"/>
    <x v="15"/>
    <x v="1"/>
    <x v="0"/>
    <x v="4"/>
    <n v="1"/>
  </r>
  <r>
    <x v="0"/>
    <x v="0"/>
    <x v="2"/>
    <x v="15"/>
    <x v="5"/>
    <x v="0"/>
    <x v="0"/>
    <n v="4"/>
  </r>
  <r>
    <x v="0"/>
    <x v="0"/>
    <x v="2"/>
    <x v="15"/>
    <x v="5"/>
    <x v="0"/>
    <x v="18"/>
    <n v="16"/>
  </r>
  <r>
    <x v="0"/>
    <x v="0"/>
    <x v="2"/>
    <x v="16"/>
    <x v="13"/>
    <x v="0"/>
    <x v="11"/>
    <n v="1"/>
  </r>
  <r>
    <x v="0"/>
    <x v="0"/>
    <x v="2"/>
    <x v="16"/>
    <x v="14"/>
    <x v="0"/>
    <x v="9"/>
    <n v="3"/>
  </r>
  <r>
    <x v="0"/>
    <x v="0"/>
    <x v="2"/>
    <x v="16"/>
    <x v="14"/>
    <x v="0"/>
    <x v="3"/>
    <n v="2"/>
  </r>
  <r>
    <x v="0"/>
    <x v="0"/>
    <x v="2"/>
    <x v="16"/>
    <x v="14"/>
    <x v="0"/>
    <x v="4"/>
    <n v="3"/>
  </r>
  <r>
    <x v="0"/>
    <x v="0"/>
    <x v="2"/>
    <x v="16"/>
    <x v="14"/>
    <x v="0"/>
    <x v="5"/>
    <n v="1"/>
  </r>
  <r>
    <x v="0"/>
    <x v="0"/>
    <x v="2"/>
    <x v="16"/>
    <x v="14"/>
    <x v="0"/>
    <x v="2"/>
    <n v="1"/>
  </r>
  <r>
    <x v="0"/>
    <x v="0"/>
    <x v="2"/>
    <x v="16"/>
    <x v="14"/>
    <x v="0"/>
    <x v="13"/>
    <n v="1"/>
  </r>
  <r>
    <x v="0"/>
    <x v="0"/>
    <x v="2"/>
    <x v="16"/>
    <x v="3"/>
    <x v="0"/>
    <x v="9"/>
    <n v="1"/>
  </r>
  <r>
    <x v="0"/>
    <x v="0"/>
    <x v="2"/>
    <x v="16"/>
    <x v="3"/>
    <x v="0"/>
    <x v="4"/>
    <n v="4"/>
  </r>
  <r>
    <x v="0"/>
    <x v="0"/>
    <x v="2"/>
    <x v="17"/>
    <x v="1"/>
    <x v="0"/>
    <x v="0"/>
    <n v="1"/>
  </r>
  <r>
    <x v="0"/>
    <x v="0"/>
    <x v="2"/>
    <x v="17"/>
    <x v="1"/>
    <x v="0"/>
    <x v="18"/>
    <n v="1"/>
  </r>
  <r>
    <x v="0"/>
    <x v="0"/>
    <x v="2"/>
    <x v="19"/>
    <x v="2"/>
    <x v="0"/>
    <x v="0"/>
    <n v="2"/>
  </r>
  <r>
    <x v="0"/>
    <x v="0"/>
    <x v="2"/>
    <x v="19"/>
    <x v="2"/>
    <x v="0"/>
    <x v="18"/>
    <n v="2"/>
  </r>
  <r>
    <x v="0"/>
    <x v="0"/>
    <x v="2"/>
    <x v="19"/>
    <x v="4"/>
    <x v="0"/>
    <x v="19"/>
    <n v="1"/>
  </r>
  <r>
    <x v="0"/>
    <x v="0"/>
    <x v="2"/>
    <x v="19"/>
    <x v="16"/>
    <x v="0"/>
    <x v="14"/>
    <n v="1"/>
  </r>
  <r>
    <x v="0"/>
    <x v="0"/>
    <x v="2"/>
    <x v="19"/>
    <x v="16"/>
    <x v="0"/>
    <x v="17"/>
    <n v="3"/>
  </r>
  <r>
    <x v="0"/>
    <x v="0"/>
    <x v="2"/>
    <x v="19"/>
    <x v="16"/>
    <x v="0"/>
    <x v="19"/>
    <n v="5"/>
  </r>
  <r>
    <x v="0"/>
    <x v="0"/>
    <x v="2"/>
    <x v="19"/>
    <x v="5"/>
    <x v="0"/>
    <x v="5"/>
    <n v="4"/>
  </r>
  <r>
    <x v="0"/>
    <x v="0"/>
    <x v="2"/>
    <x v="19"/>
    <x v="5"/>
    <x v="0"/>
    <x v="2"/>
    <n v="4"/>
  </r>
  <r>
    <x v="0"/>
    <x v="0"/>
    <x v="2"/>
    <x v="19"/>
    <x v="5"/>
    <x v="0"/>
    <x v="13"/>
    <n v="2"/>
  </r>
  <r>
    <x v="0"/>
    <x v="0"/>
    <x v="2"/>
    <x v="19"/>
    <x v="5"/>
    <x v="0"/>
    <x v="11"/>
    <n v="2"/>
  </r>
  <r>
    <x v="0"/>
    <x v="0"/>
    <x v="2"/>
    <x v="19"/>
    <x v="13"/>
    <x v="0"/>
    <x v="13"/>
    <n v="1"/>
  </r>
  <r>
    <x v="0"/>
    <x v="0"/>
    <x v="2"/>
    <x v="19"/>
    <x v="10"/>
    <x v="1"/>
    <x v="1"/>
    <n v="1"/>
  </r>
  <r>
    <x v="0"/>
    <x v="0"/>
    <x v="2"/>
    <x v="19"/>
    <x v="10"/>
    <x v="0"/>
    <x v="6"/>
    <n v="30"/>
  </r>
  <r>
    <x v="0"/>
    <x v="0"/>
    <x v="2"/>
    <x v="19"/>
    <x v="10"/>
    <x v="0"/>
    <x v="10"/>
    <n v="239"/>
  </r>
  <r>
    <x v="0"/>
    <x v="0"/>
    <x v="2"/>
    <x v="19"/>
    <x v="10"/>
    <x v="0"/>
    <x v="1"/>
    <n v="208"/>
  </r>
  <r>
    <x v="0"/>
    <x v="0"/>
    <x v="3"/>
    <x v="0"/>
    <x v="1"/>
    <x v="0"/>
    <x v="4"/>
    <n v="1"/>
  </r>
  <r>
    <x v="0"/>
    <x v="0"/>
    <x v="3"/>
    <x v="0"/>
    <x v="13"/>
    <x v="0"/>
    <x v="10"/>
    <n v="1"/>
  </r>
  <r>
    <x v="0"/>
    <x v="0"/>
    <x v="3"/>
    <x v="0"/>
    <x v="13"/>
    <x v="0"/>
    <x v="1"/>
    <n v="4"/>
  </r>
  <r>
    <x v="0"/>
    <x v="0"/>
    <x v="3"/>
    <x v="0"/>
    <x v="14"/>
    <x v="6"/>
    <x v="12"/>
    <n v="1"/>
  </r>
  <r>
    <x v="0"/>
    <x v="0"/>
    <x v="3"/>
    <x v="0"/>
    <x v="14"/>
    <x v="9"/>
    <x v="1"/>
    <n v="1"/>
  </r>
  <r>
    <x v="0"/>
    <x v="0"/>
    <x v="3"/>
    <x v="0"/>
    <x v="14"/>
    <x v="1"/>
    <x v="10"/>
    <n v="4"/>
  </r>
  <r>
    <x v="0"/>
    <x v="0"/>
    <x v="3"/>
    <x v="0"/>
    <x v="14"/>
    <x v="1"/>
    <x v="1"/>
    <n v="12"/>
  </r>
  <r>
    <x v="0"/>
    <x v="0"/>
    <x v="3"/>
    <x v="0"/>
    <x v="14"/>
    <x v="0"/>
    <x v="1"/>
    <n v="7"/>
  </r>
  <r>
    <x v="0"/>
    <x v="0"/>
    <x v="3"/>
    <x v="0"/>
    <x v="11"/>
    <x v="0"/>
    <x v="18"/>
    <n v="3"/>
  </r>
  <r>
    <x v="0"/>
    <x v="0"/>
    <x v="3"/>
    <x v="0"/>
    <x v="17"/>
    <x v="0"/>
    <x v="11"/>
    <n v="1"/>
  </r>
  <r>
    <x v="0"/>
    <x v="0"/>
    <x v="3"/>
    <x v="0"/>
    <x v="17"/>
    <x v="0"/>
    <x v="14"/>
    <n v="2"/>
  </r>
  <r>
    <x v="0"/>
    <x v="0"/>
    <x v="3"/>
    <x v="0"/>
    <x v="17"/>
    <x v="0"/>
    <x v="17"/>
    <n v="4"/>
  </r>
  <r>
    <x v="0"/>
    <x v="0"/>
    <x v="3"/>
    <x v="0"/>
    <x v="17"/>
    <x v="0"/>
    <x v="19"/>
    <n v="8"/>
  </r>
  <r>
    <x v="0"/>
    <x v="0"/>
    <x v="3"/>
    <x v="0"/>
    <x v="19"/>
    <x v="3"/>
    <x v="1"/>
    <n v="1"/>
  </r>
  <r>
    <x v="0"/>
    <x v="0"/>
    <x v="3"/>
    <x v="0"/>
    <x v="19"/>
    <x v="5"/>
    <x v="6"/>
    <n v="1"/>
  </r>
  <r>
    <x v="0"/>
    <x v="0"/>
    <x v="3"/>
    <x v="0"/>
    <x v="19"/>
    <x v="11"/>
    <x v="7"/>
    <n v="1"/>
  </r>
  <r>
    <x v="0"/>
    <x v="0"/>
    <x v="0"/>
    <x v="17"/>
    <x v="3"/>
    <x v="0"/>
    <x v="9"/>
    <n v="3"/>
  </r>
  <r>
    <x v="0"/>
    <x v="0"/>
    <x v="0"/>
    <x v="17"/>
    <x v="3"/>
    <x v="0"/>
    <x v="3"/>
    <n v="11"/>
  </r>
  <r>
    <x v="0"/>
    <x v="0"/>
    <x v="0"/>
    <x v="17"/>
    <x v="3"/>
    <x v="0"/>
    <x v="4"/>
    <n v="14"/>
  </r>
  <r>
    <x v="0"/>
    <x v="0"/>
    <x v="0"/>
    <x v="17"/>
    <x v="7"/>
    <x v="0"/>
    <x v="9"/>
    <n v="1"/>
  </r>
  <r>
    <x v="0"/>
    <x v="0"/>
    <x v="0"/>
    <x v="17"/>
    <x v="7"/>
    <x v="0"/>
    <x v="3"/>
    <n v="2"/>
  </r>
  <r>
    <x v="0"/>
    <x v="0"/>
    <x v="0"/>
    <x v="17"/>
    <x v="9"/>
    <x v="3"/>
    <x v="2"/>
    <n v="1"/>
  </r>
  <r>
    <x v="0"/>
    <x v="0"/>
    <x v="0"/>
    <x v="17"/>
    <x v="9"/>
    <x v="8"/>
    <x v="13"/>
    <n v="1"/>
  </r>
  <r>
    <x v="0"/>
    <x v="0"/>
    <x v="0"/>
    <x v="17"/>
    <x v="11"/>
    <x v="0"/>
    <x v="5"/>
    <n v="1"/>
  </r>
  <r>
    <x v="0"/>
    <x v="0"/>
    <x v="0"/>
    <x v="17"/>
    <x v="19"/>
    <x v="8"/>
    <x v="10"/>
    <n v="3"/>
  </r>
  <r>
    <x v="0"/>
    <x v="0"/>
    <x v="0"/>
    <x v="19"/>
    <x v="7"/>
    <x v="19"/>
    <x v="9"/>
    <n v="1"/>
  </r>
  <r>
    <x v="0"/>
    <x v="0"/>
    <x v="0"/>
    <x v="19"/>
    <x v="7"/>
    <x v="19"/>
    <x v="3"/>
    <n v="1"/>
  </r>
  <r>
    <x v="0"/>
    <x v="0"/>
    <x v="0"/>
    <x v="19"/>
    <x v="7"/>
    <x v="19"/>
    <x v="4"/>
    <n v="1"/>
  </r>
  <r>
    <x v="0"/>
    <x v="0"/>
    <x v="0"/>
    <x v="19"/>
    <x v="7"/>
    <x v="16"/>
    <x v="12"/>
    <n v="16"/>
  </r>
  <r>
    <x v="0"/>
    <x v="0"/>
    <x v="0"/>
    <x v="19"/>
    <x v="7"/>
    <x v="15"/>
    <x v="8"/>
    <n v="937"/>
  </r>
  <r>
    <x v="0"/>
    <x v="0"/>
    <x v="0"/>
    <x v="19"/>
    <x v="7"/>
    <x v="14"/>
    <x v="16"/>
    <n v="190"/>
  </r>
  <r>
    <x v="0"/>
    <x v="0"/>
    <x v="0"/>
    <x v="19"/>
    <x v="7"/>
    <x v="13"/>
    <x v="16"/>
    <n v="9542"/>
  </r>
  <r>
    <x v="0"/>
    <x v="0"/>
    <x v="0"/>
    <x v="19"/>
    <x v="7"/>
    <x v="13"/>
    <x v="15"/>
    <n v="1771"/>
  </r>
  <r>
    <x v="0"/>
    <x v="0"/>
    <x v="0"/>
    <x v="19"/>
    <x v="7"/>
    <x v="2"/>
    <x v="8"/>
    <n v="876"/>
  </r>
  <r>
    <x v="0"/>
    <x v="0"/>
    <x v="0"/>
    <x v="19"/>
    <x v="7"/>
    <x v="2"/>
    <x v="7"/>
    <n v="543"/>
  </r>
  <r>
    <x v="0"/>
    <x v="0"/>
    <x v="0"/>
    <x v="19"/>
    <x v="7"/>
    <x v="10"/>
    <x v="8"/>
    <n v="676"/>
  </r>
  <r>
    <x v="0"/>
    <x v="0"/>
    <x v="0"/>
    <x v="19"/>
    <x v="7"/>
    <x v="3"/>
    <x v="15"/>
    <n v="1613"/>
  </r>
  <r>
    <x v="0"/>
    <x v="0"/>
    <x v="0"/>
    <x v="19"/>
    <x v="7"/>
    <x v="3"/>
    <x v="8"/>
    <n v="506"/>
  </r>
  <r>
    <x v="0"/>
    <x v="0"/>
    <x v="0"/>
    <x v="19"/>
    <x v="7"/>
    <x v="4"/>
    <x v="15"/>
    <n v="751"/>
  </r>
  <r>
    <x v="0"/>
    <x v="0"/>
    <x v="0"/>
    <x v="19"/>
    <x v="7"/>
    <x v="4"/>
    <x v="8"/>
    <n v="434"/>
  </r>
  <r>
    <x v="0"/>
    <x v="0"/>
    <x v="0"/>
    <x v="19"/>
    <x v="7"/>
    <x v="5"/>
    <x v="15"/>
    <n v="100"/>
  </r>
  <r>
    <x v="0"/>
    <x v="0"/>
    <x v="0"/>
    <x v="19"/>
    <x v="7"/>
    <x v="5"/>
    <x v="8"/>
    <n v="445"/>
  </r>
  <r>
    <x v="0"/>
    <x v="0"/>
    <x v="0"/>
    <x v="19"/>
    <x v="7"/>
    <x v="11"/>
    <x v="15"/>
    <n v="2"/>
  </r>
  <r>
    <x v="0"/>
    <x v="0"/>
    <x v="0"/>
    <x v="19"/>
    <x v="7"/>
    <x v="7"/>
    <x v="12"/>
    <n v="4"/>
  </r>
  <r>
    <x v="0"/>
    <x v="0"/>
    <x v="0"/>
    <x v="19"/>
    <x v="7"/>
    <x v="7"/>
    <x v="9"/>
    <n v="2"/>
  </r>
  <r>
    <x v="0"/>
    <x v="0"/>
    <x v="0"/>
    <x v="19"/>
    <x v="7"/>
    <x v="1"/>
    <x v="1"/>
    <n v="3"/>
  </r>
  <r>
    <x v="0"/>
    <x v="0"/>
    <x v="0"/>
    <x v="19"/>
    <x v="7"/>
    <x v="8"/>
    <x v="12"/>
    <n v="3"/>
  </r>
  <r>
    <x v="0"/>
    <x v="0"/>
    <x v="0"/>
    <x v="19"/>
    <x v="7"/>
    <x v="8"/>
    <x v="9"/>
    <n v="1"/>
  </r>
  <r>
    <x v="0"/>
    <x v="0"/>
    <x v="0"/>
    <x v="19"/>
    <x v="7"/>
    <x v="8"/>
    <x v="3"/>
    <n v="1"/>
  </r>
  <r>
    <x v="0"/>
    <x v="0"/>
    <x v="0"/>
    <x v="19"/>
    <x v="10"/>
    <x v="4"/>
    <x v="15"/>
    <n v="5"/>
  </r>
  <r>
    <x v="0"/>
    <x v="0"/>
    <x v="0"/>
    <x v="19"/>
    <x v="10"/>
    <x v="6"/>
    <x v="1"/>
    <n v="3"/>
  </r>
  <r>
    <x v="0"/>
    <x v="0"/>
    <x v="0"/>
    <x v="19"/>
    <x v="10"/>
    <x v="6"/>
    <x v="11"/>
    <n v="1"/>
  </r>
  <r>
    <x v="0"/>
    <x v="0"/>
    <x v="0"/>
    <x v="19"/>
    <x v="10"/>
    <x v="9"/>
    <x v="1"/>
    <n v="10"/>
  </r>
  <r>
    <x v="0"/>
    <x v="0"/>
    <x v="0"/>
    <x v="19"/>
    <x v="10"/>
    <x v="9"/>
    <x v="2"/>
    <n v="2"/>
  </r>
  <r>
    <x v="0"/>
    <x v="0"/>
    <x v="0"/>
    <x v="19"/>
    <x v="10"/>
    <x v="9"/>
    <x v="13"/>
    <n v="2"/>
  </r>
  <r>
    <x v="0"/>
    <x v="0"/>
    <x v="0"/>
    <x v="19"/>
    <x v="10"/>
    <x v="12"/>
    <x v="10"/>
    <n v="38"/>
  </r>
  <r>
    <x v="0"/>
    <x v="0"/>
    <x v="0"/>
    <x v="19"/>
    <x v="10"/>
    <x v="12"/>
    <x v="1"/>
    <n v="13"/>
  </r>
  <r>
    <x v="0"/>
    <x v="0"/>
    <x v="0"/>
    <x v="19"/>
    <x v="10"/>
    <x v="12"/>
    <x v="5"/>
    <n v="3"/>
  </r>
  <r>
    <x v="0"/>
    <x v="0"/>
    <x v="0"/>
    <x v="19"/>
    <x v="10"/>
    <x v="12"/>
    <x v="13"/>
    <n v="1"/>
  </r>
  <r>
    <x v="0"/>
    <x v="0"/>
    <x v="0"/>
    <x v="19"/>
    <x v="10"/>
    <x v="7"/>
    <x v="12"/>
    <n v="3"/>
  </r>
  <r>
    <x v="0"/>
    <x v="0"/>
    <x v="0"/>
    <x v="19"/>
    <x v="10"/>
    <x v="1"/>
    <x v="10"/>
    <n v="40"/>
  </r>
  <r>
    <x v="0"/>
    <x v="0"/>
    <x v="0"/>
    <x v="19"/>
    <x v="10"/>
    <x v="1"/>
    <x v="1"/>
    <n v="22"/>
  </r>
  <r>
    <x v="0"/>
    <x v="0"/>
    <x v="0"/>
    <x v="19"/>
    <x v="10"/>
    <x v="1"/>
    <x v="4"/>
    <n v="2"/>
  </r>
  <r>
    <x v="0"/>
    <x v="0"/>
    <x v="0"/>
    <x v="19"/>
    <x v="10"/>
    <x v="1"/>
    <x v="5"/>
    <n v="4"/>
  </r>
  <r>
    <x v="0"/>
    <x v="0"/>
    <x v="0"/>
    <x v="19"/>
    <x v="10"/>
    <x v="1"/>
    <x v="2"/>
    <n v="3"/>
  </r>
  <r>
    <x v="0"/>
    <x v="0"/>
    <x v="0"/>
    <x v="19"/>
    <x v="10"/>
    <x v="1"/>
    <x v="13"/>
    <n v="1"/>
  </r>
  <r>
    <x v="0"/>
    <x v="0"/>
    <x v="0"/>
    <x v="19"/>
    <x v="10"/>
    <x v="0"/>
    <x v="6"/>
    <n v="114"/>
  </r>
  <r>
    <x v="0"/>
    <x v="0"/>
    <x v="0"/>
    <x v="19"/>
    <x v="10"/>
    <x v="0"/>
    <x v="10"/>
    <n v="136"/>
  </r>
  <r>
    <x v="0"/>
    <x v="0"/>
    <x v="0"/>
    <x v="19"/>
    <x v="10"/>
    <x v="0"/>
    <x v="1"/>
    <n v="48"/>
  </r>
  <r>
    <x v="0"/>
    <x v="0"/>
    <x v="0"/>
    <x v="19"/>
    <x v="10"/>
    <x v="0"/>
    <x v="3"/>
    <n v="12"/>
  </r>
  <r>
    <x v="0"/>
    <x v="0"/>
    <x v="0"/>
    <x v="19"/>
    <x v="10"/>
    <x v="0"/>
    <x v="4"/>
    <n v="9"/>
  </r>
  <r>
    <x v="0"/>
    <x v="0"/>
    <x v="0"/>
    <x v="19"/>
    <x v="10"/>
    <x v="0"/>
    <x v="5"/>
    <n v="3"/>
  </r>
  <r>
    <x v="0"/>
    <x v="0"/>
    <x v="0"/>
    <x v="19"/>
    <x v="10"/>
    <x v="0"/>
    <x v="2"/>
    <n v="3"/>
  </r>
  <r>
    <x v="0"/>
    <x v="0"/>
    <x v="1"/>
    <x v="0"/>
    <x v="1"/>
    <x v="7"/>
    <x v="12"/>
    <n v="1"/>
  </r>
  <r>
    <x v="0"/>
    <x v="0"/>
    <x v="1"/>
    <x v="1"/>
    <x v="2"/>
    <x v="10"/>
    <x v="3"/>
    <n v="1"/>
  </r>
  <r>
    <x v="0"/>
    <x v="0"/>
    <x v="1"/>
    <x v="1"/>
    <x v="2"/>
    <x v="3"/>
    <x v="9"/>
    <n v="1"/>
  </r>
  <r>
    <x v="0"/>
    <x v="0"/>
    <x v="1"/>
    <x v="1"/>
    <x v="2"/>
    <x v="3"/>
    <x v="5"/>
    <n v="1"/>
  </r>
  <r>
    <x v="0"/>
    <x v="0"/>
    <x v="1"/>
    <x v="1"/>
    <x v="2"/>
    <x v="3"/>
    <x v="2"/>
    <n v="1"/>
  </r>
  <r>
    <x v="0"/>
    <x v="0"/>
    <x v="1"/>
    <x v="1"/>
    <x v="2"/>
    <x v="5"/>
    <x v="9"/>
    <n v="1"/>
  </r>
  <r>
    <x v="0"/>
    <x v="0"/>
    <x v="1"/>
    <x v="1"/>
    <x v="2"/>
    <x v="11"/>
    <x v="3"/>
    <n v="1"/>
  </r>
  <r>
    <x v="0"/>
    <x v="0"/>
    <x v="1"/>
    <x v="1"/>
    <x v="3"/>
    <x v="2"/>
    <x v="12"/>
    <n v="5"/>
  </r>
  <r>
    <x v="0"/>
    <x v="0"/>
    <x v="1"/>
    <x v="1"/>
    <x v="3"/>
    <x v="10"/>
    <x v="12"/>
    <n v="1"/>
  </r>
  <r>
    <x v="0"/>
    <x v="0"/>
    <x v="1"/>
    <x v="1"/>
    <x v="3"/>
    <x v="9"/>
    <x v="1"/>
    <n v="1"/>
  </r>
  <r>
    <x v="0"/>
    <x v="0"/>
    <x v="1"/>
    <x v="2"/>
    <x v="0"/>
    <x v="3"/>
    <x v="2"/>
    <n v="1"/>
  </r>
  <r>
    <x v="0"/>
    <x v="0"/>
    <x v="1"/>
    <x v="2"/>
    <x v="0"/>
    <x v="11"/>
    <x v="9"/>
    <n v="1"/>
  </r>
  <r>
    <x v="0"/>
    <x v="0"/>
    <x v="1"/>
    <x v="2"/>
    <x v="0"/>
    <x v="9"/>
    <x v="3"/>
    <n v="1"/>
  </r>
  <r>
    <x v="0"/>
    <x v="0"/>
    <x v="1"/>
    <x v="2"/>
    <x v="0"/>
    <x v="12"/>
    <x v="9"/>
    <n v="1"/>
  </r>
  <r>
    <x v="0"/>
    <x v="0"/>
    <x v="1"/>
    <x v="2"/>
    <x v="0"/>
    <x v="7"/>
    <x v="3"/>
    <n v="1"/>
  </r>
  <r>
    <x v="0"/>
    <x v="0"/>
    <x v="1"/>
    <x v="2"/>
    <x v="0"/>
    <x v="8"/>
    <x v="9"/>
    <n v="1"/>
  </r>
  <r>
    <x v="0"/>
    <x v="0"/>
    <x v="1"/>
    <x v="2"/>
    <x v="4"/>
    <x v="0"/>
    <x v="13"/>
    <n v="1"/>
  </r>
  <r>
    <x v="0"/>
    <x v="0"/>
    <x v="1"/>
    <x v="2"/>
    <x v="5"/>
    <x v="0"/>
    <x v="9"/>
    <n v="1"/>
  </r>
  <r>
    <x v="0"/>
    <x v="0"/>
    <x v="1"/>
    <x v="2"/>
    <x v="13"/>
    <x v="7"/>
    <x v="12"/>
    <n v="1"/>
  </r>
  <r>
    <x v="0"/>
    <x v="0"/>
    <x v="1"/>
    <x v="2"/>
    <x v="13"/>
    <x v="8"/>
    <x v="12"/>
    <n v="1"/>
  </r>
  <r>
    <x v="0"/>
    <x v="0"/>
    <x v="1"/>
    <x v="2"/>
    <x v="7"/>
    <x v="3"/>
    <x v="1"/>
    <n v="2"/>
  </r>
  <r>
    <x v="0"/>
    <x v="0"/>
    <x v="1"/>
    <x v="2"/>
    <x v="7"/>
    <x v="4"/>
    <x v="1"/>
    <n v="2"/>
  </r>
  <r>
    <x v="0"/>
    <x v="0"/>
    <x v="1"/>
    <x v="2"/>
    <x v="7"/>
    <x v="5"/>
    <x v="1"/>
    <n v="3"/>
  </r>
  <r>
    <x v="0"/>
    <x v="0"/>
    <x v="1"/>
    <x v="2"/>
    <x v="7"/>
    <x v="11"/>
    <x v="1"/>
    <n v="1"/>
  </r>
  <r>
    <x v="0"/>
    <x v="0"/>
    <x v="1"/>
    <x v="2"/>
    <x v="6"/>
    <x v="11"/>
    <x v="1"/>
    <n v="2"/>
  </r>
  <r>
    <x v="0"/>
    <x v="0"/>
    <x v="1"/>
    <x v="2"/>
    <x v="6"/>
    <x v="6"/>
    <x v="1"/>
    <n v="1"/>
  </r>
  <r>
    <x v="0"/>
    <x v="0"/>
    <x v="1"/>
    <x v="3"/>
    <x v="5"/>
    <x v="10"/>
    <x v="3"/>
    <n v="1"/>
  </r>
  <r>
    <x v="0"/>
    <x v="0"/>
    <x v="1"/>
    <x v="3"/>
    <x v="5"/>
    <x v="10"/>
    <x v="5"/>
    <n v="1"/>
  </r>
  <r>
    <x v="0"/>
    <x v="0"/>
    <x v="1"/>
    <x v="3"/>
    <x v="5"/>
    <x v="10"/>
    <x v="14"/>
    <n v="1"/>
  </r>
  <r>
    <x v="0"/>
    <x v="0"/>
    <x v="1"/>
    <x v="3"/>
    <x v="5"/>
    <x v="3"/>
    <x v="3"/>
    <n v="1"/>
  </r>
  <r>
    <x v="0"/>
    <x v="0"/>
    <x v="1"/>
    <x v="3"/>
    <x v="5"/>
    <x v="3"/>
    <x v="5"/>
    <n v="3"/>
  </r>
  <r>
    <x v="0"/>
    <x v="0"/>
    <x v="1"/>
    <x v="3"/>
    <x v="5"/>
    <x v="4"/>
    <x v="4"/>
    <n v="2"/>
  </r>
  <r>
    <x v="0"/>
    <x v="0"/>
    <x v="1"/>
    <x v="3"/>
    <x v="5"/>
    <x v="4"/>
    <x v="5"/>
    <n v="1"/>
  </r>
  <r>
    <x v="0"/>
    <x v="0"/>
    <x v="1"/>
    <x v="3"/>
    <x v="5"/>
    <x v="5"/>
    <x v="9"/>
    <n v="2"/>
  </r>
  <r>
    <x v="0"/>
    <x v="0"/>
    <x v="1"/>
    <x v="3"/>
    <x v="5"/>
    <x v="5"/>
    <x v="3"/>
    <n v="1"/>
  </r>
  <r>
    <x v="0"/>
    <x v="0"/>
    <x v="1"/>
    <x v="3"/>
    <x v="5"/>
    <x v="5"/>
    <x v="4"/>
    <n v="2"/>
  </r>
  <r>
    <x v="0"/>
    <x v="0"/>
    <x v="1"/>
    <x v="3"/>
    <x v="5"/>
    <x v="5"/>
    <x v="5"/>
    <n v="2"/>
  </r>
  <r>
    <x v="0"/>
    <x v="0"/>
    <x v="1"/>
    <x v="3"/>
    <x v="5"/>
    <x v="11"/>
    <x v="3"/>
    <n v="3"/>
  </r>
  <r>
    <x v="0"/>
    <x v="0"/>
    <x v="1"/>
    <x v="3"/>
    <x v="5"/>
    <x v="11"/>
    <x v="4"/>
    <n v="1"/>
  </r>
  <r>
    <x v="0"/>
    <x v="0"/>
    <x v="1"/>
    <x v="3"/>
    <x v="5"/>
    <x v="11"/>
    <x v="5"/>
    <n v="1"/>
  </r>
  <r>
    <x v="0"/>
    <x v="0"/>
    <x v="1"/>
    <x v="3"/>
    <x v="5"/>
    <x v="6"/>
    <x v="9"/>
    <n v="2"/>
  </r>
  <r>
    <x v="0"/>
    <x v="0"/>
    <x v="1"/>
    <x v="3"/>
    <x v="5"/>
    <x v="6"/>
    <x v="3"/>
    <n v="1"/>
  </r>
  <r>
    <x v="0"/>
    <x v="0"/>
    <x v="1"/>
    <x v="3"/>
    <x v="5"/>
    <x v="6"/>
    <x v="4"/>
    <n v="1"/>
  </r>
  <r>
    <x v="0"/>
    <x v="0"/>
    <x v="1"/>
    <x v="3"/>
    <x v="5"/>
    <x v="9"/>
    <x v="3"/>
    <n v="2"/>
  </r>
  <r>
    <x v="0"/>
    <x v="0"/>
    <x v="1"/>
    <x v="3"/>
    <x v="5"/>
    <x v="12"/>
    <x v="12"/>
    <n v="2"/>
  </r>
  <r>
    <x v="0"/>
    <x v="0"/>
    <x v="1"/>
    <x v="3"/>
    <x v="8"/>
    <x v="17"/>
    <x v="0"/>
    <n v="17"/>
  </r>
  <r>
    <x v="0"/>
    <x v="0"/>
    <x v="1"/>
    <x v="3"/>
    <x v="8"/>
    <x v="17"/>
    <x v="18"/>
    <n v="26"/>
  </r>
  <r>
    <x v="0"/>
    <x v="0"/>
    <x v="1"/>
    <x v="3"/>
    <x v="8"/>
    <x v="18"/>
    <x v="0"/>
    <n v="12"/>
  </r>
  <r>
    <x v="0"/>
    <x v="0"/>
    <x v="1"/>
    <x v="3"/>
    <x v="8"/>
    <x v="18"/>
    <x v="18"/>
    <n v="4"/>
  </r>
  <r>
    <x v="0"/>
    <x v="0"/>
    <x v="1"/>
    <x v="3"/>
    <x v="8"/>
    <x v="19"/>
    <x v="19"/>
    <n v="4"/>
  </r>
  <r>
    <x v="0"/>
    <x v="0"/>
    <x v="1"/>
    <x v="3"/>
    <x v="8"/>
    <x v="16"/>
    <x v="19"/>
    <n v="1"/>
  </r>
  <r>
    <x v="0"/>
    <x v="0"/>
    <x v="1"/>
    <x v="3"/>
    <x v="8"/>
    <x v="15"/>
    <x v="19"/>
    <n v="4"/>
  </r>
  <r>
    <x v="0"/>
    <x v="0"/>
    <x v="1"/>
    <x v="3"/>
    <x v="8"/>
    <x v="14"/>
    <x v="14"/>
    <n v="1"/>
  </r>
  <r>
    <x v="0"/>
    <x v="0"/>
    <x v="1"/>
    <x v="4"/>
    <x v="8"/>
    <x v="2"/>
    <x v="10"/>
    <n v="2"/>
  </r>
  <r>
    <x v="0"/>
    <x v="0"/>
    <x v="1"/>
    <x v="4"/>
    <x v="8"/>
    <x v="10"/>
    <x v="10"/>
    <n v="3"/>
  </r>
  <r>
    <x v="0"/>
    <x v="0"/>
    <x v="1"/>
    <x v="4"/>
    <x v="8"/>
    <x v="3"/>
    <x v="10"/>
    <n v="1"/>
  </r>
  <r>
    <x v="0"/>
    <x v="0"/>
    <x v="1"/>
    <x v="4"/>
    <x v="8"/>
    <x v="3"/>
    <x v="1"/>
    <n v="3"/>
  </r>
  <r>
    <x v="0"/>
    <x v="0"/>
    <x v="1"/>
    <x v="4"/>
    <x v="8"/>
    <x v="5"/>
    <x v="1"/>
    <n v="2"/>
  </r>
  <r>
    <x v="0"/>
    <x v="0"/>
    <x v="1"/>
    <x v="4"/>
    <x v="18"/>
    <x v="3"/>
    <x v="14"/>
    <n v="1"/>
  </r>
  <r>
    <x v="0"/>
    <x v="0"/>
    <x v="1"/>
    <x v="4"/>
    <x v="18"/>
    <x v="5"/>
    <x v="14"/>
    <n v="1"/>
  </r>
  <r>
    <x v="0"/>
    <x v="0"/>
    <x v="1"/>
    <x v="4"/>
    <x v="18"/>
    <x v="5"/>
    <x v="17"/>
    <n v="1"/>
  </r>
  <r>
    <x v="0"/>
    <x v="0"/>
    <x v="1"/>
    <x v="4"/>
    <x v="18"/>
    <x v="11"/>
    <x v="19"/>
    <n v="1"/>
  </r>
  <r>
    <x v="0"/>
    <x v="0"/>
    <x v="1"/>
    <x v="4"/>
    <x v="19"/>
    <x v="8"/>
    <x v="5"/>
    <n v="1"/>
  </r>
  <r>
    <x v="0"/>
    <x v="0"/>
    <x v="1"/>
    <x v="5"/>
    <x v="8"/>
    <x v="11"/>
    <x v="18"/>
    <n v="3"/>
  </r>
  <r>
    <x v="0"/>
    <x v="0"/>
    <x v="1"/>
    <x v="5"/>
    <x v="8"/>
    <x v="6"/>
    <x v="18"/>
    <n v="1"/>
  </r>
  <r>
    <x v="0"/>
    <x v="0"/>
    <x v="1"/>
    <x v="5"/>
    <x v="8"/>
    <x v="9"/>
    <x v="18"/>
    <n v="1"/>
  </r>
  <r>
    <x v="0"/>
    <x v="0"/>
    <x v="1"/>
    <x v="5"/>
    <x v="8"/>
    <x v="12"/>
    <x v="18"/>
    <n v="1"/>
  </r>
  <r>
    <x v="0"/>
    <x v="0"/>
    <x v="1"/>
    <x v="5"/>
    <x v="8"/>
    <x v="7"/>
    <x v="2"/>
    <n v="1"/>
  </r>
  <r>
    <x v="0"/>
    <x v="0"/>
    <x v="1"/>
    <x v="5"/>
    <x v="8"/>
    <x v="7"/>
    <x v="13"/>
    <n v="1"/>
  </r>
  <r>
    <x v="0"/>
    <x v="0"/>
    <x v="1"/>
    <x v="5"/>
    <x v="8"/>
    <x v="7"/>
    <x v="11"/>
    <n v="1"/>
  </r>
  <r>
    <x v="0"/>
    <x v="0"/>
    <x v="1"/>
    <x v="5"/>
    <x v="8"/>
    <x v="7"/>
    <x v="19"/>
    <n v="2"/>
  </r>
  <r>
    <x v="0"/>
    <x v="0"/>
    <x v="1"/>
    <x v="5"/>
    <x v="8"/>
    <x v="8"/>
    <x v="13"/>
    <n v="1"/>
  </r>
  <r>
    <x v="0"/>
    <x v="0"/>
    <x v="1"/>
    <x v="5"/>
    <x v="6"/>
    <x v="19"/>
    <x v="14"/>
    <n v="1"/>
  </r>
  <r>
    <x v="0"/>
    <x v="0"/>
    <x v="1"/>
    <x v="5"/>
    <x v="6"/>
    <x v="14"/>
    <x v="0"/>
    <n v="1"/>
  </r>
  <r>
    <x v="0"/>
    <x v="0"/>
    <x v="1"/>
    <x v="5"/>
    <x v="6"/>
    <x v="10"/>
    <x v="18"/>
    <n v="2"/>
  </r>
  <r>
    <x v="0"/>
    <x v="0"/>
    <x v="1"/>
    <x v="5"/>
    <x v="6"/>
    <x v="5"/>
    <x v="0"/>
    <n v="1"/>
  </r>
  <r>
    <x v="0"/>
    <x v="0"/>
    <x v="1"/>
    <x v="5"/>
    <x v="9"/>
    <x v="8"/>
    <x v="13"/>
    <n v="1"/>
  </r>
  <r>
    <x v="0"/>
    <x v="0"/>
    <x v="1"/>
    <x v="5"/>
    <x v="10"/>
    <x v="8"/>
    <x v="9"/>
    <n v="2"/>
  </r>
  <r>
    <x v="0"/>
    <x v="0"/>
    <x v="1"/>
    <x v="6"/>
    <x v="16"/>
    <x v="9"/>
    <x v="12"/>
    <n v="1"/>
  </r>
  <r>
    <x v="0"/>
    <x v="0"/>
    <x v="1"/>
    <x v="6"/>
    <x v="8"/>
    <x v="18"/>
    <x v="14"/>
    <n v="1"/>
  </r>
  <r>
    <x v="0"/>
    <x v="0"/>
    <x v="1"/>
    <x v="6"/>
    <x v="8"/>
    <x v="18"/>
    <x v="19"/>
    <n v="1"/>
  </r>
  <r>
    <x v="0"/>
    <x v="0"/>
    <x v="1"/>
    <x v="6"/>
    <x v="8"/>
    <x v="19"/>
    <x v="5"/>
    <n v="29"/>
  </r>
  <r>
    <x v="0"/>
    <x v="0"/>
    <x v="1"/>
    <x v="6"/>
    <x v="8"/>
    <x v="19"/>
    <x v="2"/>
    <n v="12"/>
  </r>
  <r>
    <x v="0"/>
    <x v="0"/>
    <x v="1"/>
    <x v="6"/>
    <x v="8"/>
    <x v="19"/>
    <x v="13"/>
    <n v="1"/>
  </r>
  <r>
    <x v="0"/>
    <x v="0"/>
    <x v="1"/>
    <x v="6"/>
    <x v="8"/>
    <x v="19"/>
    <x v="14"/>
    <n v="1"/>
  </r>
  <r>
    <x v="0"/>
    <x v="0"/>
    <x v="1"/>
    <x v="6"/>
    <x v="8"/>
    <x v="16"/>
    <x v="12"/>
    <n v="14"/>
  </r>
  <r>
    <x v="0"/>
    <x v="0"/>
    <x v="1"/>
    <x v="6"/>
    <x v="8"/>
    <x v="16"/>
    <x v="9"/>
    <n v="17"/>
  </r>
  <r>
    <x v="0"/>
    <x v="0"/>
    <x v="1"/>
    <x v="6"/>
    <x v="8"/>
    <x v="16"/>
    <x v="3"/>
    <n v="35"/>
  </r>
  <r>
    <x v="0"/>
    <x v="0"/>
    <x v="1"/>
    <x v="6"/>
    <x v="8"/>
    <x v="16"/>
    <x v="4"/>
    <n v="36"/>
  </r>
  <r>
    <x v="0"/>
    <x v="0"/>
    <x v="1"/>
    <x v="6"/>
    <x v="8"/>
    <x v="16"/>
    <x v="5"/>
    <n v="24"/>
  </r>
  <r>
    <x v="0"/>
    <x v="0"/>
    <x v="1"/>
    <x v="6"/>
    <x v="8"/>
    <x v="16"/>
    <x v="2"/>
    <n v="11"/>
  </r>
  <r>
    <x v="0"/>
    <x v="0"/>
    <x v="1"/>
    <x v="6"/>
    <x v="8"/>
    <x v="16"/>
    <x v="13"/>
    <n v="1"/>
  </r>
  <r>
    <x v="0"/>
    <x v="0"/>
    <x v="1"/>
    <x v="6"/>
    <x v="8"/>
    <x v="15"/>
    <x v="12"/>
    <n v="5"/>
  </r>
  <r>
    <x v="0"/>
    <x v="0"/>
    <x v="1"/>
    <x v="6"/>
    <x v="8"/>
    <x v="15"/>
    <x v="9"/>
    <n v="12"/>
  </r>
  <r>
    <x v="0"/>
    <x v="0"/>
    <x v="1"/>
    <x v="6"/>
    <x v="8"/>
    <x v="15"/>
    <x v="3"/>
    <n v="22"/>
  </r>
  <r>
    <x v="0"/>
    <x v="0"/>
    <x v="1"/>
    <x v="6"/>
    <x v="8"/>
    <x v="15"/>
    <x v="4"/>
    <n v="17"/>
  </r>
  <r>
    <x v="0"/>
    <x v="0"/>
    <x v="1"/>
    <x v="6"/>
    <x v="8"/>
    <x v="15"/>
    <x v="5"/>
    <n v="5"/>
  </r>
  <r>
    <x v="0"/>
    <x v="0"/>
    <x v="1"/>
    <x v="6"/>
    <x v="8"/>
    <x v="14"/>
    <x v="12"/>
    <n v="4"/>
  </r>
  <r>
    <x v="0"/>
    <x v="0"/>
    <x v="1"/>
    <x v="6"/>
    <x v="8"/>
    <x v="14"/>
    <x v="9"/>
    <n v="5"/>
  </r>
  <r>
    <x v="0"/>
    <x v="0"/>
    <x v="1"/>
    <x v="6"/>
    <x v="8"/>
    <x v="14"/>
    <x v="3"/>
    <n v="10"/>
  </r>
  <r>
    <x v="0"/>
    <x v="0"/>
    <x v="1"/>
    <x v="6"/>
    <x v="3"/>
    <x v="19"/>
    <x v="2"/>
    <n v="1"/>
  </r>
  <r>
    <x v="0"/>
    <x v="0"/>
    <x v="1"/>
    <x v="6"/>
    <x v="3"/>
    <x v="16"/>
    <x v="12"/>
    <n v="2"/>
  </r>
  <r>
    <x v="0"/>
    <x v="0"/>
    <x v="1"/>
    <x v="6"/>
    <x v="3"/>
    <x v="16"/>
    <x v="9"/>
    <n v="4"/>
  </r>
  <r>
    <x v="0"/>
    <x v="0"/>
    <x v="1"/>
    <x v="6"/>
    <x v="3"/>
    <x v="16"/>
    <x v="3"/>
    <n v="1"/>
  </r>
  <r>
    <x v="0"/>
    <x v="0"/>
    <x v="1"/>
    <x v="6"/>
    <x v="3"/>
    <x v="15"/>
    <x v="12"/>
    <n v="3"/>
  </r>
  <r>
    <x v="0"/>
    <x v="0"/>
    <x v="1"/>
    <x v="6"/>
    <x v="3"/>
    <x v="15"/>
    <x v="9"/>
    <n v="2"/>
  </r>
  <r>
    <x v="0"/>
    <x v="0"/>
    <x v="1"/>
    <x v="6"/>
    <x v="3"/>
    <x v="14"/>
    <x v="12"/>
    <n v="1"/>
  </r>
  <r>
    <x v="0"/>
    <x v="0"/>
    <x v="1"/>
    <x v="6"/>
    <x v="3"/>
    <x v="14"/>
    <x v="9"/>
    <n v="2"/>
  </r>
  <r>
    <x v="0"/>
    <x v="0"/>
    <x v="1"/>
    <x v="6"/>
    <x v="3"/>
    <x v="2"/>
    <x v="6"/>
    <n v="3"/>
  </r>
  <r>
    <x v="0"/>
    <x v="0"/>
    <x v="1"/>
    <x v="6"/>
    <x v="3"/>
    <x v="2"/>
    <x v="10"/>
    <n v="2"/>
  </r>
  <r>
    <x v="0"/>
    <x v="0"/>
    <x v="1"/>
    <x v="6"/>
    <x v="3"/>
    <x v="10"/>
    <x v="6"/>
    <n v="1"/>
  </r>
  <r>
    <x v="0"/>
    <x v="0"/>
    <x v="1"/>
    <x v="6"/>
    <x v="3"/>
    <x v="10"/>
    <x v="10"/>
    <n v="3"/>
  </r>
  <r>
    <x v="0"/>
    <x v="0"/>
    <x v="1"/>
    <x v="6"/>
    <x v="3"/>
    <x v="4"/>
    <x v="6"/>
    <n v="1"/>
  </r>
  <r>
    <x v="0"/>
    <x v="0"/>
    <x v="1"/>
    <x v="9"/>
    <x v="15"/>
    <x v="0"/>
    <x v="5"/>
    <n v="1"/>
  </r>
  <r>
    <x v="0"/>
    <x v="0"/>
    <x v="1"/>
    <x v="9"/>
    <x v="15"/>
    <x v="0"/>
    <x v="2"/>
    <n v="1"/>
  </r>
  <r>
    <x v="0"/>
    <x v="0"/>
    <x v="1"/>
    <x v="9"/>
    <x v="6"/>
    <x v="6"/>
    <x v="4"/>
    <n v="1"/>
  </r>
  <r>
    <x v="0"/>
    <x v="0"/>
    <x v="1"/>
    <x v="9"/>
    <x v="6"/>
    <x v="7"/>
    <x v="14"/>
    <n v="1"/>
  </r>
  <r>
    <x v="0"/>
    <x v="0"/>
    <x v="1"/>
    <x v="9"/>
    <x v="10"/>
    <x v="2"/>
    <x v="4"/>
    <n v="12"/>
  </r>
  <r>
    <x v="0"/>
    <x v="0"/>
    <x v="1"/>
    <x v="9"/>
    <x v="10"/>
    <x v="2"/>
    <x v="5"/>
    <n v="3"/>
  </r>
  <r>
    <x v="0"/>
    <x v="0"/>
    <x v="1"/>
    <x v="9"/>
    <x v="10"/>
    <x v="2"/>
    <x v="14"/>
    <n v="1"/>
  </r>
  <r>
    <x v="0"/>
    <x v="0"/>
    <x v="1"/>
    <x v="9"/>
    <x v="10"/>
    <x v="10"/>
    <x v="3"/>
    <n v="8"/>
  </r>
  <r>
    <x v="0"/>
    <x v="0"/>
    <x v="1"/>
    <x v="9"/>
    <x v="10"/>
    <x v="10"/>
    <x v="4"/>
    <n v="9"/>
  </r>
  <r>
    <x v="0"/>
    <x v="0"/>
    <x v="1"/>
    <x v="9"/>
    <x v="10"/>
    <x v="10"/>
    <x v="5"/>
    <n v="5"/>
  </r>
  <r>
    <x v="0"/>
    <x v="0"/>
    <x v="1"/>
    <x v="9"/>
    <x v="10"/>
    <x v="10"/>
    <x v="2"/>
    <n v="1"/>
  </r>
  <r>
    <x v="0"/>
    <x v="0"/>
    <x v="1"/>
    <x v="9"/>
    <x v="10"/>
    <x v="10"/>
    <x v="13"/>
    <n v="3"/>
  </r>
  <r>
    <x v="0"/>
    <x v="0"/>
    <x v="1"/>
    <x v="9"/>
    <x v="10"/>
    <x v="3"/>
    <x v="9"/>
    <n v="5"/>
  </r>
  <r>
    <x v="0"/>
    <x v="0"/>
    <x v="1"/>
    <x v="9"/>
    <x v="10"/>
    <x v="3"/>
    <x v="3"/>
    <n v="5"/>
  </r>
  <r>
    <x v="0"/>
    <x v="0"/>
    <x v="1"/>
    <x v="9"/>
    <x v="10"/>
    <x v="3"/>
    <x v="4"/>
    <n v="9"/>
  </r>
  <r>
    <x v="0"/>
    <x v="0"/>
    <x v="1"/>
    <x v="9"/>
    <x v="10"/>
    <x v="3"/>
    <x v="5"/>
    <n v="4"/>
  </r>
  <r>
    <x v="0"/>
    <x v="0"/>
    <x v="1"/>
    <x v="9"/>
    <x v="10"/>
    <x v="3"/>
    <x v="2"/>
    <n v="1"/>
  </r>
  <r>
    <x v="0"/>
    <x v="0"/>
    <x v="1"/>
    <x v="9"/>
    <x v="10"/>
    <x v="3"/>
    <x v="11"/>
    <n v="1"/>
  </r>
  <r>
    <x v="0"/>
    <x v="0"/>
    <x v="1"/>
    <x v="9"/>
    <x v="10"/>
    <x v="4"/>
    <x v="9"/>
    <n v="3"/>
  </r>
  <r>
    <x v="0"/>
    <x v="0"/>
    <x v="1"/>
    <x v="9"/>
    <x v="10"/>
    <x v="4"/>
    <x v="3"/>
    <n v="8"/>
  </r>
  <r>
    <x v="0"/>
    <x v="0"/>
    <x v="1"/>
    <x v="9"/>
    <x v="10"/>
    <x v="4"/>
    <x v="4"/>
    <n v="1"/>
  </r>
  <r>
    <x v="0"/>
    <x v="0"/>
    <x v="1"/>
    <x v="9"/>
    <x v="10"/>
    <x v="4"/>
    <x v="2"/>
    <n v="3"/>
  </r>
  <r>
    <x v="0"/>
    <x v="0"/>
    <x v="1"/>
    <x v="9"/>
    <x v="10"/>
    <x v="4"/>
    <x v="13"/>
    <n v="2"/>
  </r>
  <r>
    <x v="0"/>
    <x v="0"/>
    <x v="1"/>
    <x v="9"/>
    <x v="10"/>
    <x v="5"/>
    <x v="9"/>
    <n v="3"/>
  </r>
  <r>
    <x v="0"/>
    <x v="0"/>
    <x v="1"/>
    <x v="9"/>
    <x v="10"/>
    <x v="5"/>
    <x v="3"/>
    <n v="1"/>
  </r>
  <r>
    <x v="0"/>
    <x v="0"/>
    <x v="1"/>
    <x v="9"/>
    <x v="10"/>
    <x v="5"/>
    <x v="4"/>
    <n v="5"/>
  </r>
  <r>
    <x v="0"/>
    <x v="0"/>
    <x v="1"/>
    <x v="9"/>
    <x v="10"/>
    <x v="11"/>
    <x v="9"/>
    <n v="1"/>
  </r>
  <r>
    <x v="0"/>
    <x v="0"/>
    <x v="1"/>
    <x v="9"/>
    <x v="10"/>
    <x v="11"/>
    <x v="3"/>
    <n v="2"/>
  </r>
  <r>
    <x v="0"/>
    <x v="0"/>
    <x v="1"/>
    <x v="9"/>
    <x v="10"/>
    <x v="11"/>
    <x v="4"/>
    <n v="2"/>
  </r>
  <r>
    <x v="0"/>
    <x v="0"/>
    <x v="1"/>
    <x v="9"/>
    <x v="10"/>
    <x v="11"/>
    <x v="5"/>
    <n v="1"/>
  </r>
  <r>
    <x v="0"/>
    <x v="0"/>
    <x v="1"/>
    <x v="9"/>
    <x v="10"/>
    <x v="6"/>
    <x v="3"/>
    <n v="1"/>
  </r>
  <r>
    <x v="0"/>
    <x v="0"/>
    <x v="1"/>
    <x v="9"/>
    <x v="10"/>
    <x v="9"/>
    <x v="3"/>
    <n v="2"/>
  </r>
  <r>
    <x v="0"/>
    <x v="0"/>
    <x v="1"/>
    <x v="9"/>
    <x v="18"/>
    <x v="9"/>
    <x v="13"/>
    <n v="1"/>
  </r>
  <r>
    <x v="0"/>
    <x v="0"/>
    <x v="1"/>
    <x v="9"/>
    <x v="18"/>
    <x v="9"/>
    <x v="11"/>
    <n v="1"/>
  </r>
  <r>
    <x v="0"/>
    <x v="0"/>
    <x v="1"/>
    <x v="9"/>
    <x v="19"/>
    <x v="17"/>
    <x v="17"/>
    <n v="1"/>
  </r>
  <r>
    <x v="0"/>
    <x v="0"/>
    <x v="1"/>
    <x v="7"/>
    <x v="12"/>
    <x v="8"/>
    <x v="9"/>
    <n v="1"/>
  </r>
  <r>
    <x v="0"/>
    <x v="0"/>
    <x v="1"/>
    <x v="7"/>
    <x v="3"/>
    <x v="10"/>
    <x v="11"/>
    <n v="1"/>
  </r>
  <r>
    <x v="0"/>
    <x v="0"/>
    <x v="1"/>
    <x v="7"/>
    <x v="3"/>
    <x v="3"/>
    <x v="13"/>
    <n v="1"/>
  </r>
  <r>
    <x v="0"/>
    <x v="0"/>
    <x v="1"/>
    <x v="7"/>
    <x v="3"/>
    <x v="3"/>
    <x v="11"/>
    <n v="1"/>
  </r>
  <r>
    <x v="0"/>
    <x v="0"/>
    <x v="1"/>
    <x v="7"/>
    <x v="3"/>
    <x v="4"/>
    <x v="13"/>
    <n v="1"/>
  </r>
  <r>
    <x v="0"/>
    <x v="0"/>
    <x v="1"/>
    <x v="7"/>
    <x v="3"/>
    <x v="5"/>
    <x v="14"/>
    <n v="2"/>
  </r>
  <r>
    <x v="0"/>
    <x v="0"/>
    <x v="1"/>
    <x v="7"/>
    <x v="3"/>
    <x v="8"/>
    <x v="14"/>
    <n v="1"/>
  </r>
  <r>
    <x v="0"/>
    <x v="0"/>
    <x v="1"/>
    <x v="8"/>
    <x v="4"/>
    <x v="15"/>
    <x v="11"/>
    <n v="1"/>
  </r>
  <r>
    <x v="0"/>
    <x v="0"/>
    <x v="1"/>
    <x v="8"/>
    <x v="4"/>
    <x v="14"/>
    <x v="4"/>
    <n v="1"/>
  </r>
  <r>
    <x v="0"/>
    <x v="0"/>
    <x v="1"/>
    <x v="8"/>
    <x v="4"/>
    <x v="14"/>
    <x v="5"/>
    <n v="1"/>
  </r>
  <r>
    <x v="0"/>
    <x v="0"/>
    <x v="1"/>
    <x v="8"/>
    <x v="4"/>
    <x v="13"/>
    <x v="3"/>
    <n v="2"/>
  </r>
  <r>
    <x v="0"/>
    <x v="0"/>
    <x v="1"/>
    <x v="8"/>
    <x v="4"/>
    <x v="13"/>
    <x v="4"/>
    <n v="1"/>
  </r>
  <r>
    <x v="0"/>
    <x v="0"/>
    <x v="1"/>
    <x v="8"/>
    <x v="4"/>
    <x v="13"/>
    <x v="5"/>
    <n v="1"/>
  </r>
  <r>
    <x v="0"/>
    <x v="0"/>
    <x v="1"/>
    <x v="8"/>
    <x v="4"/>
    <x v="13"/>
    <x v="13"/>
    <n v="1"/>
  </r>
  <r>
    <x v="0"/>
    <x v="0"/>
    <x v="1"/>
    <x v="8"/>
    <x v="13"/>
    <x v="6"/>
    <x v="14"/>
    <n v="1"/>
  </r>
  <r>
    <x v="0"/>
    <x v="0"/>
    <x v="1"/>
    <x v="8"/>
    <x v="13"/>
    <x v="6"/>
    <x v="17"/>
    <n v="1"/>
  </r>
  <r>
    <x v="0"/>
    <x v="0"/>
    <x v="1"/>
    <x v="8"/>
    <x v="7"/>
    <x v="17"/>
    <x v="19"/>
    <n v="237"/>
  </r>
  <r>
    <x v="0"/>
    <x v="0"/>
    <x v="1"/>
    <x v="8"/>
    <x v="7"/>
    <x v="14"/>
    <x v="18"/>
    <n v="2"/>
  </r>
  <r>
    <x v="0"/>
    <x v="0"/>
    <x v="1"/>
    <x v="8"/>
    <x v="7"/>
    <x v="13"/>
    <x v="0"/>
    <n v="2"/>
  </r>
  <r>
    <x v="0"/>
    <x v="0"/>
    <x v="1"/>
    <x v="8"/>
    <x v="7"/>
    <x v="13"/>
    <x v="18"/>
    <n v="3"/>
  </r>
  <r>
    <x v="0"/>
    <x v="0"/>
    <x v="1"/>
    <x v="8"/>
    <x v="7"/>
    <x v="2"/>
    <x v="11"/>
    <n v="1"/>
  </r>
  <r>
    <x v="0"/>
    <x v="0"/>
    <x v="1"/>
    <x v="8"/>
    <x v="7"/>
    <x v="2"/>
    <x v="19"/>
    <n v="9"/>
  </r>
  <r>
    <x v="0"/>
    <x v="0"/>
    <x v="1"/>
    <x v="8"/>
    <x v="6"/>
    <x v="14"/>
    <x v="0"/>
    <n v="1"/>
  </r>
  <r>
    <x v="0"/>
    <x v="0"/>
    <x v="1"/>
    <x v="8"/>
    <x v="6"/>
    <x v="13"/>
    <x v="0"/>
    <n v="1"/>
  </r>
  <r>
    <x v="0"/>
    <x v="0"/>
    <x v="1"/>
    <x v="8"/>
    <x v="6"/>
    <x v="13"/>
    <x v="18"/>
    <n v="1"/>
  </r>
  <r>
    <x v="0"/>
    <x v="0"/>
    <x v="1"/>
    <x v="8"/>
    <x v="6"/>
    <x v="2"/>
    <x v="4"/>
    <n v="1"/>
  </r>
  <r>
    <x v="0"/>
    <x v="0"/>
    <x v="1"/>
    <x v="8"/>
    <x v="6"/>
    <x v="2"/>
    <x v="5"/>
    <n v="1"/>
  </r>
  <r>
    <x v="0"/>
    <x v="0"/>
    <x v="1"/>
    <x v="8"/>
    <x v="6"/>
    <x v="2"/>
    <x v="13"/>
    <n v="2"/>
  </r>
  <r>
    <x v="0"/>
    <x v="0"/>
    <x v="1"/>
    <x v="8"/>
    <x v="6"/>
    <x v="10"/>
    <x v="3"/>
    <n v="3"/>
  </r>
  <r>
    <x v="0"/>
    <x v="0"/>
    <x v="1"/>
    <x v="8"/>
    <x v="6"/>
    <x v="10"/>
    <x v="4"/>
    <n v="1"/>
  </r>
  <r>
    <x v="0"/>
    <x v="0"/>
    <x v="1"/>
    <x v="8"/>
    <x v="6"/>
    <x v="10"/>
    <x v="5"/>
    <n v="2"/>
  </r>
  <r>
    <x v="0"/>
    <x v="0"/>
    <x v="1"/>
    <x v="8"/>
    <x v="6"/>
    <x v="3"/>
    <x v="9"/>
    <n v="3"/>
  </r>
  <r>
    <x v="0"/>
    <x v="0"/>
    <x v="1"/>
    <x v="8"/>
    <x v="6"/>
    <x v="3"/>
    <x v="3"/>
    <n v="3"/>
  </r>
  <r>
    <x v="0"/>
    <x v="0"/>
    <x v="1"/>
    <x v="8"/>
    <x v="6"/>
    <x v="3"/>
    <x v="4"/>
    <n v="1"/>
  </r>
  <r>
    <x v="0"/>
    <x v="0"/>
    <x v="1"/>
    <x v="8"/>
    <x v="6"/>
    <x v="3"/>
    <x v="5"/>
    <n v="1"/>
  </r>
  <r>
    <x v="0"/>
    <x v="0"/>
    <x v="3"/>
    <x v="0"/>
    <x v="19"/>
    <x v="6"/>
    <x v="7"/>
    <n v="3"/>
  </r>
  <r>
    <x v="0"/>
    <x v="0"/>
    <x v="3"/>
    <x v="0"/>
    <x v="19"/>
    <x v="9"/>
    <x v="7"/>
    <n v="9"/>
  </r>
  <r>
    <x v="0"/>
    <x v="0"/>
    <x v="3"/>
    <x v="0"/>
    <x v="19"/>
    <x v="12"/>
    <x v="7"/>
    <n v="5"/>
  </r>
  <r>
    <x v="0"/>
    <x v="0"/>
    <x v="3"/>
    <x v="1"/>
    <x v="0"/>
    <x v="12"/>
    <x v="1"/>
    <n v="1"/>
  </r>
  <r>
    <x v="0"/>
    <x v="0"/>
    <x v="3"/>
    <x v="1"/>
    <x v="0"/>
    <x v="7"/>
    <x v="7"/>
    <n v="1"/>
  </r>
  <r>
    <x v="0"/>
    <x v="0"/>
    <x v="3"/>
    <x v="1"/>
    <x v="0"/>
    <x v="1"/>
    <x v="1"/>
    <n v="2"/>
  </r>
  <r>
    <x v="0"/>
    <x v="0"/>
    <x v="3"/>
    <x v="1"/>
    <x v="0"/>
    <x v="0"/>
    <x v="10"/>
    <n v="5"/>
  </r>
  <r>
    <x v="0"/>
    <x v="0"/>
    <x v="3"/>
    <x v="1"/>
    <x v="12"/>
    <x v="0"/>
    <x v="5"/>
    <n v="1"/>
  </r>
  <r>
    <x v="0"/>
    <x v="0"/>
    <x v="3"/>
    <x v="1"/>
    <x v="16"/>
    <x v="4"/>
    <x v="9"/>
    <n v="2"/>
  </r>
  <r>
    <x v="0"/>
    <x v="0"/>
    <x v="3"/>
    <x v="1"/>
    <x v="16"/>
    <x v="11"/>
    <x v="9"/>
    <n v="1"/>
  </r>
  <r>
    <x v="0"/>
    <x v="0"/>
    <x v="3"/>
    <x v="1"/>
    <x v="16"/>
    <x v="9"/>
    <x v="1"/>
    <n v="1"/>
  </r>
  <r>
    <x v="0"/>
    <x v="0"/>
    <x v="3"/>
    <x v="1"/>
    <x v="16"/>
    <x v="12"/>
    <x v="10"/>
    <n v="1"/>
  </r>
  <r>
    <x v="0"/>
    <x v="0"/>
    <x v="3"/>
    <x v="1"/>
    <x v="16"/>
    <x v="12"/>
    <x v="1"/>
    <n v="1"/>
  </r>
  <r>
    <x v="0"/>
    <x v="0"/>
    <x v="3"/>
    <x v="1"/>
    <x v="16"/>
    <x v="1"/>
    <x v="10"/>
    <n v="1"/>
  </r>
  <r>
    <x v="0"/>
    <x v="0"/>
    <x v="3"/>
    <x v="1"/>
    <x v="16"/>
    <x v="0"/>
    <x v="10"/>
    <n v="3"/>
  </r>
  <r>
    <x v="0"/>
    <x v="0"/>
    <x v="3"/>
    <x v="1"/>
    <x v="16"/>
    <x v="0"/>
    <x v="1"/>
    <n v="13"/>
  </r>
  <r>
    <x v="0"/>
    <x v="0"/>
    <x v="3"/>
    <x v="1"/>
    <x v="1"/>
    <x v="0"/>
    <x v="6"/>
    <n v="1"/>
  </r>
  <r>
    <x v="0"/>
    <x v="0"/>
    <x v="3"/>
    <x v="1"/>
    <x v="1"/>
    <x v="0"/>
    <x v="10"/>
    <n v="1"/>
  </r>
  <r>
    <x v="0"/>
    <x v="0"/>
    <x v="3"/>
    <x v="1"/>
    <x v="5"/>
    <x v="0"/>
    <x v="19"/>
    <n v="21"/>
  </r>
  <r>
    <x v="0"/>
    <x v="0"/>
    <x v="3"/>
    <x v="1"/>
    <x v="8"/>
    <x v="8"/>
    <x v="1"/>
    <n v="1"/>
  </r>
  <r>
    <x v="0"/>
    <x v="0"/>
    <x v="3"/>
    <x v="1"/>
    <x v="8"/>
    <x v="0"/>
    <x v="9"/>
    <n v="6"/>
  </r>
  <r>
    <x v="0"/>
    <x v="0"/>
    <x v="3"/>
    <x v="1"/>
    <x v="8"/>
    <x v="0"/>
    <x v="3"/>
    <n v="4"/>
  </r>
  <r>
    <x v="0"/>
    <x v="0"/>
    <x v="3"/>
    <x v="1"/>
    <x v="8"/>
    <x v="0"/>
    <x v="2"/>
    <n v="1"/>
  </r>
  <r>
    <x v="0"/>
    <x v="0"/>
    <x v="3"/>
    <x v="1"/>
    <x v="3"/>
    <x v="14"/>
    <x v="12"/>
    <n v="1"/>
  </r>
  <r>
    <x v="0"/>
    <x v="0"/>
    <x v="3"/>
    <x v="1"/>
    <x v="3"/>
    <x v="13"/>
    <x v="10"/>
    <n v="1"/>
  </r>
  <r>
    <x v="0"/>
    <x v="0"/>
    <x v="3"/>
    <x v="1"/>
    <x v="3"/>
    <x v="13"/>
    <x v="1"/>
    <n v="2"/>
  </r>
  <r>
    <x v="0"/>
    <x v="0"/>
    <x v="3"/>
    <x v="1"/>
    <x v="3"/>
    <x v="2"/>
    <x v="6"/>
    <n v="1"/>
  </r>
  <r>
    <x v="0"/>
    <x v="0"/>
    <x v="3"/>
    <x v="1"/>
    <x v="3"/>
    <x v="2"/>
    <x v="10"/>
    <n v="1"/>
  </r>
  <r>
    <x v="0"/>
    <x v="0"/>
    <x v="3"/>
    <x v="1"/>
    <x v="3"/>
    <x v="10"/>
    <x v="6"/>
    <n v="3"/>
  </r>
  <r>
    <x v="0"/>
    <x v="0"/>
    <x v="3"/>
    <x v="1"/>
    <x v="3"/>
    <x v="3"/>
    <x v="7"/>
    <n v="2"/>
  </r>
  <r>
    <x v="0"/>
    <x v="0"/>
    <x v="3"/>
    <x v="1"/>
    <x v="3"/>
    <x v="3"/>
    <x v="6"/>
    <n v="3"/>
  </r>
  <r>
    <x v="0"/>
    <x v="0"/>
    <x v="3"/>
    <x v="1"/>
    <x v="3"/>
    <x v="4"/>
    <x v="7"/>
    <n v="6"/>
  </r>
  <r>
    <x v="0"/>
    <x v="0"/>
    <x v="3"/>
    <x v="1"/>
    <x v="3"/>
    <x v="5"/>
    <x v="7"/>
    <n v="9"/>
  </r>
  <r>
    <x v="0"/>
    <x v="0"/>
    <x v="3"/>
    <x v="1"/>
    <x v="7"/>
    <x v="1"/>
    <x v="4"/>
    <n v="1"/>
  </r>
  <r>
    <x v="0"/>
    <x v="0"/>
    <x v="3"/>
    <x v="1"/>
    <x v="7"/>
    <x v="1"/>
    <x v="5"/>
    <n v="1"/>
  </r>
  <r>
    <x v="0"/>
    <x v="0"/>
    <x v="3"/>
    <x v="1"/>
    <x v="7"/>
    <x v="0"/>
    <x v="9"/>
    <n v="1"/>
  </r>
  <r>
    <x v="0"/>
    <x v="0"/>
    <x v="3"/>
    <x v="1"/>
    <x v="7"/>
    <x v="0"/>
    <x v="3"/>
    <n v="1"/>
  </r>
  <r>
    <x v="0"/>
    <x v="0"/>
    <x v="3"/>
    <x v="1"/>
    <x v="7"/>
    <x v="0"/>
    <x v="4"/>
    <n v="1"/>
  </r>
  <r>
    <x v="0"/>
    <x v="0"/>
    <x v="3"/>
    <x v="1"/>
    <x v="7"/>
    <x v="0"/>
    <x v="5"/>
    <n v="2"/>
  </r>
  <r>
    <x v="0"/>
    <x v="0"/>
    <x v="3"/>
    <x v="1"/>
    <x v="9"/>
    <x v="0"/>
    <x v="3"/>
    <n v="3"/>
  </r>
  <r>
    <x v="0"/>
    <x v="0"/>
    <x v="3"/>
    <x v="1"/>
    <x v="18"/>
    <x v="1"/>
    <x v="6"/>
    <n v="2"/>
  </r>
  <r>
    <x v="0"/>
    <x v="0"/>
    <x v="3"/>
    <x v="1"/>
    <x v="18"/>
    <x v="8"/>
    <x v="1"/>
    <n v="1"/>
  </r>
  <r>
    <x v="0"/>
    <x v="0"/>
    <x v="3"/>
    <x v="1"/>
    <x v="18"/>
    <x v="0"/>
    <x v="6"/>
    <n v="2"/>
  </r>
  <r>
    <x v="0"/>
    <x v="0"/>
    <x v="3"/>
    <x v="2"/>
    <x v="16"/>
    <x v="0"/>
    <x v="19"/>
    <n v="1"/>
  </r>
  <r>
    <x v="0"/>
    <x v="0"/>
    <x v="3"/>
    <x v="2"/>
    <x v="5"/>
    <x v="0"/>
    <x v="13"/>
    <n v="1"/>
  </r>
  <r>
    <x v="0"/>
    <x v="0"/>
    <x v="3"/>
    <x v="2"/>
    <x v="13"/>
    <x v="7"/>
    <x v="10"/>
    <n v="2"/>
  </r>
  <r>
    <x v="0"/>
    <x v="0"/>
    <x v="3"/>
    <x v="2"/>
    <x v="13"/>
    <x v="7"/>
    <x v="12"/>
    <n v="3"/>
  </r>
  <r>
    <x v="0"/>
    <x v="0"/>
    <x v="3"/>
    <x v="2"/>
    <x v="13"/>
    <x v="1"/>
    <x v="9"/>
    <n v="1"/>
  </r>
  <r>
    <x v="0"/>
    <x v="0"/>
    <x v="3"/>
    <x v="2"/>
    <x v="13"/>
    <x v="0"/>
    <x v="12"/>
    <n v="3"/>
  </r>
  <r>
    <x v="0"/>
    <x v="0"/>
    <x v="3"/>
    <x v="2"/>
    <x v="13"/>
    <x v="0"/>
    <x v="9"/>
    <n v="2"/>
  </r>
  <r>
    <x v="0"/>
    <x v="0"/>
    <x v="3"/>
    <x v="2"/>
    <x v="13"/>
    <x v="0"/>
    <x v="4"/>
    <n v="1"/>
  </r>
  <r>
    <x v="0"/>
    <x v="0"/>
    <x v="3"/>
    <x v="2"/>
    <x v="14"/>
    <x v="0"/>
    <x v="12"/>
    <n v="1"/>
  </r>
  <r>
    <x v="0"/>
    <x v="0"/>
    <x v="3"/>
    <x v="2"/>
    <x v="14"/>
    <x v="0"/>
    <x v="9"/>
    <n v="1"/>
  </r>
  <r>
    <x v="0"/>
    <x v="0"/>
    <x v="3"/>
    <x v="2"/>
    <x v="14"/>
    <x v="0"/>
    <x v="4"/>
    <n v="1"/>
  </r>
  <r>
    <x v="0"/>
    <x v="0"/>
    <x v="3"/>
    <x v="2"/>
    <x v="14"/>
    <x v="0"/>
    <x v="5"/>
    <n v="1"/>
  </r>
  <r>
    <x v="0"/>
    <x v="0"/>
    <x v="3"/>
    <x v="2"/>
    <x v="19"/>
    <x v="0"/>
    <x v="19"/>
    <n v="15"/>
  </r>
  <r>
    <x v="0"/>
    <x v="0"/>
    <x v="3"/>
    <x v="3"/>
    <x v="2"/>
    <x v="0"/>
    <x v="19"/>
    <n v="3"/>
  </r>
  <r>
    <x v="0"/>
    <x v="0"/>
    <x v="3"/>
    <x v="3"/>
    <x v="4"/>
    <x v="0"/>
    <x v="19"/>
    <n v="25"/>
  </r>
  <r>
    <x v="0"/>
    <x v="0"/>
    <x v="3"/>
    <x v="3"/>
    <x v="16"/>
    <x v="4"/>
    <x v="6"/>
    <n v="1"/>
  </r>
  <r>
    <x v="0"/>
    <x v="0"/>
    <x v="3"/>
    <x v="3"/>
    <x v="16"/>
    <x v="6"/>
    <x v="6"/>
    <n v="1"/>
  </r>
  <r>
    <x v="0"/>
    <x v="0"/>
    <x v="3"/>
    <x v="3"/>
    <x v="16"/>
    <x v="12"/>
    <x v="7"/>
    <n v="1"/>
  </r>
  <r>
    <x v="0"/>
    <x v="0"/>
    <x v="3"/>
    <x v="3"/>
    <x v="1"/>
    <x v="0"/>
    <x v="9"/>
    <n v="5"/>
  </r>
  <r>
    <x v="0"/>
    <x v="0"/>
    <x v="3"/>
    <x v="3"/>
    <x v="1"/>
    <x v="0"/>
    <x v="3"/>
    <n v="4"/>
  </r>
  <r>
    <x v="0"/>
    <x v="0"/>
    <x v="3"/>
    <x v="3"/>
    <x v="1"/>
    <x v="0"/>
    <x v="2"/>
    <n v="1"/>
  </r>
  <r>
    <x v="0"/>
    <x v="0"/>
    <x v="3"/>
    <x v="3"/>
    <x v="1"/>
    <x v="0"/>
    <x v="13"/>
    <n v="3"/>
  </r>
  <r>
    <x v="0"/>
    <x v="0"/>
    <x v="3"/>
    <x v="3"/>
    <x v="14"/>
    <x v="0"/>
    <x v="12"/>
    <n v="3"/>
  </r>
  <r>
    <x v="0"/>
    <x v="0"/>
    <x v="3"/>
    <x v="3"/>
    <x v="3"/>
    <x v="0"/>
    <x v="1"/>
    <n v="4"/>
  </r>
  <r>
    <x v="0"/>
    <x v="0"/>
    <x v="3"/>
    <x v="3"/>
    <x v="6"/>
    <x v="0"/>
    <x v="6"/>
    <n v="3"/>
  </r>
  <r>
    <x v="0"/>
    <x v="0"/>
    <x v="3"/>
    <x v="3"/>
    <x v="11"/>
    <x v="4"/>
    <x v="6"/>
    <n v="2"/>
  </r>
  <r>
    <x v="0"/>
    <x v="0"/>
    <x v="3"/>
    <x v="3"/>
    <x v="11"/>
    <x v="5"/>
    <x v="7"/>
    <n v="7"/>
  </r>
  <r>
    <x v="0"/>
    <x v="0"/>
    <x v="3"/>
    <x v="3"/>
    <x v="11"/>
    <x v="11"/>
    <x v="7"/>
    <n v="17"/>
  </r>
  <r>
    <x v="0"/>
    <x v="0"/>
    <x v="3"/>
    <x v="3"/>
    <x v="11"/>
    <x v="7"/>
    <x v="6"/>
    <n v="9"/>
  </r>
  <r>
    <x v="0"/>
    <x v="0"/>
    <x v="3"/>
    <x v="3"/>
    <x v="11"/>
    <x v="7"/>
    <x v="10"/>
    <n v="5"/>
  </r>
  <r>
    <x v="0"/>
    <x v="0"/>
    <x v="3"/>
    <x v="4"/>
    <x v="0"/>
    <x v="0"/>
    <x v="5"/>
    <n v="1"/>
  </r>
  <r>
    <x v="0"/>
    <x v="0"/>
    <x v="3"/>
    <x v="4"/>
    <x v="4"/>
    <x v="14"/>
    <x v="12"/>
    <n v="4"/>
  </r>
  <r>
    <x v="0"/>
    <x v="0"/>
    <x v="3"/>
    <x v="4"/>
    <x v="4"/>
    <x v="14"/>
    <x v="9"/>
    <n v="1"/>
  </r>
  <r>
    <x v="0"/>
    <x v="0"/>
    <x v="3"/>
    <x v="4"/>
    <x v="4"/>
    <x v="13"/>
    <x v="1"/>
    <n v="1"/>
  </r>
  <r>
    <x v="0"/>
    <x v="0"/>
    <x v="3"/>
    <x v="4"/>
    <x v="4"/>
    <x v="13"/>
    <x v="12"/>
    <n v="1"/>
  </r>
  <r>
    <x v="0"/>
    <x v="0"/>
    <x v="3"/>
    <x v="4"/>
    <x v="4"/>
    <x v="13"/>
    <x v="9"/>
    <n v="1"/>
  </r>
  <r>
    <x v="0"/>
    <x v="0"/>
    <x v="3"/>
    <x v="4"/>
    <x v="4"/>
    <x v="2"/>
    <x v="1"/>
    <n v="2"/>
  </r>
  <r>
    <x v="0"/>
    <x v="0"/>
    <x v="1"/>
    <x v="8"/>
    <x v="6"/>
    <x v="3"/>
    <x v="2"/>
    <n v="2"/>
  </r>
  <r>
    <x v="0"/>
    <x v="0"/>
    <x v="1"/>
    <x v="8"/>
    <x v="6"/>
    <x v="3"/>
    <x v="13"/>
    <n v="1"/>
  </r>
  <r>
    <x v="0"/>
    <x v="0"/>
    <x v="1"/>
    <x v="8"/>
    <x v="6"/>
    <x v="3"/>
    <x v="11"/>
    <n v="1"/>
  </r>
  <r>
    <x v="0"/>
    <x v="0"/>
    <x v="1"/>
    <x v="8"/>
    <x v="6"/>
    <x v="4"/>
    <x v="12"/>
    <n v="2"/>
  </r>
  <r>
    <x v="0"/>
    <x v="0"/>
    <x v="1"/>
    <x v="8"/>
    <x v="6"/>
    <x v="4"/>
    <x v="9"/>
    <n v="1"/>
  </r>
  <r>
    <x v="0"/>
    <x v="0"/>
    <x v="1"/>
    <x v="8"/>
    <x v="6"/>
    <x v="4"/>
    <x v="3"/>
    <n v="2"/>
  </r>
  <r>
    <x v="0"/>
    <x v="0"/>
    <x v="1"/>
    <x v="8"/>
    <x v="6"/>
    <x v="4"/>
    <x v="4"/>
    <n v="1"/>
  </r>
  <r>
    <x v="0"/>
    <x v="0"/>
    <x v="1"/>
    <x v="8"/>
    <x v="6"/>
    <x v="4"/>
    <x v="5"/>
    <n v="3"/>
  </r>
  <r>
    <x v="0"/>
    <x v="0"/>
    <x v="1"/>
    <x v="8"/>
    <x v="6"/>
    <x v="5"/>
    <x v="12"/>
    <n v="5"/>
  </r>
  <r>
    <x v="0"/>
    <x v="0"/>
    <x v="1"/>
    <x v="8"/>
    <x v="6"/>
    <x v="5"/>
    <x v="9"/>
    <n v="3"/>
  </r>
  <r>
    <x v="0"/>
    <x v="0"/>
    <x v="1"/>
    <x v="8"/>
    <x v="6"/>
    <x v="5"/>
    <x v="3"/>
    <n v="4"/>
  </r>
  <r>
    <x v="0"/>
    <x v="0"/>
    <x v="1"/>
    <x v="8"/>
    <x v="6"/>
    <x v="5"/>
    <x v="4"/>
    <n v="1"/>
  </r>
  <r>
    <x v="0"/>
    <x v="0"/>
    <x v="1"/>
    <x v="8"/>
    <x v="6"/>
    <x v="5"/>
    <x v="5"/>
    <n v="1"/>
  </r>
  <r>
    <x v="0"/>
    <x v="0"/>
    <x v="1"/>
    <x v="8"/>
    <x v="6"/>
    <x v="5"/>
    <x v="2"/>
    <n v="1"/>
  </r>
  <r>
    <x v="0"/>
    <x v="0"/>
    <x v="1"/>
    <x v="8"/>
    <x v="6"/>
    <x v="11"/>
    <x v="12"/>
    <n v="6"/>
  </r>
  <r>
    <x v="0"/>
    <x v="0"/>
    <x v="1"/>
    <x v="8"/>
    <x v="6"/>
    <x v="11"/>
    <x v="9"/>
    <n v="3"/>
  </r>
  <r>
    <x v="0"/>
    <x v="0"/>
    <x v="1"/>
    <x v="8"/>
    <x v="6"/>
    <x v="11"/>
    <x v="3"/>
    <n v="2"/>
  </r>
  <r>
    <x v="0"/>
    <x v="0"/>
    <x v="1"/>
    <x v="8"/>
    <x v="6"/>
    <x v="11"/>
    <x v="4"/>
    <n v="1"/>
  </r>
  <r>
    <x v="0"/>
    <x v="0"/>
    <x v="1"/>
    <x v="8"/>
    <x v="6"/>
    <x v="11"/>
    <x v="5"/>
    <n v="1"/>
  </r>
  <r>
    <x v="0"/>
    <x v="0"/>
    <x v="1"/>
    <x v="8"/>
    <x v="6"/>
    <x v="6"/>
    <x v="12"/>
    <n v="1"/>
  </r>
  <r>
    <x v="0"/>
    <x v="0"/>
    <x v="1"/>
    <x v="8"/>
    <x v="6"/>
    <x v="6"/>
    <x v="9"/>
    <n v="1"/>
  </r>
  <r>
    <x v="0"/>
    <x v="0"/>
    <x v="1"/>
    <x v="8"/>
    <x v="6"/>
    <x v="6"/>
    <x v="3"/>
    <n v="1"/>
  </r>
  <r>
    <x v="0"/>
    <x v="0"/>
    <x v="1"/>
    <x v="8"/>
    <x v="6"/>
    <x v="6"/>
    <x v="0"/>
    <n v="1"/>
  </r>
  <r>
    <x v="0"/>
    <x v="0"/>
    <x v="1"/>
    <x v="8"/>
    <x v="6"/>
    <x v="9"/>
    <x v="12"/>
    <n v="1"/>
  </r>
  <r>
    <x v="0"/>
    <x v="0"/>
    <x v="1"/>
    <x v="8"/>
    <x v="6"/>
    <x v="9"/>
    <x v="9"/>
    <n v="1"/>
  </r>
  <r>
    <x v="0"/>
    <x v="0"/>
    <x v="1"/>
    <x v="8"/>
    <x v="6"/>
    <x v="9"/>
    <x v="3"/>
    <n v="1"/>
  </r>
  <r>
    <x v="0"/>
    <x v="0"/>
    <x v="1"/>
    <x v="8"/>
    <x v="10"/>
    <x v="4"/>
    <x v="9"/>
    <n v="1"/>
  </r>
  <r>
    <x v="0"/>
    <x v="0"/>
    <x v="1"/>
    <x v="8"/>
    <x v="10"/>
    <x v="11"/>
    <x v="3"/>
    <n v="2"/>
  </r>
  <r>
    <x v="0"/>
    <x v="0"/>
    <x v="1"/>
    <x v="8"/>
    <x v="11"/>
    <x v="5"/>
    <x v="1"/>
    <n v="1"/>
  </r>
  <r>
    <x v="0"/>
    <x v="0"/>
    <x v="1"/>
    <x v="8"/>
    <x v="11"/>
    <x v="11"/>
    <x v="1"/>
    <n v="1"/>
  </r>
  <r>
    <x v="0"/>
    <x v="0"/>
    <x v="1"/>
    <x v="8"/>
    <x v="11"/>
    <x v="6"/>
    <x v="1"/>
    <n v="1"/>
  </r>
  <r>
    <x v="0"/>
    <x v="0"/>
    <x v="1"/>
    <x v="8"/>
    <x v="11"/>
    <x v="9"/>
    <x v="1"/>
    <n v="1"/>
  </r>
  <r>
    <x v="0"/>
    <x v="0"/>
    <x v="1"/>
    <x v="10"/>
    <x v="16"/>
    <x v="15"/>
    <x v="3"/>
    <n v="2"/>
  </r>
  <r>
    <x v="0"/>
    <x v="0"/>
    <x v="1"/>
    <x v="10"/>
    <x v="16"/>
    <x v="15"/>
    <x v="5"/>
    <n v="1"/>
  </r>
  <r>
    <x v="0"/>
    <x v="0"/>
    <x v="1"/>
    <x v="10"/>
    <x v="16"/>
    <x v="14"/>
    <x v="10"/>
    <n v="3"/>
  </r>
  <r>
    <x v="0"/>
    <x v="0"/>
    <x v="1"/>
    <x v="10"/>
    <x v="16"/>
    <x v="14"/>
    <x v="12"/>
    <n v="8"/>
  </r>
  <r>
    <x v="0"/>
    <x v="0"/>
    <x v="1"/>
    <x v="10"/>
    <x v="16"/>
    <x v="14"/>
    <x v="9"/>
    <n v="4"/>
  </r>
  <r>
    <x v="0"/>
    <x v="0"/>
    <x v="1"/>
    <x v="10"/>
    <x v="16"/>
    <x v="14"/>
    <x v="4"/>
    <n v="1"/>
  </r>
  <r>
    <x v="0"/>
    <x v="0"/>
    <x v="1"/>
    <x v="10"/>
    <x v="16"/>
    <x v="13"/>
    <x v="6"/>
    <n v="1"/>
  </r>
  <r>
    <x v="0"/>
    <x v="0"/>
    <x v="1"/>
    <x v="10"/>
    <x v="16"/>
    <x v="13"/>
    <x v="12"/>
    <n v="8"/>
  </r>
  <r>
    <x v="0"/>
    <x v="0"/>
    <x v="1"/>
    <x v="10"/>
    <x v="16"/>
    <x v="13"/>
    <x v="9"/>
    <n v="3"/>
  </r>
  <r>
    <x v="0"/>
    <x v="0"/>
    <x v="1"/>
    <x v="10"/>
    <x v="16"/>
    <x v="13"/>
    <x v="4"/>
    <n v="1"/>
  </r>
  <r>
    <x v="0"/>
    <x v="0"/>
    <x v="1"/>
    <x v="10"/>
    <x v="16"/>
    <x v="13"/>
    <x v="5"/>
    <n v="1"/>
  </r>
  <r>
    <x v="0"/>
    <x v="0"/>
    <x v="1"/>
    <x v="10"/>
    <x v="16"/>
    <x v="2"/>
    <x v="10"/>
    <n v="12"/>
  </r>
  <r>
    <x v="0"/>
    <x v="0"/>
    <x v="1"/>
    <x v="10"/>
    <x v="16"/>
    <x v="2"/>
    <x v="1"/>
    <n v="10"/>
  </r>
  <r>
    <x v="0"/>
    <x v="0"/>
    <x v="1"/>
    <x v="10"/>
    <x v="16"/>
    <x v="10"/>
    <x v="10"/>
    <n v="7"/>
  </r>
  <r>
    <x v="0"/>
    <x v="0"/>
    <x v="1"/>
    <x v="10"/>
    <x v="16"/>
    <x v="10"/>
    <x v="1"/>
    <n v="18"/>
  </r>
  <r>
    <x v="0"/>
    <x v="0"/>
    <x v="1"/>
    <x v="10"/>
    <x v="16"/>
    <x v="3"/>
    <x v="10"/>
    <n v="2"/>
  </r>
  <r>
    <x v="0"/>
    <x v="0"/>
    <x v="1"/>
    <x v="10"/>
    <x v="16"/>
    <x v="3"/>
    <x v="1"/>
    <n v="12"/>
  </r>
  <r>
    <x v="0"/>
    <x v="0"/>
    <x v="1"/>
    <x v="10"/>
    <x v="16"/>
    <x v="4"/>
    <x v="10"/>
    <n v="2"/>
  </r>
  <r>
    <x v="0"/>
    <x v="0"/>
    <x v="1"/>
    <x v="10"/>
    <x v="16"/>
    <x v="4"/>
    <x v="1"/>
    <n v="14"/>
  </r>
  <r>
    <x v="0"/>
    <x v="0"/>
    <x v="1"/>
    <x v="10"/>
    <x v="16"/>
    <x v="5"/>
    <x v="1"/>
    <n v="8"/>
  </r>
  <r>
    <x v="0"/>
    <x v="0"/>
    <x v="1"/>
    <x v="11"/>
    <x v="0"/>
    <x v="7"/>
    <x v="12"/>
    <n v="1"/>
  </r>
  <r>
    <x v="0"/>
    <x v="0"/>
    <x v="1"/>
    <x v="11"/>
    <x v="0"/>
    <x v="7"/>
    <x v="9"/>
    <n v="1"/>
  </r>
  <r>
    <x v="0"/>
    <x v="0"/>
    <x v="1"/>
    <x v="11"/>
    <x v="14"/>
    <x v="2"/>
    <x v="13"/>
    <n v="1"/>
  </r>
  <r>
    <x v="0"/>
    <x v="0"/>
    <x v="1"/>
    <x v="11"/>
    <x v="14"/>
    <x v="2"/>
    <x v="11"/>
    <n v="2"/>
  </r>
  <r>
    <x v="0"/>
    <x v="0"/>
    <x v="1"/>
    <x v="11"/>
    <x v="14"/>
    <x v="2"/>
    <x v="14"/>
    <n v="1"/>
  </r>
  <r>
    <x v="0"/>
    <x v="0"/>
    <x v="1"/>
    <x v="11"/>
    <x v="14"/>
    <x v="10"/>
    <x v="2"/>
    <n v="2"/>
  </r>
  <r>
    <x v="0"/>
    <x v="0"/>
    <x v="1"/>
    <x v="11"/>
    <x v="14"/>
    <x v="10"/>
    <x v="13"/>
    <n v="1"/>
  </r>
  <r>
    <x v="0"/>
    <x v="0"/>
    <x v="1"/>
    <x v="11"/>
    <x v="14"/>
    <x v="10"/>
    <x v="11"/>
    <n v="2"/>
  </r>
  <r>
    <x v="0"/>
    <x v="0"/>
    <x v="1"/>
    <x v="11"/>
    <x v="14"/>
    <x v="10"/>
    <x v="14"/>
    <n v="1"/>
  </r>
  <r>
    <x v="0"/>
    <x v="0"/>
    <x v="1"/>
    <x v="11"/>
    <x v="14"/>
    <x v="3"/>
    <x v="5"/>
    <n v="3"/>
  </r>
  <r>
    <x v="0"/>
    <x v="0"/>
    <x v="1"/>
    <x v="11"/>
    <x v="14"/>
    <x v="3"/>
    <x v="13"/>
    <n v="1"/>
  </r>
  <r>
    <x v="0"/>
    <x v="0"/>
    <x v="1"/>
    <x v="11"/>
    <x v="14"/>
    <x v="3"/>
    <x v="11"/>
    <n v="4"/>
  </r>
  <r>
    <x v="0"/>
    <x v="0"/>
    <x v="1"/>
    <x v="11"/>
    <x v="14"/>
    <x v="3"/>
    <x v="14"/>
    <n v="2"/>
  </r>
  <r>
    <x v="0"/>
    <x v="0"/>
    <x v="1"/>
    <x v="11"/>
    <x v="14"/>
    <x v="4"/>
    <x v="13"/>
    <n v="2"/>
  </r>
  <r>
    <x v="0"/>
    <x v="0"/>
    <x v="1"/>
    <x v="11"/>
    <x v="14"/>
    <x v="4"/>
    <x v="11"/>
    <n v="1"/>
  </r>
  <r>
    <x v="0"/>
    <x v="0"/>
    <x v="1"/>
    <x v="11"/>
    <x v="14"/>
    <x v="5"/>
    <x v="3"/>
    <n v="1"/>
  </r>
  <r>
    <x v="0"/>
    <x v="0"/>
    <x v="1"/>
    <x v="11"/>
    <x v="14"/>
    <x v="5"/>
    <x v="4"/>
    <n v="1"/>
  </r>
  <r>
    <x v="0"/>
    <x v="0"/>
    <x v="1"/>
    <x v="11"/>
    <x v="14"/>
    <x v="5"/>
    <x v="5"/>
    <n v="1"/>
  </r>
  <r>
    <x v="0"/>
    <x v="0"/>
    <x v="1"/>
    <x v="11"/>
    <x v="14"/>
    <x v="5"/>
    <x v="13"/>
    <n v="1"/>
  </r>
  <r>
    <x v="0"/>
    <x v="0"/>
    <x v="1"/>
    <x v="11"/>
    <x v="14"/>
    <x v="5"/>
    <x v="14"/>
    <n v="1"/>
  </r>
  <r>
    <x v="0"/>
    <x v="0"/>
    <x v="1"/>
    <x v="11"/>
    <x v="14"/>
    <x v="11"/>
    <x v="3"/>
    <n v="1"/>
  </r>
  <r>
    <x v="0"/>
    <x v="0"/>
    <x v="1"/>
    <x v="11"/>
    <x v="14"/>
    <x v="11"/>
    <x v="4"/>
    <n v="1"/>
  </r>
  <r>
    <x v="0"/>
    <x v="0"/>
    <x v="1"/>
    <x v="11"/>
    <x v="14"/>
    <x v="11"/>
    <x v="13"/>
    <n v="1"/>
  </r>
  <r>
    <x v="0"/>
    <x v="0"/>
    <x v="1"/>
    <x v="11"/>
    <x v="14"/>
    <x v="6"/>
    <x v="4"/>
    <n v="1"/>
  </r>
  <r>
    <x v="0"/>
    <x v="0"/>
    <x v="1"/>
    <x v="11"/>
    <x v="14"/>
    <x v="6"/>
    <x v="5"/>
    <n v="1"/>
  </r>
  <r>
    <x v="0"/>
    <x v="0"/>
    <x v="1"/>
    <x v="11"/>
    <x v="14"/>
    <x v="9"/>
    <x v="5"/>
    <n v="1"/>
  </r>
  <r>
    <x v="0"/>
    <x v="0"/>
    <x v="1"/>
    <x v="11"/>
    <x v="14"/>
    <x v="9"/>
    <x v="2"/>
    <n v="1"/>
  </r>
  <r>
    <x v="0"/>
    <x v="0"/>
    <x v="1"/>
    <x v="11"/>
    <x v="8"/>
    <x v="13"/>
    <x v="6"/>
    <n v="1"/>
  </r>
  <r>
    <x v="0"/>
    <x v="0"/>
    <x v="3"/>
    <x v="4"/>
    <x v="4"/>
    <x v="10"/>
    <x v="1"/>
    <n v="1"/>
  </r>
  <r>
    <x v="0"/>
    <x v="0"/>
    <x v="3"/>
    <x v="4"/>
    <x v="5"/>
    <x v="0"/>
    <x v="3"/>
    <n v="5"/>
  </r>
  <r>
    <x v="0"/>
    <x v="0"/>
    <x v="3"/>
    <x v="4"/>
    <x v="5"/>
    <x v="0"/>
    <x v="4"/>
    <n v="3"/>
  </r>
  <r>
    <x v="0"/>
    <x v="0"/>
    <x v="3"/>
    <x v="4"/>
    <x v="15"/>
    <x v="0"/>
    <x v="10"/>
    <n v="3"/>
  </r>
  <r>
    <x v="0"/>
    <x v="0"/>
    <x v="3"/>
    <x v="4"/>
    <x v="15"/>
    <x v="0"/>
    <x v="1"/>
    <n v="4"/>
  </r>
  <r>
    <x v="0"/>
    <x v="0"/>
    <x v="3"/>
    <x v="4"/>
    <x v="9"/>
    <x v="7"/>
    <x v="3"/>
    <n v="1"/>
  </r>
  <r>
    <x v="0"/>
    <x v="0"/>
    <x v="3"/>
    <x v="4"/>
    <x v="9"/>
    <x v="8"/>
    <x v="9"/>
    <n v="1"/>
  </r>
  <r>
    <x v="0"/>
    <x v="0"/>
    <x v="3"/>
    <x v="5"/>
    <x v="2"/>
    <x v="0"/>
    <x v="11"/>
    <n v="1"/>
  </r>
  <r>
    <x v="0"/>
    <x v="0"/>
    <x v="3"/>
    <x v="5"/>
    <x v="4"/>
    <x v="0"/>
    <x v="4"/>
    <n v="1"/>
  </r>
  <r>
    <x v="0"/>
    <x v="0"/>
    <x v="3"/>
    <x v="5"/>
    <x v="4"/>
    <x v="0"/>
    <x v="2"/>
    <n v="1"/>
  </r>
  <r>
    <x v="0"/>
    <x v="0"/>
    <x v="3"/>
    <x v="5"/>
    <x v="1"/>
    <x v="0"/>
    <x v="12"/>
    <n v="1"/>
  </r>
  <r>
    <x v="0"/>
    <x v="0"/>
    <x v="3"/>
    <x v="5"/>
    <x v="1"/>
    <x v="0"/>
    <x v="9"/>
    <n v="1"/>
  </r>
  <r>
    <x v="0"/>
    <x v="0"/>
    <x v="3"/>
    <x v="5"/>
    <x v="15"/>
    <x v="0"/>
    <x v="10"/>
    <n v="1"/>
  </r>
  <r>
    <x v="0"/>
    <x v="0"/>
    <x v="3"/>
    <x v="5"/>
    <x v="15"/>
    <x v="0"/>
    <x v="19"/>
    <n v="1"/>
  </r>
  <r>
    <x v="0"/>
    <x v="0"/>
    <x v="3"/>
    <x v="5"/>
    <x v="7"/>
    <x v="0"/>
    <x v="17"/>
    <n v="1"/>
  </r>
  <r>
    <x v="0"/>
    <x v="0"/>
    <x v="3"/>
    <x v="5"/>
    <x v="7"/>
    <x v="0"/>
    <x v="19"/>
    <n v="1"/>
  </r>
  <r>
    <x v="0"/>
    <x v="0"/>
    <x v="3"/>
    <x v="5"/>
    <x v="10"/>
    <x v="6"/>
    <x v="6"/>
    <n v="2"/>
  </r>
  <r>
    <x v="0"/>
    <x v="0"/>
    <x v="3"/>
    <x v="5"/>
    <x v="10"/>
    <x v="9"/>
    <x v="6"/>
    <n v="1"/>
  </r>
  <r>
    <x v="0"/>
    <x v="0"/>
    <x v="3"/>
    <x v="5"/>
    <x v="11"/>
    <x v="11"/>
    <x v="4"/>
    <n v="1"/>
  </r>
  <r>
    <x v="0"/>
    <x v="0"/>
    <x v="3"/>
    <x v="5"/>
    <x v="11"/>
    <x v="0"/>
    <x v="1"/>
    <n v="5"/>
  </r>
  <r>
    <x v="0"/>
    <x v="0"/>
    <x v="3"/>
    <x v="5"/>
    <x v="17"/>
    <x v="0"/>
    <x v="4"/>
    <n v="4"/>
  </r>
  <r>
    <x v="0"/>
    <x v="0"/>
    <x v="3"/>
    <x v="5"/>
    <x v="17"/>
    <x v="0"/>
    <x v="5"/>
    <n v="2"/>
  </r>
  <r>
    <x v="0"/>
    <x v="0"/>
    <x v="3"/>
    <x v="5"/>
    <x v="17"/>
    <x v="0"/>
    <x v="2"/>
    <n v="1"/>
  </r>
  <r>
    <x v="0"/>
    <x v="0"/>
    <x v="3"/>
    <x v="5"/>
    <x v="17"/>
    <x v="0"/>
    <x v="13"/>
    <n v="1"/>
  </r>
  <r>
    <x v="0"/>
    <x v="0"/>
    <x v="3"/>
    <x v="5"/>
    <x v="18"/>
    <x v="4"/>
    <x v="4"/>
    <n v="1"/>
  </r>
  <r>
    <x v="0"/>
    <x v="0"/>
    <x v="3"/>
    <x v="5"/>
    <x v="19"/>
    <x v="0"/>
    <x v="14"/>
    <n v="3"/>
  </r>
  <r>
    <x v="0"/>
    <x v="0"/>
    <x v="3"/>
    <x v="6"/>
    <x v="2"/>
    <x v="14"/>
    <x v="5"/>
    <n v="3"/>
  </r>
  <r>
    <x v="0"/>
    <x v="0"/>
    <x v="3"/>
    <x v="6"/>
    <x v="2"/>
    <x v="13"/>
    <x v="18"/>
    <n v="1"/>
  </r>
  <r>
    <x v="0"/>
    <x v="0"/>
    <x v="3"/>
    <x v="6"/>
    <x v="2"/>
    <x v="6"/>
    <x v="11"/>
    <n v="1"/>
  </r>
  <r>
    <x v="0"/>
    <x v="0"/>
    <x v="3"/>
    <x v="6"/>
    <x v="4"/>
    <x v="0"/>
    <x v="3"/>
    <n v="3"/>
  </r>
  <r>
    <x v="0"/>
    <x v="0"/>
    <x v="3"/>
    <x v="6"/>
    <x v="4"/>
    <x v="0"/>
    <x v="4"/>
    <n v="7"/>
  </r>
  <r>
    <x v="0"/>
    <x v="0"/>
    <x v="3"/>
    <x v="6"/>
    <x v="4"/>
    <x v="0"/>
    <x v="5"/>
    <n v="6"/>
  </r>
  <r>
    <x v="0"/>
    <x v="0"/>
    <x v="3"/>
    <x v="6"/>
    <x v="4"/>
    <x v="0"/>
    <x v="2"/>
    <n v="5"/>
  </r>
  <r>
    <x v="0"/>
    <x v="0"/>
    <x v="3"/>
    <x v="6"/>
    <x v="1"/>
    <x v="0"/>
    <x v="18"/>
    <n v="5"/>
  </r>
  <r>
    <x v="0"/>
    <x v="0"/>
    <x v="3"/>
    <x v="6"/>
    <x v="13"/>
    <x v="0"/>
    <x v="19"/>
    <n v="8"/>
  </r>
  <r>
    <x v="0"/>
    <x v="0"/>
    <x v="3"/>
    <x v="6"/>
    <x v="3"/>
    <x v="15"/>
    <x v="5"/>
    <n v="3"/>
  </r>
  <r>
    <x v="0"/>
    <x v="0"/>
    <x v="3"/>
    <x v="6"/>
    <x v="3"/>
    <x v="15"/>
    <x v="2"/>
    <n v="1"/>
  </r>
  <r>
    <x v="0"/>
    <x v="0"/>
    <x v="3"/>
    <x v="6"/>
    <x v="3"/>
    <x v="14"/>
    <x v="9"/>
    <n v="2"/>
  </r>
  <r>
    <x v="0"/>
    <x v="0"/>
    <x v="3"/>
    <x v="6"/>
    <x v="3"/>
    <x v="14"/>
    <x v="3"/>
    <n v="1"/>
  </r>
  <r>
    <x v="0"/>
    <x v="0"/>
    <x v="3"/>
    <x v="6"/>
    <x v="3"/>
    <x v="14"/>
    <x v="4"/>
    <n v="1"/>
  </r>
  <r>
    <x v="0"/>
    <x v="0"/>
    <x v="3"/>
    <x v="6"/>
    <x v="3"/>
    <x v="14"/>
    <x v="2"/>
    <n v="1"/>
  </r>
  <r>
    <x v="0"/>
    <x v="0"/>
    <x v="3"/>
    <x v="6"/>
    <x v="3"/>
    <x v="13"/>
    <x v="3"/>
    <n v="1"/>
  </r>
  <r>
    <x v="0"/>
    <x v="0"/>
    <x v="3"/>
    <x v="6"/>
    <x v="3"/>
    <x v="13"/>
    <x v="4"/>
    <n v="1"/>
  </r>
  <r>
    <x v="0"/>
    <x v="0"/>
    <x v="3"/>
    <x v="6"/>
    <x v="3"/>
    <x v="2"/>
    <x v="1"/>
    <n v="2"/>
  </r>
  <r>
    <x v="0"/>
    <x v="0"/>
    <x v="3"/>
    <x v="6"/>
    <x v="3"/>
    <x v="2"/>
    <x v="12"/>
    <n v="1"/>
  </r>
  <r>
    <x v="0"/>
    <x v="0"/>
    <x v="3"/>
    <x v="6"/>
    <x v="3"/>
    <x v="10"/>
    <x v="10"/>
    <n v="5"/>
  </r>
  <r>
    <x v="0"/>
    <x v="0"/>
    <x v="3"/>
    <x v="6"/>
    <x v="3"/>
    <x v="10"/>
    <x v="1"/>
    <n v="2"/>
  </r>
  <r>
    <x v="0"/>
    <x v="0"/>
    <x v="3"/>
    <x v="6"/>
    <x v="3"/>
    <x v="10"/>
    <x v="12"/>
    <n v="2"/>
  </r>
  <r>
    <x v="0"/>
    <x v="0"/>
    <x v="3"/>
    <x v="6"/>
    <x v="3"/>
    <x v="3"/>
    <x v="10"/>
    <n v="5"/>
  </r>
  <r>
    <x v="0"/>
    <x v="0"/>
    <x v="3"/>
    <x v="6"/>
    <x v="3"/>
    <x v="3"/>
    <x v="1"/>
    <n v="1"/>
  </r>
  <r>
    <x v="0"/>
    <x v="0"/>
    <x v="3"/>
    <x v="6"/>
    <x v="3"/>
    <x v="4"/>
    <x v="6"/>
    <n v="9"/>
  </r>
  <r>
    <x v="0"/>
    <x v="0"/>
    <x v="3"/>
    <x v="6"/>
    <x v="3"/>
    <x v="4"/>
    <x v="10"/>
    <n v="4"/>
  </r>
  <r>
    <x v="0"/>
    <x v="0"/>
    <x v="3"/>
    <x v="6"/>
    <x v="3"/>
    <x v="4"/>
    <x v="1"/>
    <n v="4"/>
  </r>
  <r>
    <x v="0"/>
    <x v="0"/>
    <x v="3"/>
    <x v="6"/>
    <x v="3"/>
    <x v="5"/>
    <x v="6"/>
    <n v="3"/>
  </r>
  <r>
    <x v="0"/>
    <x v="0"/>
    <x v="3"/>
    <x v="6"/>
    <x v="3"/>
    <x v="5"/>
    <x v="10"/>
    <n v="1"/>
  </r>
  <r>
    <x v="0"/>
    <x v="0"/>
    <x v="3"/>
    <x v="6"/>
    <x v="3"/>
    <x v="5"/>
    <x v="1"/>
    <n v="2"/>
  </r>
  <r>
    <x v="0"/>
    <x v="0"/>
    <x v="3"/>
    <x v="6"/>
    <x v="3"/>
    <x v="11"/>
    <x v="7"/>
    <n v="3"/>
  </r>
  <r>
    <x v="0"/>
    <x v="0"/>
    <x v="3"/>
    <x v="6"/>
    <x v="3"/>
    <x v="11"/>
    <x v="6"/>
    <n v="5"/>
  </r>
  <r>
    <x v="0"/>
    <x v="0"/>
    <x v="3"/>
    <x v="6"/>
    <x v="3"/>
    <x v="6"/>
    <x v="7"/>
    <n v="7"/>
  </r>
  <r>
    <x v="0"/>
    <x v="0"/>
    <x v="3"/>
    <x v="6"/>
    <x v="3"/>
    <x v="6"/>
    <x v="6"/>
    <n v="1"/>
  </r>
  <r>
    <x v="0"/>
    <x v="0"/>
    <x v="3"/>
    <x v="6"/>
    <x v="3"/>
    <x v="9"/>
    <x v="7"/>
    <n v="5"/>
  </r>
  <r>
    <x v="0"/>
    <x v="0"/>
    <x v="3"/>
    <x v="6"/>
    <x v="3"/>
    <x v="9"/>
    <x v="6"/>
    <n v="1"/>
  </r>
  <r>
    <x v="0"/>
    <x v="0"/>
    <x v="3"/>
    <x v="6"/>
    <x v="3"/>
    <x v="9"/>
    <x v="10"/>
    <n v="3"/>
  </r>
  <r>
    <x v="0"/>
    <x v="0"/>
    <x v="3"/>
    <x v="6"/>
    <x v="3"/>
    <x v="12"/>
    <x v="7"/>
    <n v="1"/>
  </r>
  <r>
    <x v="0"/>
    <x v="0"/>
    <x v="3"/>
    <x v="6"/>
    <x v="3"/>
    <x v="12"/>
    <x v="6"/>
    <n v="1"/>
  </r>
  <r>
    <x v="0"/>
    <x v="0"/>
    <x v="3"/>
    <x v="6"/>
    <x v="3"/>
    <x v="1"/>
    <x v="6"/>
    <n v="2"/>
  </r>
  <r>
    <x v="0"/>
    <x v="0"/>
    <x v="3"/>
    <x v="6"/>
    <x v="3"/>
    <x v="8"/>
    <x v="9"/>
    <n v="1"/>
  </r>
  <r>
    <x v="0"/>
    <x v="0"/>
    <x v="3"/>
    <x v="6"/>
    <x v="7"/>
    <x v="0"/>
    <x v="19"/>
    <n v="1"/>
  </r>
  <r>
    <x v="0"/>
    <x v="0"/>
    <x v="3"/>
    <x v="6"/>
    <x v="11"/>
    <x v="7"/>
    <x v="14"/>
    <n v="1"/>
  </r>
  <r>
    <x v="0"/>
    <x v="0"/>
    <x v="3"/>
    <x v="9"/>
    <x v="12"/>
    <x v="0"/>
    <x v="5"/>
    <n v="1"/>
  </r>
  <r>
    <x v="0"/>
    <x v="0"/>
    <x v="3"/>
    <x v="9"/>
    <x v="12"/>
    <x v="0"/>
    <x v="2"/>
    <n v="3"/>
  </r>
  <r>
    <x v="0"/>
    <x v="0"/>
    <x v="3"/>
    <x v="9"/>
    <x v="12"/>
    <x v="0"/>
    <x v="11"/>
    <n v="1"/>
  </r>
  <r>
    <x v="0"/>
    <x v="0"/>
    <x v="3"/>
    <x v="9"/>
    <x v="15"/>
    <x v="0"/>
    <x v="2"/>
    <n v="1"/>
  </r>
  <r>
    <x v="0"/>
    <x v="0"/>
    <x v="3"/>
    <x v="9"/>
    <x v="15"/>
    <x v="0"/>
    <x v="11"/>
    <n v="1"/>
  </r>
  <r>
    <x v="0"/>
    <x v="0"/>
    <x v="3"/>
    <x v="9"/>
    <x v="15"/>
    <x v="0"/>
    <x v="14"/>
    <n v="2"/>
  </r>
  <r>
    <x v="0"/>
    <x v="0"/>
    <x v="3"/>
    <x v="9"/>
    <x v="15"/>
    <x v="0"/>
    <x v="17"/>
    <n v="1"/>
  </r>
  <r>
    <x v="0"/>
    <x v="0"/>
    <x v="3"/>
    <x v="9"/>
    <x v="15"/>
    <x v="0"/>
    <x v="19"/>
    <n v="1"/>
  </r>
  <r>
    <x v="0"/>
    <x v="0"/>
    <x v="3"/>
    <x v="7"/>
    <x v="1"/>
    <x v="0"/>
    <x v="10"/>
    <n v="5"/>
  </r>
  <r>
    <x v="0"/>
    <x v="0"/>
    <x v="3"/>
    <x v="7"/>
    <x v="1"/>
    <x v="0"/>
    <x v="1"/>
    <n v="2"/>
  </r>
  <r>
    <x v="0"/>
    <x v="0"/>
    <x v="3"/>
    <x v="7"/>
    <x v="15"/>
    <x v="0"/>
    <x v="2"/>
    <n v="1"/>
  </r>
  <r>
    <x v="0"/>
    <x v="0"/>
    <x v="1"/>
    <x v="11"/>
    <x v="8"/>
    <x v="6"/>
    <x v="12"/>
    <n v="1"/>
  </r>
  <r>
    <x v="0"/>
    <x v="0"/>
    <x v="1"/>
    <x v="11"/>
    <x v="8"/>
    <x v="12"/>
    <x v="12"/>
    <n v="1"/>
  </r>
  <r>
    <x v="0"/>
    <x v="0"/>
    <x v="1"/>
    <x v="11"/>
    <x v="7"/>
    <x v="10"/>
    <x v="4"/>
    <n v="1"/>
  </r>
  <r>
    <x v="0"/>
    <x v="0"/>
    <x v="1"/>
    <x v="11"/>
    <x v="7"/>
    <x v="3"/>
    <x v="4"/>
    <n v="2"/>
  </r>
  <r>
    <x v="0"/>
    <x v="0"/>
    <x v="1"/>
    <x v="11"/>
    <x v="7"/>
    <x v="3"/>
    <x v="2"/>
    <n v="1"/>
  </r>
  <r>
    <x v="0"/>
    <x v="0"/>
    <x v="1"/>
    <x v="11"/>
    <x v="7"/>
    <x v="4"/>
    <x v="4"/>
    <n v="6"/>
  </r>
  <r>
    <x v="0"/>
    <x v="0"/>
    <x v="1"/>
    <x v="11"/>
    <x v="7"/>
    <x v="4"/>
    <x v="5"/>
    <n v="4"/>
  </r>
  <r>
    <x v="0"/>
    <x v="0"/>
    <x v="1"/>
    <x v="11"/>
    <x v="7"/>
    <x v="4"/>
    <x v="2"/>
    <n v="6"/>
  </r>
  <r>
    <x v="0"/>
    <x v="0"/>
    <x v="1"/>
    <x v="11"/>
    <x v="7"/>
    <x v="5"/>
    <x v="4"/>
    <n v="4"/>
  </r>
  <r>
    <x v="0"/>
    <x v="0"/>
    <x v="1"/>
    <x v="11"/>
    <x v="7"/>
    <x v="5"/>
    <x v="5"/>
    <n v="4"/>
  </r>
  <r>
    <x v="0"/>
    <x v="0"/>
    <x v="1"/>
    <x v="11"/>
    <x v="7"/>
    <x v="11"/>
    <x v="4"/>
    <n v="4"/>
  </r>
  <r>
    <x v="0"/>
    <x v="0"/>
    <x v="1"/>
    <x v="11"/>
    <x v="7"/>
    <x v="11"/>
    <x v="18"/>
    <n v="1"/>
  </r>
  <r>
    <x v="0"/>
    <x v="0"/>
    <x v="1"/>
    <x v="11"/>
    <x v="7"/>
    <x v="6"/>
    <x v="3"/>
    <n v="2"/>
  </r>
  <r>
    <x v="0"/>
    <x v="0"/>
    <x v="1"/>
    <x v="11"/>
    <x v="7"/>
    <x v="7"/>
    <x v="2"/>
    <n v="4"/>
  </r>
  <r>
    <x v="0"/>
    <x v="0"/>
    <x v="1"/>
    <x v="11"/>
    <x v="7"/>
    <x v="7"/>
    <x v="13"/>
    <n v="6"/>
  </r>
  <r>
    <x v="0"/>
    <x v="0"/>
    <x v="1"/>
    <x v="11"/>
    <x v="7"/>
    <x v="8"/>
    <x v="5"/>
    <n v="2"/>
  </r>
  <r>
    <x v="0"/>
    <x v="0"/>
    <x v="1"/>
    <x v="11"/>
    <x v="7"/>
    <x v="8"/>
    <x v="2"/>
    <n v="5"/>
  </r>
  <r>
    <x v="0"/>
    <x v="0"/>
    <x v="1"/>
    <x v="12"/>
    <x v="7"/>
    <x v="2"/>
    <x v="2"/>
    <n v="1"/>
  </r>
  <r>
    <x v="0"/>
    <x v="0"/>
    <x v="1"/>
    <x v="12"/>
    <x v="7"/>
    <x v="10"/>
    <x v="3"/>
    <n v="1"/>
  </r>
  <r>
    <x v="0"/>
    <x v="0"/>
    <x v="1"/>
    <x v="12"/>
    <x v="7"/>
    <x v="10"/>
    <x v="5"/>
    <n v="1"/>
  </r>
  <r>
    <x v="0"/>
    <x v="0"/>
    <x v="1"/>
    <x v="12"/>
    <x v="6"/>
    <x v="19"/>
    <x v="1"/>
    <n v="8"/>
  </r>
  <r>
    <x v="0"/>
    <x v="0"/>
    <x v="1"/>
    <x v="12"/>
    <x v="6"/>
    <x v="16"/>
    <x v="10"/>
    <n v="6"/>
  </r>
  <r>
    <x v="0"/>
    <x v="0"/>
    <x v="1"/>
    <x v="12"/>
    <x v="6"/>
    <x v="15"/>
    <x v="6"/>
    <n v="3"/>
  </r>
  <r>
    <x v="0"/>
    <x v="0"/>
    <x v="1"/>
    <x v="12"/>
    <x v="6"/>
    <x v="15"/>
    <x v="18"/>
    <n v="1"/>
  </r>
  <r>
    <x v="0"/>
    <x v="0"/>
    <x v="1"/>
    <x v="12"/>
    <x v="6"/>
    <x v="2"/>
    <x v="12"/>
    <n v="3"/>
  </r>
  <r>
    <x v="0"/>
    <x v="0"/>
    <x v="1"/>
    <x v="12"/>
    <x v="6"/>
    <x v="2"/>
    <x v="9"/>
    <n v="7"/>
  </r>
  <r>
    <x v="0"/>
    <x v="0"/>
    <x v="1"/>
    <x v="12"/>
    <x v="6"/>
    <x v="2"/>
    <x v="4"/>
    <n v="4"/>
  </r>
  <r>
    <x v="0"/>
    <x v="0"/>
    <x v="1"/>
    <x v="12"/>
    <x v="6"/>
    <x v="2"/>
    <x v="5"/>
    <n v="1"/>
  </r>
  <r>
    <x v="0"/>
    <x v="0"/>
    <x v="1"/>
    <x v="12"/>
    <x v="6"/>
    <x v="2"/>
    <x v="2"/>
    <n v="2"/>
  </r>
  <r>
    <x v="0"/>
    <x v="0"/>
    <x v="1"/>
    <x v="12"/>
    <x v="6"/>
    <x v="10"/>
    <x v="12"/>
    <n v="1"/>
  </r>
  <r>
    <x v="0"/>
    <x v="0"/>
    <x v="1"/>
    <x v="12"/>
    <x v="6"/>
    <x v="10"/>
    <x v="9"/>
    <n v="3"/>
  </r>
  <r>
    <x v="0"/>
    <x v="0"/>
    <x v="1"/>
    <x v="12"/>
    <x v="6"/>
    <x v="10"/>
    <x v="3"/>
    <n v="2"/>
  </r>
  <r>
    <x v="0"/>
    <x v="0"/>
    <x v="1"/>
    <x v="12"/>
    <x v="6"/>
    <x v="10"/>
    <x v="4"/>
    <n v="1"/>
  </r>
  <r>
    <x v="0"/>
    <x v="0"/>
    <x v="1"/>
    <x v="12"/>
    <x v="6"/>
    <x v="10"/>
    <x v="2"/>
    <n v="1"/>
  </r>
  <r>
    <x v="0"/>
    <x v="0"/>
    <x v="1"/>
    <x v="12"/>
    <x v="6"/>
    <x v="3"/>
    <x v="12"/>
    <n v="2"/>
  </r>
  <r>
    <x v="0"/>
    <x v="0"/>
    <x v="1"/>
    <x v="12"/>
    <x v="6"/>
    <x v="3"/>
    <x v="9"/>
    <n v="4"/>
  </r>
  <r>
    <x v="0"/>
    <x v="0"/>
    <x v="1"/>
    <x v="12"/>
    <x v="6"/>
    <x v="3"/>
    <x v="3"/>
    <n v="2"/>
  </r>
  <r>
    <x v="0"/>
    <x v="0"/>
    <x v="1"/>
    <x v="12"/>
    <x v="6"/>
    <x v="3"/>
    <x v="4"/>
    <n v="1"/>
  </r>
  <r>
    <x v="0"/>
    <x v="0"/>
    <x v="1"/>
    <x v="12"/>
    <x v="6"/>
    <x v="4"/>
    <x v="12"/>
    <n v="1"/>
  </r>
  <r>
    <x v="0"/>
    <x v="0"/>
    <x v="1"/>
    <x v="12"/>
    <x v="6"/>
    <x v="4"/>
    <x v="9"/>
    <n v="3"/>
  </r>
  <r>
    <x v="0"/>
    <x v="0"/>
    <x v="1"/>
    <x v="12"/>
    <x v="6"/>
    <x v="4"/>
    <x v="3"/>
    <n v="2"/>
  </r>
  <r>
    <x v="0"/>
    <x v="0"/>
    <x v="1"/>
    <x v="12"/>
    <x v="6"/>
    <x v="4"/>
    <x v="4"/>
    <n v="2"/>
  </r>
  <r>
    <x v="0"/>
    <x v="0"/>
    <x v="1"/>
    <x v="12"/>
    <x v="6"/>
    <x v="5"/>
    <x v="9"/>
    <n v="5"/>
  </r>
  <r>
    <x v="0"/>
    <x v="0"/>
    <x v="1"/>
    <x v="12"/>
    <x v="6"/>
    <x v="5"/>
    <x v="3"/>
    <n v="1"/>
  </r>
  <r>
    <x v="0"/>
    <x v="0"/>
    <x v="1"/>
    <x v="12"/>
    <x v="6"/>
    <x v="11"/>
    <x v="9"/>
    <n v="3"/>
  </r>
  <r>
    <x v="0"/>
    <x v="0"/>
    <x v="1"/>
    <x v="12"/>
    <x v="6"/>
    <x v="6"/>
    <x v="12"/>
    <n v="3"/>
  </r>
  <r>
    <x v="0"/>
    <x v="0"/>
    <x v="1"/>
    <x v="12"/>
    <x v="6"/>
    <x v="7"/>
    <x v="5"/>
    <n v="1"/>
  </r>
  <r>
    <x v="0"/>
    <x v="0"/>
    <x v="1"/>
    <x v="13"/>
    <x v="0"/>
    <x v="18"/>
    <x v="5"/>
    <n v="2"/>
  </r>
  <r>
    <x v="0"/>
    <x v="0"/>
    <x v="1"/>
    <x v="13"/>
    <x v="0"/>
    <x v="18"/>
    <x v="2"/>
    <n v="4"/>
  </r>
  <r>
    <x v="0"/>
    <x v="0"/>
    <x v="1"/>
    <x v="13"/>
    <x v="0"/>
    <x v="19"/>
    <x v="4"/>
    <n v="1"/>
  </r>
  <r>
    <x v="0"/>
    <x v="0"/>
    <x v="1"/>
    <x v="13"/>
    <x v="0"/>
    <x v="13"/>
    <x v="14"/>
    <n v="3"/>
  </r>
  <r>
    <x v="0"/>
    <x v="0"/>
    <x v="1"/>
    <x v="13"/>
    <x v="0"/>
    <x v="5"/>
    <x v="14"/>
    <n v="2"/>
  </r>
  <r>
    <x v="0"/>
    <x v="0"/>
    <x v="1"/>
    <x v="13"/>
    <x v="0"/>
    <x v="5"/>
    <x v="17"/>
    <n v="1"/>
  </r>
  <r>
    <x v="0"/>
    <x v="0"/>
    <x v="1"/>
    <x v="13"/>
    <x v="0"/>
    <x v="11"/>
    <x v="14"/>
    <n v="1"/>
  </r>
  <r>
    <x v="0"/>
    <x v="0"/>
    <x v="1"/>
    <x v="13"/>
    <x v="0"/>
    <x v="11"/>
    <x v="17"/>
    <n v="2"/>
  </r>
  <r>
    <x v="0"/>
    <x v="0"/>
    <x v="1"/>
    <x v="13"/>
    <x v="0"/>
    <x v="11"/>
    <x v="19"/>
    <n v="1"/>
  </r>
  <r>
    <x v="0"/>
    <x v="0"/>
    <x v="1"/>
    <x v="13"/>
    <x v="0"/>
    <x v="6"/>
    <x v="14"/>
    <n v="1"/>
  </r>
  <r>
    <x v="0"/>
    <x v="0"/>
    <x v="1"/>
    <x v="13"/>
    <x v="0"/>
    <x v="6"/>
    <x v="17"/>
    <n v="1"/>
  </r>
  <r>
    <x v="0"/>
    <x v="0"/>
    <x v="1"/>
    <x v="13"/>
    <x v="0"/>
    <x v="6"/>
    <x v="19"/>
    <n v="3"/>
  </r>
  <r>
    <x v="0"/>
    <x v="0"/>
    <x v="1"/>
    <x v="13"/>
    <x v="7"/>
    <x v="3"/>
    <x v="9"/>
    <n v="1"/>
  </r>
  <r>
    <x v="0"/>
    <x v="0"/>
    <x v="1"/>
    <x v="13"/>
    <x v="17"/>
    <x v="19"/>
    <x v="18"/>
    <n v="1"/>
  </r>
  <r>
    <x v="0"/>
    <x v="0"/>
    <x v="1"/>
    <x v="13"/>
    <x v="17"/>
    <x v="16"/>
    <x v="0"/>
    <n v="1"/>
  </r>
  <r>
    <x v="0"/>
    <x v="0"/>
    <x v="1"/>
    <x v="14"/>
    <x v="16"/>
    <x v="15"/>
    <x v="12"/>
    <n v="4"/>
  </r>
  <r>
    <x v="0"/>
    <x v="0"/>
    <x v="1"/>
    <x v="14"/>
    <x v="16"/>
    <x v="14"/>
    <x v="12"/>
    <n v="9"/>
  </r>
  <r>
    <x v="0"/>
    <x v="0"/>
    <x v="1"/>
    <x v="14"/>
    <x v="16"/>
    <x v="14"/>
    <x v="9"/>
    <n v="2"/>
  </r>
  <r>
    <x v="0"/>
    <x v="0"/>
    <x v="1"/>
    <x v="14"/>
    <x v="16"/>
    <x v="14"/>
    <x v="3"/>
    <n v="1"/>
  </r>
  <r>
    <x v="0"/>
    <x v="0"/>
    <x v="1"/>
    <x v="14"/>
    <x v="16"/>
    <x v="13"/>
    <x v="12"/>
    <n v="20"/>
  </r>
  <r>
    <x v="0"/>
    <x v="0"/>
    <x v="1"/>
    <x v="14"/>
    <x v="16"/>
    <x v="2"/>
    <x v="6"/>
    <n v="16"/>
  </r>
  <r>
    <x v="0"/>
    <x v="0"/>
    <x v="1"/>
    <x v="14"/>
    <x v="16"/>
    <x v="2"/>
    <x v="10"/>
    <n v="21"/>
  </r>
  <r>
    <x v="0"/>
    <x v="0"/>
    <x v="1"/>
    <x v="14"/>
    <x v="16"/>
    <x v="2"/>
    <x v="1"/>
    <n v="35"/>
  </r>
  <r>
    <x v="0"/>
    <x v="0"/>
    <x v="1"/>
    <x v="14"/>
    <x v="16"/>
    <x v="10"/>
    <x v="6"/>
    <n v="18"/>
  </r>
  <r>
    <x v="0"/>
    <x v="0"/>
    <x v="1"/>
    <x v="14"/>
    <x v="16"/>
    <x v="10"/>
    <x v="10"/>
    <n v="24"/>
  </r>
  <r>
    <x v="0"/>
    <x v="0"/>
    <x v="1"/>
    <x v="14"/>
    <x v="16"/>
    <x v="3"/>
    <x v="6"/>
    <n v="4"/>
  </r>
  <r>
    <x v="0"/>
    <x v="0"/>
    <x v="1"/>
    <x v="14"/>
    <x v="16"/>
    <x v="3"/>
    <x v="10"/>
    <n v="17"/>
  </r>
  <r>
    <x v="0"/>
    <x v="0"/>
    <x v="1"/>
    <x v="14"/>
    <x v="16"/>
    <x v="3"/>
    <x v="18"/>
    <n v="1"/>
  </r>
  <r>
    <x v="0"/>
    <x v="0"/>
    <x v="1"/>
    <x v="14"/>
    <x v="16"/>
    <x v="4"/>
    <x v="6"/>
    <n v="1"/>
  </r>
  <r>
    <x v="0"/>
    <x v="0"/>
    <x v="1"/>
    <x v="14"/>
    <x v="16"/>
    <x v="7"/>
    <x v="4"/>
    <n v="1"/>
  </r>
  <r>
    <x v="0"/>
    <x v="0"/>
    <x v="1"/>
    <x v="14"/>
    <x v="18"/>
    <x v="14"/>
    <x v="3"/>
    <n v="1"/>
  </r>
  <r>
    <x v="0"/>
    <x v="0"/>
    <x v="1"/>
    <x v="14"/>
    <x v="18"/>
    <x v="13"/>
    <x v="3"/>
    <n v="1"/>
  </r>
  <r>
    <x v="0"/>
    <x v="0"/>
    <x v="1"/>
    <x v="14"/>
    <x v="18"/>
    <x v="3"/>
    <x v="1"/>
    <n v="2"/>
  </r>
  <r>
    <x v="0"/>
    <x v="0"/>
    <x v="3"/>
    <x v="7"/>
    <x v="15"/>
    <x v="0"/>
    <x v="13"/>
    <n v="3"/>
  </r>
  <r>
    <x v="0"/>
    <x v="0"/>
    <x v="3"/>
    <x v="7"/>
    <x v="15"/>
    <x v="0"/>
    <x v="11"/>
    <n v="4"/>
  </r>
  <r>
    <x v="0"/>
    <x v="0"/>
    <x v="3"/>
    <x v="7"/>
    <x v="15"/>
    <x v="0"/>
    <x v="17"/>
    <n v="2"/>
  </r>
  <r>
    <x v="0"/>
    <x v="0"/>
    <x v="3"/>
    <x v="7"/>
    <x v="7"/>
    <x v="0"/>
    <x v="3"/>
    <n v="1"/>
  </r>
  <r>
    <x v="0"/>
    <x v="0"/>
    <x v="3"/>
    <x v="7"/>
    <x v="7"/>
    <x v="0"/>
    <x v="5"/>
    <n v="1"/>
  </r>
  <r>
    <x v="0"/>
    <x v="0"/>
    <x v="3"/>
    <x v="8"/>
    <x v="13"/>
    <x v="15"/>
    <x v="13"/>
    <n v="1"/>
  </r>
  <r>
    <x v="0"/>
    <x v="0"/>
    <x v="3"/>
    <x v="8"/>
    <x v="13"/>
    <x v="13"/>
    <x v="4"/>
    <n v="2"/>
  </r>
  <r>
    <x v="0"/>
    <x v="0"/>
    <x v="3"/>
    <x v="8"/>
    <x v="13"/>
    <x v="2"/>
    <x v="18"/>
    <n v="1"/>
  </r>
  <r>
    <x v="0"/>
    <x v="0"/>
    <x v="3"/>
    <x v="8"/>
    <x v="13"/>
    <x v="4"/>
    <x v="0"/>
    <n v="1"/>
  </r>
  <r>
    <x v="0"/>
    <x v="0"/>
    <x v="3"/>
    <x v="8"/>
    <x v="13"/>
    <x v="7"/>
    <x v="3"/>
    <n v="1"/>
  </r>
  <r>
    <x v="0"/>
    <x v="0"/>
    <x v="3"/>
    <x v="8"/>
    <x v="13"/>
    <x v="1"/>
    <x v="13"/>
    <n v="1"/>
  </r>
  <r>
    <x v="0"/>
    <x v="0"/>
    <x v="3"/>
    <x v="8"/>
    <x v="14"/>
    <x v="12"/>
    <x v="7"/>
    <n v="1"/>
  </r>
  <r>
    <x v="0"/>
    <x v="0"/>
    <x v="3"/>
    <x v="8"/>
    <x v="15"/>
    <x v="0"/>
    <x v="4"/>
    <n v="2"/>
  </r>
  <r>
    <x v="0"/>
    <x v="0"/>
    <x v="3"/>
    <x v="8"/>
    <x v="15"/>
    <x v="0"/>
    <x v="5"/>
    <n v="1"/>
  </r>
  <r>
    <x v="0"/>
    <x v="0"/>
    <x v="3"/>
    <x v="8"/>
    <x v="11"/>
    <x v="9"/>
    <x v="6"/>
    <n v="1"/>
  </r>
  <r>
    <x v="0"/>
    <x v="0"/>
    <x v="3"/>
    <x v="8"/>
    <x v="11"/>
    <x v="12"/>
    <x v="6"/>
    <n v="2"/>
  </r>
  <r>
    <x v="0"/>
    <x v="0"/>
    <x v="3"/>
    <x v="8"/>
    <x v="11"/>
    <x v="8"/>
    <x v="1"/>
    <n v="1"/>
  </r>
  <r>
    <x v="0"/>
    <x v="0"/>
    <x v="3"/>
    <x v="8"/>
    <x v="11"/>
    <x v="8"/>
    <x v="12"/>
    <n v="1"/>
  </r>
  <r>
    <x v="0"/>
    <x v="0"/>
    <x v="3"/>
    <x v="8"/>
    <x v="17"/>
    <x v="0"/>
    <x v="1"/>
    <n v="1"/>
  </r>
  <r>
    <x v="0"/>
    <x v="0"/>
    <x v="3"/>
    <x v="8"/>
    <x v="17"/>
    <x v="0"/>
    <x v="9"/>
    <n v="4"/>
  </r>
  <r>
    <x v="0"/>
    <x v="0"/>
    <x v="3"/>
    <x v="8"/>
    <x v="19"/>
    <x v="12"/>
    <x v="1"/>
    <n v="1"/>
  </r>
  <r>
    <x v="0"/>
    <x v="0"/>
    <x v="3"/>
    <x v="8"/>
    <x v="19"/>
    <x v="1"/>
    <x v="1"/>
    <n v="2"/>
  </r>
  <r>
    <x v="0"/>
    <x v="0"/>
    <x v="3"/>
    <x v="8"/>
    <x v="19"/>
    <x v="0"/>
    <x v="1"/>
    <n v="2"/>
  </r>
  <r>
    <x v="0"/>
    <x v="0"/>
    <x v="3"/>
    <x v="8"/>
    <x v="19"/>
    <x v="0"/>
    <x v="12"/>
    <n v="1"/>
  </r>
  <r>
    <x v="0"/>
    <x v="0"/>
    <x v="3"/>
    <x v="10"/>
    <x v="12"/>
    <x v="0"/>
    <x v="9"/>
    <n v="1"/>
  </r>
  <r>
    <x v="0"/>
    <x v="0"/>
    <x v="3"/>
    <x v="10"/>
    <x v="12"/>
    <x v="0"/>
    <x v="3"/>
    <n v="1"/>
  </r>
  <r>
    <x v="0"/>
    <x v="0"/>
    <x v="3"/>
    <x v="10"/>
    <x v="12"/>
    <x v="0"/>
    <x v="5"/>
    <n v="4"/>
  </r>
  <r>
    <x v="0"/>
    <x v="0"/>
    <x v="3"/>
    <x v="10"/>
    <x v="12"/>
    <x v="0"/>
    <x v="13"/>
    <n v="1"/>
  </r>
  <r>
    <x v="0"/>
    <x v="0"/>
    <x v="3"/>
    <x v="10"/>
    <x v="16"/>
    <x v="4"/>
    <x v="12"/>
    <n v="1"/>
  </r>
  <r>
    <x v="0"/>
    <x v="0"/>
    <x v="3"/>
    <x v="10"/>
    <x v="16"/>
    <x v="11"/>
    <x v="1"/>
    <n v="1"/>
  </r>
  <r>
    <x v="0"/>
    <x v="0"/>
    <x v="3"/>
    <x v="10"/>
    <x v="14"/>
    <x v="0"/>
    <x v="13"/>
    <n v="2"/>
  </r>
  <r>
    <x v="0"/>
    <x v="0"/>
    <x v="3"/>
    <x v="10"/>
    <x v="8"/>
    <x v="0"/>
    <x v="9"/>
    <n v="1"/>
  </r>
  <r>
    <x v="0"/>
    <x v="0"/>
    <x v="3"/>
    <x v="10"/>
    <x v="8"/>
    <x v="0"/>
    <x v="3"/>
    <n v="1"/>
  </r>
  <r>
    <x v="0"/>
    <x v="0"/>
    <x v="3"/>
    <x v="10"/>
    <x v="8"/>
    <x v="0"/>
    <x v="4"/>
    <n v="1"/>
  </r>
  <r>
    <x v="0"/>
    <x v="0"/>
    <x v="3"/>
    <x v="10"/>
    <x v="7"/>
    <x v="7"/>
    <x v="10"/>
    <n v="2"/>
  </r>
  <r>
    <x v="0"/>
    <x v="0"/>
    <x v="3"/>
    <x v="10"/>
    <x v="7"/>
    <x v="8"/>
    <x v="10"/>
    <n v="2"/>
  </r>
  <r>
    <x v="0"/>
    <x v="0"/>
    <x v="3"/>
    <x v="10"/>
    <x v="7"/>
    <x v="0"/>
    <x v="12"/>
    <n v="10"/>
  </r>
  <r>
    <x v="0"/>
    <x v="0"/>
    <x v="3"/>
    <x v="10"/>
    <x v="7"/>
    <x v="0"/>
    <x v="9"/>
    <n v="4"/>
  </r>
  <r>
    <x v="0"/>
    <x v="0"/>
    <x v="3"/>
    <x v="10"/>
    <x v="7"/>
    <x v="0"/>
    <x v="3"/>
    <n v="1"/>
  </r>
  <r>
    <x v="0"/>
    <x v="0"/>
    <x v="3"/>
    <x v="10"/>
    <x v="19"/>
    <x v="14"/>
    <x v="7"/>
    <n v="2"/>
  </r>
  <r>
    <x v="0"/>
    <x v="0"/>
    <x v="3"/>
    <x v="10"/>
    <x v="19"/>
    <x v="14"/>
    <x v="6"/>
    <n v="6"/>
  </r>
  <r>
    <x v="0"/>
    <x v="0"/>
    <x v="3"/>
    <x v="10"/>
    <x v="19"/>
    <x v="14"/>
    <x v="10"/>
    <n v="2"/>
  </r>
  <r>
    <x v="0"/>
    <x v="0"/>
    <x v="3"/>
    <x v="10"/>
    <x v="19"/>
    <x v="13"/>
    <x v="8"/>
    <n v="6"/>
  </r>
  <r>
    <x v="0"/>
    <x v="0"/>
    <x v="3"/>
    <x v="10"/>
    <x v="19"/>
    <x v="13"/>
    <x v="7"/>
    <n v="28"/>
  </r>
  <r>
    <x v="0"/>
    <x v="0"/>
    <x v="3"/>
    <x v="10"/>
    <x v="19"/>
    <x v="13"/>
    <x v="6"/>
    <n v="21"/>
  </r>
  <r>
    <x v="0"/>
    <x v="0"/>
    <x v="3"/>
    <x v="10"/>
    <x v="19"/>
    <x v="13"/>
    <x v="14"/>
    <n v="1"/>
  </r>
  <r>
    <x v="0"/>
    <x v="0"/>
    <x v="3"/>
    <x v="10"/>
    <x v="19"/>
    <x v="2"/>
    <x v="8"/>
    <n v="55"/>
  </r>
  <r>
    <x v="0"/>
    <x v="0"/>
    <x v="3"/>
    <x v="10"/>
    <x v="19"/>
    <x v="2"/>
    <x v="5"/>
    <n v="1"/>
  </r>
  <r>
    <x v="0"/>
    <x v="0"/>
    <x v="3"/>
    <x v="10"/>
    <x v="19"/>
    <x v="2"/>
    <x v="13"/>
    <n v="2"/>
  </r>
  <r>
    <x v="0"/>
    <x v="0"/>
    <x v="3"/>
    <x v="10"/>
    <x v="19"/>
    <x v="10"/>
    <x v="15"/>
    <n v="207"/>
  </r>
  <r>
    <x v="0"/>
    <x v="0"/>
    <x v="3"/>
    <x v="10"/>
    <x v="19"/>
    <x v="10"/>
    <x v="8"/>
    <n v="262"/>
  </r>
  <r>
    <x v="0"/>
    <x v="0"/>
    <x v="3"/>
    <x v="10"/>
    <x v="19"/>
    <x v="10"/>
    <x v="4"/>
    <n v="1"/>
  </r>
  <r>
    <x v="0"/>
    <x v="0"/>
    <x v="3"/>
    <x v="10"/>
    <x v="19"/>
    <x v="10"/>
    <x v="5"/>
    <n v="2"/>
  </r>
  <r>
    <x v="0"/>
    <x v="0"/>
    <x v="3"/>
    <x v="10"/>
    <x v="19"/>
    <x v="10"/>
    <x v="2"/>
    <n v="3"/>
  </r>
  <r>
    <x v="0"/>
    <x v="0"/>
    <x v="3"/>
    <x v="10"/>
    <x v="19"/>
    <x v="10"/>
    <x v="13"/>
    <n v="1"/>
  </r>
  <r>
    <x v="0"/>
    <x v="0"/>
    <x v="3"/>
    <x v="10"/>
    <x v="19"/>
    <x v="10"/>
    <x v="14"/>
    <n v="1"/>
  </r>
  <r>
    <x v="0"/>
    <x v="0"/>
    <x v="3"/>
    <x v="10"/>
    <x v="19"/>
    <x v="3"/>
    <x v="15"/>
    <n v="20"/>
  </r>
  <r>
    <x v="0"/>
    <x v="0"/>
    <x v="3"/>
    <x v="10"/>
    <x v="19"/>
    <x v="3"/>
    <x v="8"/>
    <n v="400"/>
  </r>
  <r>
    <x v="0"/>
    <x v="0"/>
    <x v="3"/>
    <x v="10"/>
    <x v="19"/>
    <x v="3"/>
    <x v="3"/>
    <n v="1"/>
  </r>
  <r>
    <x v="0"/>
    <x v="0"/>
    <x v="3"/>
    <x v="10"/>
    <x v="19"/>
    <x v="3"/>
    <x v="4"/>
    <n v="1"/>
  </r>
  <r>
    <x v="0"/>
    <x v="0"/>
    <x v="3"/>
    <x v="10"/>
    <x v="19"/>
    <x v="3"/>
    <x v="2"/>
    <n v="3"/>
  </r>
  <r>
    <x v="0"/>
    <x v="0"/>
    <x v="3"/>
    <x v="10"/>
    <x v="19"/>
    <x v="4"/>
    <x v="9"/>
    <n v="3"/>
  </r>
  <r>
    <x v="0"/>
    <x v="0"/>
    <x v="3"/>
    <x v="10"/>
    <x v="19"/>
    <x v="4"/>
    <x v="3"/>
    <n v="2"/>
  </r>
  <r>
    <x v="0"/>
    <x v="0"/>
    <x v="3"/>
    <x v="10"/>
    <x v="19"/>
    <x v="4"/>
    <x v="13"/>
    <n v="1"/>
  </r>
  <r>
    <x v="0"/>
    <x v="0"/>
    <x v="3"/>
    <x v="10"/>
    <x v="19"/>
    <x v="5"/>
    <x v="12"/>
    <n v="3"/>
  </r>
  <r>
    <x v="0"/>
    <x v="0"/>
    <x v="3"/>
    <x v="10"/>
    <x v="19"/>
    <x v="5"/>
    <x v="4"/>
    <n v="1"/>
  </r>
  <r>
    <x v="0"/>
    <x v="0"/>
    <x v="3"/>
    <x v="10"/>
    <x v="19"/>
    <x v="11"/>
    <x v="12"/>
    <n v="1"/>
  </r>
  <r>
    <x v="0"/>
    <x v="0"/>
    <x v="3"/>
    <x v="10"/>
    <x v="19"/>
    <x v="11"/>
    <x v="9"/>
    <n v="1"/>
  </r>
  <r>
    <x v="0"/>
    <x v="0"/>
    <x v="3"/>
    <x v="10"/>
    <x v="19"/>
    <x v="11"/>
    <x v="3"/>
    <n v="2"/>
  </r>
  <r>
    <x v="0"/>
    <x v="0"/>
    <x v="3"/>
    <x v="10"/>
    <x v="19"/>
    <x v="11"/>
    <x v="4"/>
    <n v="1"/>
  </r>
  <r>
    <x v="0"/>
    <x v="0"/>
    <x v="3"/>
    <x v="10"/>
    <x v="19"/>
    <x v="6"/>
    <x v="9"/>
    <n v="2"/>
  </r>
  <r>
    <x v="0"/>
    <x v="0"/>
    <x v="3"/>
    <x v="10"/>
    <x v="19"/>
    <x v="6"/>
    <x v="3"/>
    <n v="1"/>
  </r>
  <r>
    <x v="0"/>
    <x v="0"/>
    <x v="3"/>
    <x v="10"/>
    <x v="19"/>
    <x v="6"/>
    <x v="4"/>
    <n v="1"/>
  </r>
  <r>
    <x v="0"/>
    <x v="0"/>
    <x v="3"/>
    <x v="10"/>
    <x v="19"/>
    <x v="9"/>
    <x v="1"/>
    <n v="1"/>
  </r>
  <r>
    <x v="0"/>
    <x v="0"/>
    <x v="3"/>
    <x v="10"/>
    <x v="19"/>
    <x v="12"/>
    <x v="1"/>
    <n v="2"/>
  </r>
  <r>
    <x v="0"/>
    <x v="0"/>
    <x v="3"/>
    <x v="10"/>
    <x v="19"/>
    <x v="7"/>
    <x v="7"/>
    <n v="1"/>
  </r>
  <r>
    <x v="0"/>
    <x v="0"/>
    <x v="3"/>
    <x v="10"/>
    <x v="19"/>
    <x v="1"/>
    <x v="10"/>
    <n v="12"/>
  </r>
  <r>
    <x v="0"/>
    <x v="0"/>
    <x v="3"/>
    <x v="10"/>
    <x v="19"/>
    <x v="1"/>
    <x v="12"/>
    <n v="1"/>
  </r>
  <r>
    <x v="0"/>
    <x v="0"/>
    <x v="3"/>
    <x v="10"/>
    <x v="19"/>
    <x v="0"/>
    <x v="10"/>
    <n v="11"/>
  </r>
  <r>
    <x v="0"/>
    <x v="0"/>
    <x v="3"/>
    <x v="10"/>
    <x v="19"/>
    <x v="0"/>
    <x v="1"/>
    <n v="2"/>
  </r>
  <r>
    <x v="0"/>
    <x v="0"/>
    <x v="1"/>
    <x v="15"/>
    <x v="11"/>
    <x v="4"/>
    <x v="12"/>
    <n v="1"/>
  </r>
  <r>
    <x v="0"/>
    <x v="0"/>
    <x v="1"/>
    <x v="15"/>
    <x v="11"/>
    <x v="4"/>
    <x v="9"/>
    <n v="1"/>
  </r>
  <r>
    <x v="0"/>
    <x v="0"/>
    <x v="1"/>
    <x v="15"/>
    <x v="11"/>
    <x v="5"/>
    <x v="12"/>
    <n v="3"/>
  </r>
  <r>
    <x v="0"/>
    <x v="0"/>
    <x v="1"/>
    <x v="15"/>
    <x v="11"/>
    <x v="7"/>
    <x v="9"/>
    <n v="1"/>
  </r>
  <r>
    <x v="0"/>
    <x v="0"/>
    <x v="1"/>
    <x v="15"/>
    <x v="11"/>
    <x v="8"/>
    <x v="5"/>
    <n v="1"/>
  </r>
  <r>
    <x v="0"/>
    <x v="0"/>
    <x v="1"/>
    <x v="17"/>
    <x v="7"/>
    <x v="0"/>
    <x v="3"/>
    <n v="1"/>
  </r>
  <r>
    <x v="0"/>
    <x v="0"/>
    <x v="1"/>
    <x v="17"/>
    <x v="7"/>
    <x v="0"/>
    <x v="2"/>
    <n v="1"/>
  </r>
  <r>
    <x v="0"/>
    <x v="0"/>
    <x v="1"/>
    <x v="17"/>
    <x v="9"/>
    <x v="15"/>
    <x v="0"/>
    <n v="1"/>
  </r>
  <r>
    <x v="0"/>
    <x v="0"/>
    <x v="1"/>
    <x v="17"/>
    <x v="11"/>
    <x v="7"/>
    <x v="4"/>
    <n v="2"/>
  </r>
  <r>
    <x v="0"/>
    <x v="0"/>
    <x v="1"/>
    <x v="17"/>
    <x v="11"/>
    <x v="7"/>
    <x v="5"/>
    <n v="1"/>
  </r>
  <r>
    <x v="0"/>
    <x v="0"/>
    <x v="1"/>
    <x v="17"/>
    <x v="11"/>
    <x v="8"/>
    <x v="3"/>
    <n v="2"/>
  </r>
  <r>
    <x v="0"/>
    <x v="0"/>
    <x v="1"/>
    <x v="19"/>
    <x v="7"/>
    <x v="17"/>
    <x v="17"/>
    <n v="4"/>
  </r>
  <r>
    <x v="0"/>
    <x v="0"/>
    <x v="1"/>
    <x v="19"/>
    <x v="7"/>
    <x v="18"/>
    <x v="12"/>
    <n v="289"/>
  </r>
  <r>
    <x v="0"/>
    <x v="0"/>
    <x v="1"/>
    <x v="19"/>
    <x v="7"/>
    <x v="18"/>
    <x v="9"/>
    <n v="104"/>
  </r>
  <r>
    <x v="0"/>
    <x v="0"/>
    <x v="1"/>
    <x v="19"/>
    <x v="7"/>
    <x v="18"/>
    <x v="3"/>
    <n v="34"/>
  </r>
  <r>
    <x v="0"/>
    <x v="0"/>
    <x v="1"/>
    <x v="19"/>
    <x v="7"/>
    <x v="18"/>
    <x v="4"/>
    <n v="42"/>
  </r>
  <r>
    <x v="0"/>
    <x v="0"/>
    <x v="1"/>
    <x v="19"/>
    <x v="7"/>
    <x v="18"/>
    <x v="5"/>
    <n v="49"/>
  </r>
  <r>
    <x v="0"/>
    <x v="0"/>
    <x v="1"/>
    <x v="19"/>
    <x v="7"/>
    <x v="18"/>
    <x v="2"/>
    <n v="41"/>
  </r>
  <r>
    <x v="0"/>
    <x v="0"/>
    <x v="1"/>
    <x v="19"/>
    <x v="7"/>
    <x v="18"/>
    <x v="13"/>
    <n v="34"/>
  </r>
  <r>
    <x v="0"/>
    <x v="0"/>
    <x v="1"/>
    <x v="19"/>
    <x v="7"/>
    <x v="18"/>
    <x v="0"/>
    <n v="9"/>
  </r>
  <r>
    <x v="0"/>
    <x v="0"/>
    <x v="1"/>
    <x v="19"/>
    <x v="7"/>
    <x v="18"/>
    <x v="18"/>
    <n v="1"/>
  </r>
  <r>
    <x v="0"/>
    <x v="0"/>
    <x v="1"/>
    <x v="19"/>
    <x v="7"/>
    <x v="19"/>
    <x v="1"/>
    <n v="361"/>
  </r>
  <r>
    <x v="0"/>
    <x v="0"/>
    <x v="1"/>
    <x v="19"/>
    <x v="7"/>
    <x v="19"/>
    <x v="12"/>
    <n v="235"/>
  </r>
  <r>
    <x v="0"/>
    <x v="0"/>
    <x v="1"/>
    <x v="19"/>
    <x v="7"/>
    <x v="19"/>
    <x v="9"/>
    <n v="144"/>
  </r>
  <r>
    <x v="0"/>
    <x v="0"/>
    <x v="1"/>
    <x v="19"/>
    <x v="7"/>
    <x v="19"/>
    <x v="3"/>
    <n v="70"/>
  </r>
  <r>
    <x v="0"/>
    <x v="0"/>
    <x v="1"/>
    <x v="19"/>
    <x v="7"/>
    <x v="19"/>
    <x v="0"/>
    <n v="20"/>
  </r>
  <r>
    <x v="0"/>
    <x v="0"/>
    <x v="1"/>
    <x v="19"/>
    <x v="7"/>
    <x v="16"/>
    <x v="6"/>
    <n v="583"/>
  </r>
  <r>
    <x v="0"/>
    <x v="0"/>
    <x v="1"/>
    <x v="19"/>
    <x v="7"/>
    <x v="16"/>
    <x v="10"/>
    <n v="481"/>
  </r>
  <r>
    <x v="0"/>
    <x v="0"/>
    <x v="1"/>
    <x v="19"/>
    <x v="7"/>
    <x v="16"/>
    <x v="1"/>
    <n v="319"/>
  </r>
  <r>
    <x v="0"/>
    <x v="0"/>
    <x v="1"/>
    <x v="19"/>
    <x v="7"/>
    <x v="15"/>
    <x v="7"/>
    <n v="81"/>
  </r>
  <r>
    <x v="0"/>
    <x v="0"/>
    <x v="1"/>
    <x v="19"/>
    <x v="7"/>
    <x v="15"/>
    <x v="6"/>
    <n v="558"/>
  </r>
  <r>
    <x v="0"/>
    <x v="0"/>
    <x v="1"/>
    <x v="19"/>
    <x v="7"/>
    <x v="15"/>
    <x v="10"/>
    <n v="366"/>
  </r>
  <r>
    <x v="0"/>
    <x v="0"/>
    <x v="1"/>
    <x v="19"/>
    <x v="7"/>
    <x v="15"/>
    <x v="19"/>
    <n v="1"/>
  </r>
  <r>
    <x v="0"/>
    <x v="0"/>
    <x v="1"/>
    <x v="19"/>
    <x v="7"/>
    <x v="14"/>
    <x v="7"/>
    <n v="10"/>
  </r>
  <r>
    <x v="0"/>
    <x v="0"/>
    <x v="1"/>
    <x v="19"/>
    <x v="7"/>
    <x v="14"/>
    <x v="6"/>
    <n v="321"/>
  </r>
  <r>
    <x v="0"/>
    <x v="0"/>
    <x v="1"/>
    <x v="19"/>
    <x v="7"/>
    <x v="14"/>
    <x v="14"/>
    <n v="8"/>
  </r>
  <r>
    <x v="0"/>
    <x v="0"/>
    <x v="1"/>
    <x v="19"/>
    <x v="7"/>
    <x v="14"/>
    <x v="17"/>
    <n v="1"/>
  </r>
  <r>
    <x v="0"/>
    <x v="0"/>
    <x v="1"/>
    <x v="19"/>
    <x v="7"/>
    <x v="13"/>
    <x v="13"/>
    <n v="14"/>
  </r>
  <r>
    <x v="0"/>
    <x v="0"/>
    <x v="1"/>
    <x v="19"/>
    <x v="7"/>
    <x v="13"/>
    <x v="11"/>
    <n v="13"/>
  </r>
  <r>
    <x v="0"/>
    <x v="0"/>
    <x v="1"/>
    <x v="19"/>
    <x v="7"/>
    <x v="13"/>
    <x v="14"/>
    <n v="7"/>
  </r>
  <r>
    <x v="0"/>
    <x v="0"/>
    <x v="1"/>
    <x v="19"/>
    <x v="7"/>
    <x v="2"/>
    <x v="4"/>
    <n v="12"/>
  </r>
  <r>
    <x v="0"/>
    <x v="0"/>
    <x v="1"/>
    <x v="19"/>
    <x v="7"/>
    <x v="2"/>
    <x v="5"/>
    <n v="18"/>
  </r>
  <r>
    <x v="0"/>
    <x v="0"/>
    <x v="1"/>
    <x v="19"/>
    <x v="7"/>
    <x v="2"/>
    <x v="2"/>
    <n v="7"/>
  </r>
  <r>
    <x v="0"/>
    <x v="0"/>
    <x v="1"/>
    <x v="19"/>
    <x v="7"/>
    <x v="2"/>
    <x v="13"/>
    <n v="12"/>
  </r>
  <r>
    <x v="0"/>
    <x v="0"/>
    <x v="1"/>
    <x v="19"/>
    <x v="7"/>
    <x v="10"/>
    <x v="3"/>
    <n v="23"/>
  </r>
  <r>
    <x v="0"/>
    <x v="0"/>
    <x v="1"/>
    <x v="19"/>
    <x v="7"/>
    <x v="10"/>
    <x v="4"/>
    <n v="26"/>
  </r>
  <r>
    <x v="0"/>
    <x v="0"/>
    <x v="1"/>
    <x v="19"/>
    <x v="7"/>
    <x v="10"/>
    <x v="5"/>
    <n v="14"/>
  </r>
  <r>
    <x v="0"/>
    <x v="0"/>
    <x v="1"/>
    <x v="19"/>
    <x v="7"/>
    <x v="10"/>
    <x v="2"/>
    <n v="5"/>
  </r>
  <r>
    <x v="0"/>
    <x v="0"/>
    <x v="1"/>
    <x v="19"/>
    <x v="7"/>
    <x v="10"/>
    <x v="0"/>
    <n v="2"/>
  </r>
  <r>
    <x v="0"/>
    <x v="0"/>
    <x v="1"/>
    <x v="19"/>
    <x v="7"/>
    <x v="3"/>
    <x v="9"/>
    <n v="37"/>
  </r>
  <r>
    <x v="0"/>
    <x v="0"/>
    <x v="1"/>
    <x v="19"/>
    <x v="7"/>
    <x v="3"/>
    <x v="3"/>
    <n v="18"/>
  </r>
  <r>
    <x v="0"/>
    <x v="0"/>
    <x v="1"/>
    <x v="19"/>
    <x v="7"/>
    <x v="3"/>
    <x v="4"/>
    <n v="13"/>
  </r>
  <r>
    <x v="0"/>
    <x v="0"/>
    <x v="1"/>
    <x v="19"/>
    <x v="7"/>
    <x v="3"/>
    <x v="5"/>
    <n v="6"/>
  </r>
  <r>
    <x v="0"/>
    <x v="0"/>
    <x v="1"/>
    <x v="19"/>
    <x v="7"/>
    <x v="4"/>
    <x v="12"/>
    <n v="43"/>
  </r>
  <r>
    <x v="0"/>
    <x v="0"/>
    <x v="1"/>
    <x v="19"/>
    <x v="7"/>
    <x v="4"/>
    <x v="9"/>
    <n v="26"/>
  </r>
  <r>
    <x v="0"/>
    <x v="0"/>
    <x v="1"/>
    <x v="19"/>
    <x v="7"/>
    <x v="4"/>
    <x v="3"/>
    <n v="21"/>
  </r>
  <r>
    <x v="0"/>
    <x v="0"/>
    <x v="1"/>
    <x v="19"/>
    <x v="7"/>
    <x v="4"/>
    <x v="4"/>
    <n v="9"/>
  </r>
  <r>
    <x v="0"/>
    <x v="0"/>
    <x v="1"/>
    <x v="19"/>
    <x v="7"/>
    <x v="4"/>
    <x v="0"/>
    <n v="3"/>
  </r>
  <r>
    <x v="0"/>
    <x v="0"/>
    <x v="1"/>
    <x v="19"/>
    <x v="7"/>
    <x v="5"/>
    <x v="12"/>
    <n v="28"/>
  </r>
  <r>
    <x v="0"/>
    <x v="0"/>
    <x v="1"/>
    <x v="19"/>
    <x v="7"/>
    <x v="5"/>
    <x v="9"/>
    <n v="25"/>
  </r>
  <r>
    <x v="0"/>
    <x v="0"/>
    <x v="1"/>
    <x v="19"/>
    <x v="7"/>
    <x v="5"/>
    <x v="3"/>
    <n v="14"/>
  </r>
  <r>
    <x v="0"/>
    <x v="0"/>
    <x v="1"/>
    <x v="19"/>
    <x v="7"/>
    <x v="11"/>
    <x v="12"/>
    <n v="20"/>
  </r>
  <r>
    <x v="0"/>
    <x v="0"/>
    <x v="1"/>
    <x v="19"/>
    <x v="7"/>
    <x v="11"/>
    <x v="9"/>
    <n v="12"/>
  </r>
  <r>
    <x v="0"/>
    <x v="0"/>
    <x v="1"/>
    <x v="19"/>
    <x v="7"/>
    <x v="6"/>
    <x v="1"/>
    <n v="11"/>
  </r>
  <r>
    <x v="0"/>
    <x v="0"/>
    <x v="1"/>
    <x v="19"/>
    <x v="7"/>
    <x v="6"/>
    <x v="12"/>
    <n v="17"/>
  </r>
  <r>
    <x v="0"/>
    <x v="0"/>
    <x v="1"/>
    <x v="19"/>
    <x v="7"/>
    <x v="9"/>
    <x v="1"/>
    <n v="1"/>
  </r>
  <r>
    <x v="0"/>
    <x v="0"/>
    <x v="1"/>
    <x v="19"/>
    <x v="7"/>
    <x v="12"/>
    <x v="1"/>
    <n v="1"/>
  </r>
  <r>
    <x v="0"/>
    <x v="0"/>
    <x v="1"/>
    <x v="19"/>
    <x v="7"/>
    <x v="7"/>
    <x v="9"/>
    <n v="1"/>
  </r>
  <r>
    <x v="0"/>
    <x v="0"/>
    <x v="1"/>
    <x v="19"/>
    <x v="7"/>
    <x v="7"/>
    <x v="3"/>
    <n v="7"/>
  </r>
  <r>
    <x v="0"/>
    <x v="0"/>
    <x v="1"/>
    <x v="19"/>
    <x v="7"/>
    <x v="7"/>
    <x v="4"/>
    <n v="1"/>
  </r>
  <r>
    <x v="0"/>
    <x v="0"/>
    <x v="1"/>
    <x v="19"/>
    <x v="7"/>
    <x v="7"/>
    <x v="5"/>
    <n v="1"/>
  </r>
  <r>
    <x v="0"/>
    <x v="0"/>
    <x v="1"/>
    <x v="19"/>
    <x v="7"/>
    <x v="8"/>
    <x v="3"/>
    <n v="1"/>
  </r>
  <r>
    <x v="0"/>
    <x v="0"/>
    <x v="1"/>
    <x v="19"/>
    <x v="10"/>
    <x v="7"/>
    <x v="12"/>
    <n v="1"/>
  </r>
  <r>
    <x v="0"/>
    <x v="0"/>
    <x v="1"/>
    <x v="19"/>
    <x v="10"/>
    <x v="7"/>
    <x v="9"/>
    <n v="1"/>
  </r>
  <r>
    <x v="0"/>
    <x v="0"/>
    <x v="2"/>
    <x v="0"/>
    <x v="1"/>
    <x v="0"/>
    <x v="1"/>
    <n v="10"/>
  </r>
  <r>
    <x v="0"/>
    <x v="0"/>
    <x v="2"/>
    <x v="0"/>
    <x v="1"/>
    <x v="0"/>
    <x v="12"/>
    <n v="14"/>
  </r>
  <r>
    <x v="0"/>
    <x v="0"/>
    <x v="2"/>
    <x v="0"/>
    <x v="1"/>
    <x v="0"/>
    <x v="9"/>
    <n v="12"/>
  </r>
  <r>
    <x v="0"/>
    <x v="0"/>
    <x v="2"/>
    <x v="0"/>
    <x v="8"/>
    <x v="0"/>
    <x v="17"/>
    <n v="2"/>
  </r>
  <r>
    <x v="0"/>
    <x v="0"/>
    <x v="2"/>
    <x v="0"/>
    <x v="8"/>
    <x v="0"/>
    <x v="19"/>
    <n v="54"/>
  </r>
  <r>
    <x v="0"/>
    <x v="0"/>
    <x v="2"/>
    <x v="0"/>
    <x v="3"/>
    <x v="0"/>
    <x v="19"/>
    <n v="2"/>
  </r>
  <r>
    <x v="0"/>
    <x v="0"/>
    <x v="3"/>
    <x v="11"/>
    <x v="0"/>
    <x v="7"/>
    <x v="14"/>
    <n v="1"/>
  </r>
  <r>
    <x v="0"/>
    <x v="0"/>
    <x v="3"/>
    <x v="11"/>
    <x v="0"/>
    <x v="1"/>
    <x v="6"/>
    <n v="3"/>
  </r>
  <r>
    <x v="0"/>
    <x v="0"/>
    <x v="3"/>
    <x v="11"/>
    <x v="0"/>
    <x v="1"/>
    <x v="10"/>
    <n v="4"/>
  </r>
  <r>
    <x v="0"/>
    <x v="0"/>
    <x v="3"/>
    <x v="11"/>
    <x v="0"/>
    <x v="0"/>
    <x v="7"/>
    <n v="40"/>
  </r>
  <r>
    <x v="0"/>
    <x v="0"/>
    <x v="3"/>
    <x v="11"/>
    <x v="0"/>
    <x v="0"/>
    <x v="6"/>
    <n v="49"/>
  </r>
  <r>
    <x v="0"/>
    <x v="0"/>
    <x v="3"/>
    <x v="11"/>
    <x v="0"/>
    <x v="0"/>
    <x v="10"/>
    <n v="29"/>
  </r>
  <r>
    <x v="0"/>
    <x v="0"/>
    <x v="3"/>
    <x v="11"/>
    <x v="5"/>
    <x v="8"/>
    <x v="12"/>
    <n v="1"/>
  </r>
  <r>
    <x v="0"/>
    <x v="0"/>
    <x v="3"/>
    <x v="11"/>
    <x v="13"/>
    <x v="0"/>
    <x v="4"/>
    <n v="1"/>
  </r>
  <r>
    <x v="0"/>
    <x v="0"/>
    <x v="3"/>
    <x v="11"/>
    <x v="13"/>
    <x v="0"/>
    <x v="2"/>
    <n v="1"/>
  </r>
  <r>
    <x v="0"/>
    <x v="0"/>
    <x v="3"/>
    <x v="11"/>
    <x v="15"/>
    <x v="0"/>
    <x v="3"/>
    <n v="2"/>
  </r>
  <r>
    <x v="0"/>
    <x v="0"/>
    <x v="3"/>
    <x v="11"/>
    <x v="15"/>
    <x v="0"/>
    <x v="5"/>
    <n v="2"/>
  </r>
  <r>
    <x v="0"/>
    <x v="0"/>
    <x v="3"/>
    <x v="11"/>
    <x v="8"/>
    <x v="14"/>
    <x v="10"/>
    <n v="1"/>
  </r>
  <r>
    <x v="0"/>
    <x v="0"/>
    <x v="3"/>
    <x v="11"/>
    <x v="8"/>
    <x v="13"/>
    <x v="6"/>
    <n v="5"/>
  </r>
  <r>
    <x v="0"/>
    <x v="0"/>
    <x v="3"/>
    <x v="11"/>
    <x v="8"/>
    <x v="13"/>
    <x v="10"/>
    <n v="3"/>
  </r>
  <r>
    <x v="0"/>
    <x v="0"/>
    <x v="3"/>
    <x v="11"/>
    <x v="8"/>
    <x v="13"/>
    <x v="1"/>
    <n v="2"/>
  </r>
  <r>
    <x v="0"/>
    <x v="0"/>
    <x v="3"/>
    <x v="11"/>
    <x v="8"/>
    <x v="2"/>
    <x v="7"/>
    <n v="13"/>
  </r>
  <r>
    <x v="0"/>
    <x v="0"/>
    <x v="3"/>
    <x v="11"/>
    <x v="8"/>
    <x v="2"/>
    <x v="6"/>
    <n v="6"/>
  </r>
  <r>
    <x v="0"/>
    <x v="0"/>
    <x v="3"/>
    <x v="11"/>
    <x v="8"/>
    <x v="2"/>
    <x v="10"/>
    <n v="5"/>
  </r>
  <r>
    <x v="0"/>
    <x v="0"/>
    <x v="3"/>
    <x v="11"/>
    <x v="8"/>
    <x v="10"/>
    <x v="7"/>
    <n v="21"/>
  </r>
  <r>
    <x v="0"/>
    <x v="0"/>
    <x v="3"/>
    <x v="11"/>
    <x v="8"/>
    <x v="10"/>
    <x v="6"/>
    <n v="7"/>
  </r>
  <r>
    <x v="0"/>
    <x v="0"/>
    <x v="3"/>
    <x v="11"/>
    <x v="8"/>
    <x v="3"/>
    <x v="7"/>
    <n v="16"/>
  </r>
  <r>
    <x v="0"/>
    <x v="0"/>
    <x v="3"/>
    <x v="11"/>
    <x v="8"/>
    <x v="3"/>
    <x v="6"/>
    <n v="3"/>
  </r>
  <r>
    <x v="0"/>
    <x v="0"/>
    <x v="3"/>
    <x v="11"/>
    <x v="8"/>
    <x v="4"/>
    <x v="8"/>
    <n v="69"/>
  </r>
  <r>
    <x v="0"/>
    <x v="0"/>
    <x v="3"/>
    <x v="11"/>
    <x v="8"/>
    <x v="4"/>
    <x v="7"/>
    <n v="13"/>
  </r>
  <r>
    <x v="0"/>
    <x v="0"/>
    <x v="3"/>
    <x v="11"/>
    <x v="8"/>
    <x v="5"/>
    <x v="8"/>
    <n v="42"/>
  </r>
  <r>
    <x v="0"/>
    <x v="0"/>
    <x v="3"/>
    <x v="11"/>
    <x v="8"/>
    <x v="5"/>
    <x v="7"/>
    <n v="22"/>
  </r>
  <r>
    <x v="0"/>
    <x v="0"/>
    <x v="3"/>
    <x v="11"/>
    <x v="8"/>
    <x v="11"/>
    <x v="8"/>
    <n v="24"/>
  </r>
  <r>
    <x v="0"/>
    <x v="0"/>
    <x v="3"/>
    <x v="11"/>
    <x v="8"/>
    <x v="6"/>
    <x v="8"/>
    <n v="2"/>
  </r>
  <r>
    <x v="0"/>
    <x v="0"/>
    <x v="3"/>
    <x v="11"/>
    <x v="8"/>
    <x v="12"/>
    <x v="4"/>
    <n v="1"/>
  </r>
  <r>
    <x v="0"/>
    <x v="0"/>
    <x v="3"/>
    <x v="11"/>
    <x v="8"/>
    <x v="7"/>
    <x v="10"/>
    <n v="3"/>
  </r>
  <r>
    <x v="0"/>
    <x v="0"/>
    <x v="3"/>
    <x v="11"/>
    <x v="8"/>
    <x v="7"/>
    <x v="1"/>
    <n v="1"/>
  </r>
  <r>
    <x v="0"/>
    <x v="0"/>
    <x v="3"/>
    <x v="11"/>
    <x v="8"/>
    <x v="1"/>
    <x v="9"/>
    <n v="1"/>
  </r>
  <r>
    <x v="0"/>
    <x v="0"/>
    <x v="3"/>
    <x v="11"/>
    <x v="8"/>
    <x v="8"/>
    <x v="10"/>
    <n v="3"/>
  </r>
  <r>
    <x v="0"/>
    <x v="0"/>
    <x v="3"/>
    <x v="11"/>
    <x v="6"/>
    <x v="0"/>
    <x v="9"/>
    <n v="5"/>
  </r>
  <r>
    <x v="0"/>
    <x v="0"/>
    <x v="3"/>
    <x v="11"/>
    <x v="6"/>
    <x v="0"/>
    <x v="3"/>
    <n v="4"/>
  </r>
  <r>
    <x v="0"/>
    <x v="0"/>
    <x v="3"/>
    <x v="12"/>
    <x v="4"/>
    <x v="1"/>
    <x v="6"/>
    <n v="3"/>
  </r>
  <r>
    <x v="0"/>
    <x v="0"/>
    <x v="3"/>
    <x v="12"/>
    <x v="4"/>
    <x v="0"/>
    <x v="6"/>
    <n v="7"/>
  </r>
  <r>
    <x v="0"/>
    <x v="0"/>
    <x v="3"/>
    <x v="12"/>
    <x v="4"/>
    <x v="0"/>
    <x v="10"/>
    <n v="7"/>
  </r>
  <r>
    <x v="0"/>
    <x v="0"/>
    <x v="3"/>
    <x v="12"/>
    <x v="6"/>
    <x v="15"/>
    <x v="6"/>
    <n v="3"/>
  </r>
  <r>
    <x v="0"/>
    <x v="0"/>
    <x v="3"/>
    <x v="12"/>
    <x v="6"/>
    <x v="15"/>
    <x v="10"/>
    <n v="2"/>
  </r>
  <r>
    <x v="0"/>
    <x v="0"/>
    <x v="3"/>
    <x v="12"/>
    <x v="6"/>
    <x v="14"/>
    <x v="6"/>
    <n v="5"/>
  </r>
  <r>
    <x v="0"/>
    <x v="0"/>
    <x v="3"/>
    <x v="12"/>
    <x v="6"/>
    <x v="14"/>
    <x v="10"/>
    <n v="1"/>
  </r>
  <r>
    <x v="0"/>
    <x v="0"/>
    <x v="3"/>
    <x v="12"/>
    <x v="6"/>
    <x v="14"/>
    <x v="1"/>
    <n v="1"/>
  </r>
  <r>
    <x v="0"/>
    <x v="0"/>
    <x v="3"/>
    <x v="12"/>
    <x v="6"/>
    <x v="13"/>
    <x v="6"/>
    <n v="2"/>
  </r>
  <r>
    <x v="0"/>
    <x v="0"/>
    <x v="3"/>
    <x v="12"/>
    <x v="6"/>
    <x v="13"/>
    <x v="10"/>
    <n v="2"/>
  </r>
  <r>
    <x v="0"/>
    <x v="0"/>
    <x v="3"/>
    <x v="12"/>
    <x v="6"/>
    <x v="2"/>
    <x v="11"/>
    <n v="1"/>
  </r>
  <r>
    <x v="0"/>
    <x v="0"/>
    <x v="3"/>
    <x v="12"/>
    <x v="6"/>
    <x v="5"/>
    <x v="3"/>
    <n v="1"/>
  </r>
  <r>
    <x v="0"/>
    <x v="0"/>
    <x v="3"/>
    <x v="12"/>
    <x v="6"/>
    <x v="11"/>
    <x v="3"/>
    <n v="2"/>
  </r>
  <r>
    <x v="0"/>
    <x v="0"/>
    <x v="3"/>
    <x v="12"/>
    <x v="6"/>
    <x v="6"/>
    <x v="9"/>
    <n v="2"/>
  </r>
  <r>
    <x v="0"/>
    <x v="0"/>
    <x v="3"/>
    <x v="12"/>
    <x v="6"/>
    <x v="9"/>
    <x v="12"/>
    <n v="1"/>
  </r>
  <r>
    <x v="0"/>
    <x v="0"/>
    <x v="3"/>
    <x v="12"/>
    <x v="6"/>
    <x v="9"/>
    <x v="9"/>
    <n v="1"/>
  </r>
  <r>
    <x v="0"/>
    <x v="0"/>
    <x v="3"/>
    <x v="12"/>
    <x v="6"/>
    <x v="12"/>
    <x v="12"/>
    <n v="2"/>
  </r>
  <r>
    <x v="0"/>
    <x v="0"/>
    <x v="3"/>
    <x v="12"/>
    <x v="6"/>
    <x v="12"/>
    <x v="9"/>
    <n v="1"/>
  </r>
  <r>
    <x v="0"/>
    <x v="0"/>
    <x v="3"/>
    <x v="12"/>
    <x v="6"/>
    <x v="1"/>
    <x v="1"/>
    <n v="1"/>
  </r>
  <r>
    <x v="0"/>
    <x v="0"/>
    <x v="3"/>
    <x v="12"/>
    <x v="6"/>
    <x v="1"/>
    <x v="9"/>
    <n v="3"/>
  </r>
  <r>
    <x v="0"/>
    <x v="0"/>
    <x v="3"/>
    <x v="12"/>
    <x v="6"/>
    <x v="1"/>
    <x v="3"/>
    <n v="1"/>
  </r>
  <r>
    <x v="0"/>
    <x v="0"/>
    <x v="3"/>
    <x v="12"/>
    <x v="6"/>
    <x v="0"/>
    <x v="1"/>
    <n v="1"/>
  </r>
  <r>
    <x v="0"/>
    <x v="0"/>
    <x v="3"/>
    <x v="12"/>
    <x v="6"/>
    <x v="0"/>
    <x v="12"/>
    <n v="1"/>
  </r>
  <r>
    <x v="0"/>
    <x v="0"/>
    <x v="3"/>
    <x v="12"/>
    <x v="6"/>
    <x v="0"/>
    <x v="9"/>
    <n v="2"/>
  </r>
  <r>
    <x v="0"/>
    <x v="0"/>
    <x v="3"/>
    <x v="12"/>
    <x v="10"/>
    <x v="0"/>
    <x v="1"/>
    <n v="2"/>
  </r>
  <r>
    <x v="0"/>
    <x v="0"/>
    <x v="3"/>
    <x v="13"/>
    <x v="12"/>
    <x v="0"/>
    <x v="3"/>
    <n v="1"/>
  </r>
  <r>
    <x v="0"/>
    <x v="0"/>
    <x v="3"/>
    <x v="13"/>
    <x v="15"/>
    <x v="7"/>
    <x v="10"/>
    <n v="1"/>
  </r>
  <r>
    <x v="0"/>
    <x v="0"/>
    <x v="3"/>
    <x v="13"/>
    <x v="15"/>
    <x v="1"/>
    <x v="12"/>
    <n v="1"/>
  </r>
  <r>
    <x v="0"/>
    <x v="0"/>
    <x v="3"/>
    <x v="13"/>
    <x v="15"/>
    <x v="0"/>
    <x v="12"/>
    <n v="1"/>
  </r>
  <r>
    <x v="0"/>
    <x v="0"/>
    <x v="3"/>
    <x v="13"/>
    <x v="15"/>
    <x v="0"/>
    <x v="9"/>
    <n v="1"/>
  </r>
  <r>
    <x v="0"/>
    <x v="0"/>
    <x v="3"/>
    <x v="13"/>
    <x v="15"/>
    <x v="0"/>
    <x v="4"/>
    <n v="1"/>
  </r>
  <r>
    <x v="0"/>
    <x v="0"/>
    <x v="3"/>
    <x v="13"/>
    <x v="7"/>
    <x v="6"/>
    <x v="12"/>
    <n v="1"/>
  </r>
  <r>
    <x v="0"/>
    <x v="0"/>
    <x v="3"/>
    <x v="13"/>
    <x v="7"/>
    <x v="9"/>
    <x v="12"/>
    <n v="1"/>
  </r>
  <r>
    <x v="0"/>
    <x v="0"/>
    <x v="3"/>
    <x v="13"/>
    <x v="7"/>
    <x v="9"/>
    <x v="4"/>
    <n v="1"/>
  </r>
  <r>
    <x v="0"/>
    <x v="0"/>
    <x v="3"/>
    <x v="13"/>
    <x v="17"/>
    <x v="3"/>
    <x v="4"/>
    <n v="1"/>
  </r>
  <r>
    <x v="0"/>
    <x v="0"/>
    <x v="3"/>
    <x v="14"/>
    <x v="2"/>
    <x v="0"/>
    <x v="0"/>
    <n v="1"/>
  </r>
  <r>
    <x v="0"/>
    <x v="0"/>
    <x v="3"/>
    <x v="18"/>
    <x v="4"/>
    <x v="0"/>
    <x v="19"/>
    <n v="1"/>
  </r>
  <r>
    <x v="0"/>
    <x v="0"/>
    <x v="3"/>
    <x v="18"/>
    <x v="5"/>
    <x v="0"/>
    <x v="3"/>
    <n v="1"/>
  </r>
  <r>
    <x v="0"/>
    <x v="0"/>
    <x v="3"/>
    <x v="18"/>
    <x v="5"/>
    <x v="0"/>
    <x v="4"/>
    <n v="1"/>
  </r>
  <r>
    <x v="0"/>
    <x v="0"/>
    <x v="3"/>
    <x v="18"/>
    <x v="13"/>
    <x v="0"/>
    <x v="5"/>
    <n v="2"/>
  </r>
  <r>
    <x v="0"/>
    <x v="0"/>
    <x v="3"/>
    <x v="18"/>
    <x v="3"/>
    <x v="10"/>
    <x v="5"/>
    <n v="1"/>
  </r>
  <r>
    <x v="0"/>
    <x v="0"/>
    <x v="3"/>
    <x v="18"/>
    <x v="3"/>
    <x v="4"/>
    <x v="3"/>
    <n v="1"/>
  </r>
  <r>
    <x v="0"/>
    <x v="0"/>
    <x v="3"/>
    <x v="18"/>
    <x v="3"/>
    <x v="0"/>
    <x v="10"/>
    <n v="1"/>
  </r>
  <r>
    <x v="0"/>
    <x v="0"/>
    <x v="3"/>
    <x v="18"/>
    <x v="3"/>
    <x v="0"/>
    <x v="1"/>
    <n v="1"/>
  </r>
  <r>
    <x v="0"/>
    <x v="0"/>
    <x v="3"/>
    <x v="18"/>
    <x v="3"/>
    <x v="0"/>
    <x v="12"/>
    <n v="1"/>
  </r>
  <r>
    <x v="0"/>
    <x v="0"/>
    <x v="2"/>
    <x v="0"/>
    <x v="18"/>
    <x v="0"/>
    <x v="17"/>
    <n v="1"/>
  </r>
  <r>
    <x v="0"/>
    <x v="0"/>
    <x v="2"/>
    <x v="0"/>
    <x v="18"/>
    <x v="0"/>
    <x v="19"/>
    <n v="9"/>
  </r>
  <r>
    <x v="0"/>
    <x v="0"/>
    <x v="2"/>
    <x v="1"/>
    <x v="4"/>
    <x v="0"/>
    <x v="19"/>
    <n v="66"/>
  </r>
  <r>
    <x v="0"/>
    <x v="0"/>
    <x v="2"/>
    <x v="1"/>
    <x v="13"/>
    <x v="0"/>
    <x v="3"/>
    <n v="1"/>
  </r>
  <r>
    <x v="0"/>
    <x v="0"/>
    <x v="2"/>
    <x v="1"/>
    <x v="13"/>
    <x v="0"/>
    <x v="4"/>
    <n v="2"/>
  </r>
  <r>
    <x v="0"/>
    <x v="0"/>
    <x v="2"/>
    <x v="1"/>
    <x v="13"/>
    <x v="0"/>
    <x v="5"/>
    <n v="1"/>
  </r>
  <r>
    <x v="0"/>
    <x v="0"/>
    <x v="2"/>
    <x v="1"/>
    <x v="13"/>
    <x v="0"/>
    <x v="2"/>
    <n v="1"/>
  </r>
  <r>
    <x v="0"/>
    <x v="0"/>
    <x v="2"/>
    <x v="1"/>
    <x v="15"/>
    <x v="0"/>
    <x v="2"/>
    <n v="1"/>
  </r>
  <r>
    <x v="0"/>
    <x v="0"/>
    <x v="2"/>
    <x v="1"/>
    <x v="15"/>
    <x v="0"/>
    <x v="0"/>
    <n v="1"/>
  </r>
  <r>
    <x v="0"/>
    <x v="0"/>
    <x v="2"/>
    <x v="1"/>
    <x v="8"/>
    <x v="0"/>
    <x v="9"/>
    <n v="3"/>
  </r>
  <r>
    <x v="0"/>
    <x v="0"/>
    <x v="2"/>
    <x v="1"/>
    <x v="11"/>
    <x v="0"/>
    <x v="5"/>
    <n v="1"/>
  </r>
  <r>
    <x v="0"/>
    <x v="0"/>
    <x v="2"/>
    <x v="2"/>
    <x v="0"/>
    <x v="0"/>
    <x v="5"/>
    <n v="2"/>
  </r>
  <r>
    <x v="0"/>
    <x v="0"/>
    <x v="2"/>
    <x v="2"/>
    <x v="0"/>
    <x v="0"/>
    <x v="11"/>
    <n v="1"/>
  </r>
  <r>
    <x v="0"/>
    <x v="0"/>
    <x v="2"/>
    <x v="2"/>
    <x v="2"/>
    <x v="0"/>
    <x v="19"/>
    <n v="3"/>
  </r>
  <r>
    <x v="0"/>
    <x v="0"/>
    <x v="2"/>
    <x v="2"/>
    <x v="5"/>
    <x v="0"/>
    <x v="12"/>
    <n v="1"/>
  </r>
  <r>
    <x v="0"/>
    <x v="0"/>
    <x v="2"/>
    <x v="2"/>
    <x v="10"/>
    <x v="8"/>
    <x v="18"/>
    <n v="1"/>
  </r>
  <r>
    <x v="0"/>
    <x v="0"/>
    <x v="2"/>
    <x v="2"/>
    <x v="10"/>
    <x v="0"/>
    <x v="17"/>
    <n v="4"/>
  </r>
  <r>
    <x v="0"/>
    <x v="0"/>
    <x v="2"/>
    <x v="2"/>
    <x v="10"/>
    <x v="0"/>
    <x v="19"/>
    <n v="215"/>
  </r>
  <r>
    <x v="0"/>
    <x v="0"/>
    <x v="2"/>
    <x v="3"/>
    <x v="0"/>
    <x v="0"/>
    <x v="5"/>
    <n v="1"/>
  </r>
  <r>
    <x v="0"/>
    <x v="0"/>
    <x v="2"/>
    <x v="3"/>
    <x v="0"/>
    <x v="0"/>
    <x v="2"/>
    <n v="7"/>
  </r>
  <r>
    <x v="0"/>
    <x v="0"/>
    <x v="2"/>
    <x v="3"/>
    <x v="0"/>
    <x v="0"/>
    <x v="0"/>
    <n v="44"/>
  </r>
  <r>
    <x v="0"/>
    <x v="0"/>
    <x v="2"/>
    <x v="3"/>
    <x v="0"/>
    <x v="0"/>
    <x v="18"/>
    <n v="19"/>
  </r>
  <r>
    <x v="0"/>
    <x v="0"/>
    <x v="2"/>
    <x v="3"/>
    <x v="2"/>
    <x v="0"/>
    <x v="19"/>
    <n v="4"/>
  </r>
  <r>
    <x v="0"/>
    <x v="0"/>
    <x v="2"/>
    <x v="3"/>
    <x v="1"/>
    <x v="0"/>
    <x v="12"/>
    <n v="12"/>
  </r>
  <r>
    <x v="0"/>
    <x v="0"/>
    <x v="2"/>
    <x v="3"/>
    <x v="1"/>
    <x v="0"/>
    <x v="9"/>
    <n v="17"/>
  </r>
  <r>
    <x v="0"/>
    <x v="0"/>
    <x v="2"/>
    <x v="3"/>
    <x v="1"/>
    <x v="0"/>
    <x v="3"/>
    <n v="17"/>
  </r>
  <r>
    <x v="0"/>
    <x v="0"/>
    <x v="2"/>
    <x v="3"/>
    <x v="1"/>
    <x v="0"/>
    <x v="4"/>
    <n v="5"/>
  </r>
  <r>
    <x v="0"/>
    <x v="0"/>
    <x v="2"/>
    <x v="3"/>
    <x v="5"/>
    <x v="1"/>
    <x v="3"/>
    <n v="1"/>
  </r>
  <r>
    <x v="0"/>
    <x v="0"/>
    <x v="2"/>
    <x v="3"/>
    <x v="10"/>
    <x v="0"/>
    <x v="2"/>
    <n v="1"/>
  </r>
  <r>
    <x v="0"/>
    <x v="0"/>
    <x v="2"/>
    <x v="3"/>
    <x v="10"/>
    <x v="0"/>
    <x v="13"/>
    <n v="2"/>
  </r>
  <r>
    <x v="0"/>
    <x v="0"/>
    <x v="2"/>
    <x v="3"/>
    <x v="19"/>
    <x v="0"/>
    <x v="2"/>
    <n v="1"/>
  </r>
  <r>
    <x v="0"/>
    <x v="0"/>
    <x v="2"/>
    <x v="4"/>
    <x v="12"/>
    <x v="0"/>
    <x v="17"/>
    <n v="5"/>
  </r>
  <r>
    <x v="0"/>
    <x v="0"/>
    <x v="2"/>
    <x v="4"/>
    <x v="12"/>
    <x v="0"/>
    <x v="19"/>
    <n v="49"/>
  </r>
  <r>
    <x v="0"/>
    <x v="0"/>
    <x v="2"/>
    <x v="4"/>
    <x v="11"/>
    <x v="0"/>
    <x v="19"/>
    <n v="19"/>
  </r>
  <r>
    <x v="0"/>
    <x v="0"/>
    <x v="2"/>
    <x v="4"/>
    <x v="19"/>
    <x v="0"/>
    <x v="3"/>
    <n v="1"/>
  </r>
  <r>
    <x v="0"/>
    <x v="0"/>
    <x v="2"/>
    <x v="4"/>
    <x v="19"/>
    <x v="0"/>
    <x v="4"/>
    <n v="2"/>
  </r>
  <r>
    <x v="0"/>
    <x v="0"/>
    <x v="2"/>
    <x v="5"/>
    <x v="0"/>
    <x v="0"/>
    <x v="9"/>
    <n v="2"/>
  </r>
  <r>
    <x v="0"/>
    <x v="0"/>
    <x v="2"/>
    <x v="5"/>
    <x v="0"/>
    <x v="0"/>
    <x v="0"/>
    <n v="1"/>
  </r>
  <r>
    <x v="0"/>
    <x v="0"/>
    <x v="2"/>
    <x v="5"/>
    <x v="16"/>
    <x v="0"/>
    <x v="0"/>
    <n v="1"/>
  </r>
  <r>
    <x v="0"/>
    <x v="0"/>
    <x v="2"/>
    <x v="5"/>
    <x v="16"/>
    <x v="0"/>
    <x v="18"/>
    <n v="1"/>
  </r>
  <r>
    <x v="0"/>
    <x v="0"/>
    <x v="2"/>
    <x v="5"/>
    <x v="13"/>
    <x v="0"/>
    <x v="19"/>
    <n v="14"/>
  </r>
  <r>
    <x v="0"/>
    <x v="0"/>
    <x v="2"/>
    <x v="5"/>
    <x v="8"/>
    <x v="0"/>
    <x v="14"/>
    <n v="1"/>
  </r>
  <r>
    <x v="0"/>
    <x v="0"/>
    <x v="2"/>
    <x v="5"/>
    <x v="10"/>
    <x v="0"/>
    <x v="3"/>
    <n v="1"/>
  </r>
  <r>
    <x v="0"/>
    <x v="0"/>
    <x v="2"/>
    <x v="5"/>
    <x v="10"/>
    <x v="0"/>
    <x v="4"/>
    <n v="1"/>
  </r>
  <r>
    <x v="0"/>
    <x v="0"/>
    <x v="2"/>
    <x v="5"/>
    <x v="10"/>
    <x v="0"/>
    <x v="0"/>
    <n v="1"/>
  </r>
  <r>
    <x v="0"/>
    <x v="0"/>
    <x v="2"/>
    <x v="5"/>
    <x v="10"/>
    <x v="0"/>
    <x v="18"/>
    <n v="1"/>
  </r>
  <r>
    <x v="0"/>
    <x v="0"/>
    <x v="2"/>
    <x v="6"/>
    <x v="12"/>
    <x v="0"/>
    <x v="13"/>
    <n v="1"/>
  </r>
  <r>
    <x v="0"/>
    <x v="0"/>
    <x v="2"/>
    <x v="6"/>
    <x v="12"/>
    <x v="0"/>
    <x v="11"/>
    <n v="1"/>
  </r>
  <r>
    <x v="0"/>
    <x v="0"/>
    <x v="2"/>
    <x v="6"/>
    <x v="12"/>
    <x v="0"/>
    <x v="14"/>
    <n v="4"/>
  </r>
  <r>
    <x v="0"/>
    <x v="0"/>
    <x v="2"/>
    <x v="6"/>
    <x v="12"/>
    <x v="0"/>
    <x v="17"/>
    <n v="5"/>
  </r>
  <r>
    <x v="0"/>
    <x v="0"/>
    <x v="2"/>
    <x v="6"/>
    <x v="6"/>
    <x v="0"/>
    <x v="4"/>
    <n v="1"/>
  </r>
  <r>
    <x v="0"/>
    <x v="0"/>
    <x v="2"/>
    <x v="6"/>
    <x v="18"/>
    <x v="0"/>
    <x v="2"/>
    <n v="20"/>
  </r>
  <r>
    <x v="0"/>
    <x v="0"/>
    <x v="2"/>
    <x v="6"/>
    <x v="18"/>
    <x v="0"/>
    <x v="13"/>
    <n v="28"/>
  </r>
  <r>
    <x v="0"/>
    <x v="0"/>
    <x v="2"/>
    <x v="6"/>
    <x v="18"/>
    <x v="0"/>
    <x v="11"/>
    <n v="16"/>
  </r>
  <r>
    <x v="0"/>
    <x v="0"/>
    <x v="2"/>
    <x v="6"/>
    <x v="18"/>
    <x v="0"/>
    <x v="14"/>
    <n v="12"/>
  </r>
  <r>
    <x v="0"/>
    <x v="0"/>
    <x v="2"/>
    <x v="6"/>
    <x v="18"/>
    <x v="0"/>
    <x v="17"/>
    <n v="2"/>
  </r>
  <r>
    <x v="0"/>
    <x v="0"/>
    <x v="2"/>
    <x v="6"/>
    <x v="18"/>
    <x v="0"/>
    <x v="19"/>
    <n v="4"/>
  </r>
  <r>
    <x v="0"/>
    <x v="0"/>
    <x v="2"/>
    <x v="9"/>
    <x v="12"/>
    <x v="0"/>
    <x v="4"/>
    <n v="1"/>
  </r>
  <r>
    <x v="0"/>
    <x v="0"/>
    <x v="2"/>
    <x v="9"/>
    <x v="15"/>
    <x v="0"/>
    <x v="3"/>
    <n v="1"/>
  </r>
  <r>
    <x v="0"/>
    <x v="0"/>
    <x v="2"/>
    <x v="9"/>
    <x v="8"/>
    <x v="0"/>
    <x v="0"/>
    <n v="2"/>
  </r>
  <r>
    <x v="0"/>
    <x v="0"/>
    <x v="2"/>
    <x v="9"/>
    <x v="3"/>
    <x v="0"/>
    <x v="18"/>
    <n v="1"/>
  </r>
  <r>
    <x v="0"/>
    <x v="0"/>
    <x v="2"/>
    <x v="9"/>
    <x v="9"/>
    <x v="0"/>
    <x v="0"/>
    <n v="7"/>
  </r>
  <r>
    <x v="0"/>
    <x v="0"/>
    <x v="2"/>
    <x v="9"/>
    <x v="9"/>
    <x v="0"/>
    <x v="18"/>
    <n v="6"/>
  </r>
  <r>
    <x v="0"/>
    <x v="0"/>
    <x v="2"/>
    <x v="9"/>
    <x v="11"/>
    <x v="0"/>
    <x v="11"/>
    <n v="1"/>
  </r>
  <r>
    <x v="0"/>
    <x v="0"/>
    <x v="2"/>
    <x v="9"/>
    <x v="11"/>
    <x v="0"/>
    <x v="14"/>
    <n v="1"/>
  </r>
  <r>
    <x v="0"/>
    <x v="0"/>
    <x v="2"/>
    <x v="7"/>
    <x v="12"/>
    <x v="0"/>
    <x v="12"/>
    <n v="26"/>
  </r>
  <r>
    <x v="0"/>
    <x v="0"/>
    <x v="2"/>
    <x v="7"/>
    <x v="12"/>
    <x v="0"/>
    <x v="9"/>
    <n v="28"/>
  </r>
  <r>
    <x v="0"/>
    <x v="0"/>
    <x v="2"/>
    <x v="7"/>
    <x v="12"/>
    <x v="0"/>
    <x v="3"/>
    <n v="22"/>
  </r>
  <r>
    <x v="0"/>
    <x v="0"/>
    <x v="2"/>
    <x v="7"/>
    <x v="12"/>
    <x v="0"/>
    <x v="4"/>
    <n v="10"/>
  </r>
  <r>
    <x v="0"/>
    <x v="0"/>
    <x v="2"/>
    <x v="7"/>
    <x v="12"/>
    <x v="0"/>
    <x v="5"/>
    <n v="5"/>
  </r>
  <r>
    <x v="0"/>
    <x v="0"/>
    <x v="2"/>
    <x v="7"/>
    <x v="12"/>
    <x v="0"/>
    <x v="2"/>
    <n v="3"/>
  </r>
  <r>
    <x v="0"/>
    <x v="0"/>
    <x v="2"/>
    <x v="7"/>
    <x v="12"/>
    <x v="0"/>
    <x v="13"/>
    <n v="2"/>
  </r>
  <r>
    <x v="0"/>
    <x v="0"/>
    <x v="2"/>
    <x v="7"/>
    <x v="12"/>
    <x v="0"/>
    <x v="18"/>
    <n v="1"/>
  </r>
  <r>
    <x v="0"/>
    <x v="0"/>
    <x v="2"/>
    <x v="7"/>
    <x v="13"/>
    <x v="0"/>
    <x v="4"/>
    <n v="2"/>
  </r>
  <r>
    <x v="0"/>
    <x v="0"/>
    <x v="2"/>
    <x v="7"/>
    <x v="13"/>
    <x v="0"/>
    <x v="5"/>
    <n v="1"/>
  </r>
  <r>
    <x v="0"/>
    <x v="0"/>
    <x v="2"/>
    <x v="7"/>
    <x v="6"/>
    <x v="0"/>
    <x v="12"/>
    <n v="1"/>
  </r>
  <r>
    <x v="0"/>
    <x v="0"/>
    <x v="2"/>
    <x v="7"/>
    <x v="11"/>
    <x v="0"/>
    <x v="11"/>
    <n v="1"/>
  </r>
  <r>
    <x v="0"/>
    <x v="0"/>
    <x v="2"/>
    <x v="8"/>
    <x v="10"/>
    <x v="8"/>
    <x v="13"/>
    <n v="1"/>
  </r>
  <r>
    <x v="0"/>
    <x v="0"/>
    <x v="2"/>
    <x v="8"/>
    <x v="11"/>
    <x v="0"/>
    <x v="12"/>
    <n v="19"/>
  </r>
  <r>
    <x v="0"/>
    <x v="0"/>
    <x v="2"/>
    <x v="8"/>
    <x v="11"/>
    <x v="0"/>
    <x v="9"/>
    <n v="19"/>
  </r>
  <r>
    <x v="0"/>
    <x v="0"/>
    <x v="2"/>
    <x v="8"/>
    <x v="11"/>
    <x v="0"/>
    <x v="3"/>
    <n v="10"/>
  </r>
  <r>
    <x v="0"/>
    <x v="0"/>
    <x v="2"/>
    <x v="8"/>
    <x v="11"/>
    <x v="0"/>
    <x v="4"/>
    <n v="6"/>
  </r>
  <r>
    <x v="0"/>
    <x v="0"/>
    <x v="2"/>
    <x v="8"/>
    <x v="11"/>
    <x v="0"/>
    <x v="5"/>
    <n v="2"/>
  </r>
  <r>
    <x v="0"/>
    <x v="0"/>
    <x v="2"/>
    <x v="8"/>
    <x v="11"/>
    <x v="0"/>
    <x v="2"/>
    <n v="1"/>
  </r>
  <r>
    <x v="0"/>
    <x v="0"/>
    <x v="2"/>
    <x v="8"/>
    <x v="11"/>
    <x v="0"/>
    <x v="13"/>
    <n v="2"/>
  </r>
  <r>
    <x v="0"/>
    <x v="0"/>
    <x v="2"/>
    <x v="10"/>
    <x v="0"/>
    <x v="0"/>
    <x v="19"/>
    <n v="51"/>
  </r>
  <r>
    <x v="0"/>
    <x v="0"/>
    <x v="2"/>
    <x v="10"/>
    <x v="15"/>
    <x v="0"/>
    <x v="0"/>
    <n v="5"/>
  </r>
  <r>
    <x v="0"/>
    <x v="0"/>
    <x v="2"/>
    <x v="10"/>
    <x v="15"/>
    <x v="0"/>
    <x v="18"/>
    <n v="6"/>
  </r>
  <r>
    <x v="0"/>
    <x v="0"/>
    <x v="2"/>
    <x v="10"/>
    <x v="3"/>
    <x v="0"/>
    <x v="0"/>
    <n v="21"/>
  </r>
  <r>
    <x v="0"/>
    <x v="0"/>
    <x v="2"/>
    <x v="10"/>
    <x v="3"/>
    <x v="0"/>
    <x v="18"/>
    <n v="11"/>
  </r>
  <r>
    <x v="0"/>
    <x v="0"/>
    <x v="2"/>
    <x v="11"/>
    <x v="4"/>
    <x v="0"/>
    <x v="19"/>
    <n v="2"/>
  </r>
  <r>
    <x v="0"/>
    <x v="0"/>
    <x v="2"/>
    <x v="11"/>
    <x v="16"/>
    <x v="0"/>
    <x v="14"/>
    <n v="1"/>
  </r>
  <r>
    <x v="0"/>
    <x v="0"/>
    <x v="2"/>
    <x v="11"/>
    <x v="1"/>
    <x v="0"/>
    <x v="2"/>
    <n v="1"/>
  </r>
  <r>
    <x v="0"/>
    <x v="0"/>
    <x v="2"/>
    <x v="11"/>
    <x v="1"/>
    <x v="0"/>
    <x v="11"/>
    <n v="3"/>
  </r>
  <r>
    <x v="0"/>
    <x v="0"/>
    <x v="2"/>
    <x v="11"/>
    <x v="7"/>
    <x v="8"/>
    <x v="13"/>
    <n v="1"/>
  </r>
  <r>
    <x v="0"/>
    <x v="0"/>
    <x v="2"/>
    <x v="11"/>
    <x v="18"/>
    <x v="0"/>
    <x v="9"/>
    <n v="1"/>
  </r>
  <r>
    <x v="0"/>
    <x v="0"/>
    <x v="2"/>
    <x v="12"/>
    <x v="0"/>
    <x v="0"/>
    <x v="19"/>
    <n v="60"/>
  </r>
  <r>
    <x v="0"/>
    <x v="0"/>
    <x v="2"/>
    <x v="12"/>
    <x v="15"/>
    <x v="0"/>
    <x v="12"/>
    <n v="33"/>
  </r>
  <r>
    <x v="0"/>
    <x v="0"/>
    <x v="2"/>
    <x v="12"/>
    <x v="15"/>
    <x v="0"/>
    <x v="0"/>
    <n v="24"/>
  </r>
  <r>
    <x v="0"/>
    <x v="0"/>
    <x v="2"/>
    <x v="12"/>
    <x v="15"/>
    <x v="0"/>
    <x v="18"/>
    <n v="12"/>
  </r>
  <r>
    <x v="0"/>
    <x v="0"/>
    <x v="2"/>
    <x v="13"/>
    <x v="13"/>
    <x v="0"/>
    <x v="12"/>
    <n v="7"/>
  </r>
  <r>
    <x v="0"/>
    <x v="0"/>
    <x v="2"/>
    <x v="13"/>
    <x v="13"/>
    <x v="0"/>
    <x v="9"/>
    <n v="3"/>
  </r>
  <r>
    <x v="0"/>
    <x v="0"/>
    <x v="2"/>
    <x v="13"/>
    <x v="14"/>
    <x v="0"/>
    <x v="0"/>
    <n v="1"/>
  </r>
  <r>
    <x v="0"/>
    <x v="0"/>
    <x v="2"/>
    <x v="13"/>
    <x v="15"/>
    <x v="0"/>
    <x v="1"/>
    <n v="1"/>
  </r>
  <r>
    <x v="0"/>
    <x v="0"/>
    <x v="2"/>
    <x v="14"/>
    <x v="4"/>
    <x v="0"/>
    <x v="11"/>
    <n v="1"/>
  </r>
  <r>
    <x v="0"/>
    <x v="0"/>
    <x v="2"/>
    <x v="14"/>
    <x v="13"/>
    <x v="0"/>
    <x v="0"/>
    <n v="1"/>
  </r>
  <r>
    <x v="0"/>
    <x v="0"/>
    <x v="2"/>
    <x v="14"/>
    <x v="14"/>
    <x v="0"/>
    <x v="0"/>
    <n v="17"/>
  </r>
  <r>
    <x v="0"/>
    <x v="0"/>
    <x v="2"/>
    <x v="18"/>
    <x v="0"/>
    <x v="0"/>
    <x v="4"/>
    <n v="1"/>
  </r>
  <r>
    <x v="0"/>
    <x v="0"/>
    <x v="2"/>
    <x v="18"/>
    <x v="0"/>
    <x v="0"/>
    <x v="5"/>
    <n v="1"/>
  </r>
  <r>
    <x v="0"/>
    <x v="0"/>
    <x v="2"/>
    <x v="18"/>
    <x v="0"/>
    <x v="0"/>
    <x v="13"/>
    <n v="1"/>
  </r>
  <r>
    <x v="0"/>
    <x v="0"/>
    <x v="2"/>
    <x v="18"/>
    <x v="0"/>
    <x v="0"/>
    <x v="18"/>
    <n v="6"/>
  </r>
  <r>
    <x v="0"/>
    <x v="0"/>
    <x v="2"/>
    <x v="18"/>
    <x v="2"/>
    <x v="0"/>
    <x v="17"/>
    <n v="2"/>
  </r>
  <r>
    <x v="0"/>
    <x v="0"/>
    <x v="2"/>
    <x v="18"/>
    <x v="2"/>
    <x v="0"/>
    <x v="19"/>
    <n v="1"/>
  </r>
  <r>
    <x v="0"/>
    <x v="0"/>
    <x v="2"/>
    <x v="15"/>
    <x v="0"/>
    <x v="0"/>
    <x v="19"/>
    <n v="1"/>
  </r>
  <r>
    <x v="0"/>
    <x v="0"/>
    <x v="2"/>
    <x v="15"/>
    <x v="12"/>
    <x v="0"/>
    <x v="3"/>
    <n v="2"/>
  </r>
  <r>
    <x v="0"/>
    <x v="0"/>
    <x v="2"/>
    <x v="15"/>
    <x v="12"/>
    <x v="0"/>
    <x v="4"/>
    <n v="4"/>
  </r>
  <r>
    <x v="0"/>
    <x v="0"/>
    <x v="2"/>
    <x v="15"/>
    <x v="12"/>
    <x v="0"/>
    <x v="5"/>
    <n v="4"/>
  </r>
  <r>
    <x v="0"/>
    <x v="0"/>
    <x v="2"/>
    <x v="15"/>
    <x v="12"/>
    <x v="0"/>
    <x v="2"/>
    <n v="4"/>
  </r>
  <r>
    <x v="0"/>
    <x v="0"/>
    <x v="2"/>
    <x v="15"/>
    <x v="5"/>
    <x v="0"/>
    <x v="14"/>
    <n v="1"/>
  </r>
  <r>
    <x v="0"/>
    <x v="0"/>
    <x v="2"/>
    <x v="15"/>
    <x v="5"/>
    <x v="0"/>
    <x v="17"/>
    <n v="9"/>
  </r>
  <r>
    <x v="0"/>
    <x v="0"/>
    <x v="2"/>
    <x v="15"/>
    <x v="5"/>
    <x v="0"/>
    <x v="19"/>
    <n v="56"/>
  </r>
  <r>
    <x v="0"/>
    <x v="0"/>
    <x v="2"/>
    <x v="17"/>
    <x v="1"/>
    <x v="0"/>
    <x v="19"/>
    <n v="14"/>
  </r>
  <r>
    <x v="0"/>
    <x v="0"/>
    <x v="2"/>
    <x v="17"/>
    <x v="14"/>
    <x v="0"/>
    <x v="2"/>
    <n v="1"/>
  </r>
  <r>
    <x v="0"/>
    <x v="0"/>
    <x v="2"/>
    <x v="17"/>
    <x v="14"/>
    <x v="0"/>
    <x v="13"/>
    <n v="3"/>
  </r>
  <r>
    <x v="0"/>
    <x v="0"/>
    <x v="2"/>
    <x v="17"/>
    <x v="3"/>
    <x v="0"/>
    <x v="3"/>
    <n v="3"/>
  </r>
  <r>
    <x v="0"/>
    <x v="0"/>
    <x v="2"/>
    <x v="17"/>
    <x v="3"/>
    <x v="0"/>
    <x v="4"/>
    <n v="3"/>
  </r>
  <r>
    <x v="0"/>
    <x v="0"/>
    <x v="2"/>
    <x v="19"/>
    <x v="2"/>
    <x v="0"/>
    <x v="11"/>
    <n v="2"/>
  </r>
  <r>
    <x v="0"/>
    <x v="0"/>
    <x v="2"/>
    <x v="19"/>
    <x v="2"/>
    <x v="0"/>
    <x v="14"/>
    <n v="2"/>
  </r>
  <r>
    <x v="0"/>
    <x v="0"/>
    <x v="2"/>
    <x v="19"/>
    <x v="2"/>
    <x v="0"/>
    <x v="17"/>
    <n v="1"/>
  </r>
  <r>
    <x v="0"/>
    <x v="0"/>
    <x v="2"/>
    <x v="19"/>
    <x v="4"/>
    <x v="0"/>
    <x v="4"/>
    <n v="1"/>
  </r>
  <r>
    <x v="0"/>
    <x v="0"/>
    <x v="2"/>
    <x v="19"/>
    <x v="16"/>
    <x v="0"/>
    <x v="0"/>
    <n v="1"/>
  </r>
  <r>
    <x v="0"/>
    <x v="0"/>
    <x v="2"/>
    <x v="19"/>
    <x v="16"/>
    <x v="0"/>
    <x v="18"/>
    <n v="5"/>
  </r>
  <r>
    <x v="0"/>
    <x v="0"/>
    <x v="2"/>
    <x v="19"/>
    <x v="10"/>
    <x v="8"/>
    <x v="10"/>
    <n v="1"/>
  </r>
  <r>
    <x v="0"/>
    <x v="0"/>
    <x v="2"/>
    <x v="19"/>
    <x v="10"/>
    <x v="8"/>
    <x v="1"/>
    <n v="8"/>
  </r>
  <r>
    <x v="0"/>
    <x v="0"/>
    <x v="3"/>
    <x v="0"/>
    <x v="5"/>
    <x v="0"/>
    <x v="19"/>
    <n v="1"/>
  </r>
  <r>
    <x v="0"/>
    <x v="0"/>
    <x v="3"/>
    <x v="0"/>
    <x v="14"/>
    <x v="4"/>
    <x v="10"/>
    <n v="2"/>
  </r>
  <r>
    <x v="0"/>
    <x v="0"/>
    <x v="3"/>
    <x v="0"/>
    <x v="14"/>
    <x v="5"/>
    <x v="7"/>
    <n v="3"/>
  </r>
  <r>
    <x v="0"/>
    <x v="0"/>
    <x v="3"/>
    <x v="0"/>
    <x v="14"/>
    <x v="5"/>
    <x v="6"/>
    <n v="6"/>
  </r>
  <r>
    <x v="0"/>
    <x v="0"/>
    <x v="3"/>
    <x v="0"/>
    <x v="14"/>
    <x v="5"/>
    <x v="10"/>
    <n v="1"/>
  </r>
  <r>
    <x v="0"/>
    <x v="0"/>
    <x v="3"/>
    <x v="0"/>
    <x v="14"/>
    <x v="11"/>
    <x v="6"/>
    <n v="19"/>
  </r>
  <r>
    <x v="0"/>
    <x v="0"/>
    <x v="3"/>
    <x v="0"/>
    <x v="14"/>
    <x v="11"/>
    <x v="10"/>
    <n v="1"/>
  </r>
  <r>
    <x v="0"/>
    <x v="0"/>
    <x v="3"/>
    <x v="0"/>
    <x v="14"/>
    <x v="6"/>
    <x v="6"/>
    <n v="17"/>
  </r>
  <r>
    <x v="0"/>
    <x v="0"/>
    <x v="3"/>
    <x v="0"/>
    <x v="14"/>
    <x v="6"/>
    <x v="10"/>
    <n v="1"/>
  </r>
  <r>
    <x v="0"/>
    <x v="0"/>
    <x v="3"/>
    <x v="0"/>
    <x v="14"/>
    <x v="9"/>
    <x v="6"/>
    <n v="11"/>
  </r>
  <r>
    <x v="0"/>
    <x v="0"/>
    <x v="3"/>
    <x v="0"/>
    <x v="14"/>
    <x v="7"/>
    <x v="1"/>
    <n v="1"/>
  </r>
  <r>
    <x v="0"/>
    <x v="0"/>
    <x v="3"/>
    <x v="0"/>
    <x v="14"/>
    <x v="8"/>
    <x v="1"/>
    <n v="11"/>
  </r>
  <r>
    <x v="0"/>
    <x v="0"/>
    <x v="3"/>
    <x v="0"/>
    <x v="15"/>
    <x v="0"/>
    <x v="5"/>
    <n v="2"/>
  </r>
  <r>
    <x v="0"/>
    <x v="0"/>
    <x v="3"/>
    <x v="0"/>
    <x v="15"/>
    <x v="0"/>
    <x v="2"/>
    <n v="1"/>
  </r>
  <r>
    <x v="0"/>
    <x v="0"/>
    <x v="3"/>
    <x v="0"/>
    <x v="15"/>
    <x v="0"/>
    <x v="13"/>
    <n v="1"/>
  </r>
  <r>
    <x v="0"/>
    <x v="0"/>
    <x v="3"/>
    <x v="0"/>
    <x v="15"/>
    <x v="0"/>
    <x v="11"/>
    <n v="1"/>
  </r>
  <r>
    <x v="0"/>
    <x v="0"/>
    <x v="3"/>
    <x v="0"/>
    <x v="7"/>
    <x v="7"/>
    <x v="10"/>
    <n v="3"/>
  </r>
  <r>
    <x v="0"/>
    <x v="0"/>
    <x v="3"/>
    <x v="0"/>
    <x v="10"/>
    <x v="0"/>
    <x v="3"/>
    <n v="1"/>
  </r>
  <r>
    <x v="0"/>
    <x v="0"/>
    <x v="3"/>
    <x v="0"/>
    <x v="11"/>
    <x v="0"/>
    <x v="2"/>
    <n v="2"/>
  </r>
  <r>
    <x v="0"/>
    <x v="0"/>
    <x v="3"/>
    <x v="0"/>
    <x v="11"/>
    <x v="0"/>
    <x v="13"/>
    <n v="1"/>
  </r>
  <r>
    <x v="0"/>
    <x v="0"/>
    <x v="3"/>
    <x v="0"/>
    <x v="11"/>
    <x v="0"/>
    <x v="14"/>
    <n v="2"/>
  </r>
  <r>
    <x v="0"/>
    <x v="0"/>
    <x v="3"/>
    <x v="0"/>
    <x v="11"/>
    <x v="0"/>
    <x v="17"/>
    <n v="1"/>
  </r>
  <r>
    <x v="0"/>
    <x v="0"/>
    <x v="3"/>
    <x v="0"/>
    <x v="11"/>
    <x v="0"/>
    <x v="19"/>
    <n v="11"/>
  </r>
  <r>
    <x v="0"/>
    <x v="0"/>
    <x v="3"/>
    <x v="0"/>
    <x v="17"/>
    <x v="0"/>
    <x v="0"/>
    <n v="2"/>
  </r>
  <r>
    <x v="0"/>
    <x v="0"/>
    <x v="3"/>
    <x v="0"/>
    <x v="17"/>
    <x v="0"/>
    <x v="18"/>
    <n v="1"/>
  </r>
  <r>
    <x v="0"/>
    <x v="0"/>
    <x v="3"/>
    <x v="0"/>
    <x v="19"/>
    <x v="10"/>
    <x v="11"/>
    <n v="1"/>
  </r>
  <r>
    <x v="0"/>
    <x v="0"/>
    <x v="3"/>
    <x v="15"/>
    <x v="18"/>
    <x v="1"/>
    <x v="10"/>
    <n v="1"/>
  </r>
  <r>
    <x v="0"/>
    <x v="0"/>
    <x v="3"/>
    <x v="16"/>
    <x v="16"/>
    <x v="0"/>
    <x v="2"/>
    <n v="1"/>
  </r>
  <r>
    <x v="0"/>
    <x v="0"/>
    <x v="3"/>
    <x v="16"/>
    <x v="16"/>
    <x v="0"/>
    <x v="13"/>
    <n v="1"/>
  </r>
  <r>
    <x v="0"/>
    <x v="0"/>
    <x v="3"/>
    <x v="16"/>
    <x v="16"/>
    <x v="0"/>
    <x v="11"/>
    <n v="3"/>
  </r>
  <r>
    <x v="0"/>
    <x v="0"/>
    <x v="3"/>
    <x v="16"/>
    <x v="16"/>
    <x v="0"/>
    <x v="14"/>
    <n v="5"/>
  </r>
  <r>
    <x v="0"/>
    <x v="0"/>
    <x v="3"/>
    <x v="16"/>
    <x v="16"/>
    <x v="0"/>
    <x v="17"/>
    <n v="2"/>
  </r>
  <r>
    <x v="0"/>
    <x v="0"/>
    <x v="3"/>
    <x v="16"/>
    <x v="16"/>
    <x v="0"/>
    <x v="19"/>
    <n v="1"/>
  </r>
  <r>
    <x v="0"/>
    <x v="0"/>
    <x v="3"/>
    <x v="16"/>
    <x v="1"/>
    <x v="2"/>
    <x v="10"/>
    <n v="1"/>
  </r>
  <r>
    <x v="0"/>
    <x v="0"/>
    <x v="3"/>
    <x v="16"/>
    <x v="1"/>
    <x v="10"/>
    <x v="6"/>
    <n v="3"/>
  </r>
  <r>
    <x v="0"/>
    <x v="0"/>
    <x v="3"/>
    <x v="16"/>
    <x v="1"/>
    <x v="10"/>
    <x v="10"/>
    <n v="2"/>
  </r>
  <r>
    <x v="0"/>
    <x v="0"/>
    <x v="3"/>
    <x v="16"/>
    <x v="1"/>
    <x v="3"/>
    <x v="7"/>
    <n v="3"/>
  </r>
  <r>
    <x v="0"/>
    <x v="0"/>
    <x v="3"/>
    <x v="16"/>
    <x v="1"/>
    <x v="3"/>
    <x v="6"/>
    <n v="2"/>
  </r>
  <r>
    <x v="0"/>
    <x v="0"/>
    <x v="3"/>
    <x v="16"/>
    <x v="1"/>
    <x v="4"/>
    <x v="7"/>
    <n v="12"/>
  </r>
  <r>
    <x v="0"/>
    <x v="0"/>
    <x v="3"/>
    <x v="16"/>
    <x v="1"/>
    <x v="4"/>
    <x v="6"/>
    <n v="4"/>
  </r>
  <r>
    <x v="0"/>
    <x v="0"/>
    <x v="3"/>
    <x v="16"/>
    <x v="1"/>
    <x v="4"/>
    <x v="10"/>
    <n v="1"/>
  </r>
  <r>
    <x v="0"/>
    <x v="0"/>
    <x v="3"/>
    <x v="16"/>
    <x v="1"/>
    <x v="5"/>
    <x v="7"/>
    <n v="7"/>
  </r>
  <r>
    <x v="0"/>
    <x v="0"/>
    <x v="3"/>
    <x v="16"/>
    <x v="1"/>
    <x v="5"/>
    <x v="6"/>
    <n v="2"/>
  </r>
  <r>
    <x v="0"/>
    <x v="0"/>
    <x v="3"/>
    <x v="16"/>
    <x v="1"/>
    <x v="5"/>
    <x v="17"/>
    <n v="1"/>
  </r>
  <r>
    <x v="0"/>
    <x v="0"/>
    <x v="3"/>
    <x v="16"/>
    <x v="1"/>
    <x v="11"/>
    <x v="7"/>
    <n v="2"/>
  </r>
  <r>
    <x v="0"/>
    <x v="0"/>
    <x v="3"/>
    <x v="16"/>
    <x v="1"/>
    <x v="11"/>
    <x v="6"/>
    <n v="3"/>
  </r>
  <r>
    <x v="0"/>
    <x v="0"/>
    <x v="3"/>
    <x v="16"/>
    <x v="1"/>
    <x v="6"/>
    <x v="7"/>
    <n v="1"/>
  </r>
  <r>
    <x v="0"/>
    <x v="0"/>
    <x v="3"/>
    <x v="16"/>
    <x v="1"/>
    <x v="6"/>
    <x v="6"/>
    <n v="1"/>
  </r>
  <r>
    <x v="0"/>
    <x v="0"/>
    <x v="3"/>
    <x v="16"/>
    <x v="1"/>
    <x v="9"/>
    <x v="14"/>
    <n v="1"/>
  </r>
  <r>
    <x v="0"/>
    <x v="0"/>
    <x v="3"/>
    <x v="16"/>
    <x v="10"/>
    <x v="0"/>
    <x v="19"/>
    <n v="2"/>
  </r>
  <r>
    <x v="0"/>
    <x v="0"/>
    <x v="3"/>
    <x v="16"/>
    <x v="19"/>
    <x v="0"/>
    <x v="19"/>
    <n v="1"/>
  </r>
  <r>
    <x v="0"/>
    <x v="0"/>
    <x v="3"/>
    <x v="17"/>
    <x v="0"/>
    <x v="0"/>
    <x v="3"/>
    <n v="2"/>
  </r>
  <r>
    <x v="0"/>
    <x v="0"/>
    <x v="3"/>
    <x v="17"/>
    <x v="10"/>
    <x v="8"/>
    <x v="10"/>
    <n v="2"/>
  </r>
  <r>
    <x v="0"/>
    <x v="0"/>
    <x v="3"/>
    <x v="17"/>
    <x v="17"/>
    <x v="0"/>
    <x v="0"/>
    <n v="1"/>
  </r>
  <r>
    <x v="0"/>
    <x v="0"/>
    <x v="3"/>
    <x v="17"/>
    <x v="18"/>
    <x v="0"/>
    <x v="19"/>
    <n v="1"/>
  </r>
  <r>
    <x v="0"/>
    <x v="0"/>
    <x v="3"/>
    <x v="19"/>
    <x v="0"/>
    <x v="0"/>
    <x v="14"/>
    <n v="1"/>
  </r>
  <r>
    <x v="0"/>
    <x v="0"/>
    <x v="3"/>
    <x v="19"/>
    <x v="12"/>
    <x v="0"/>
    <x v="10"/>
    <n v="111"/>
  </r>
  <r>
    <x v="0"/>
    <x v="0"/>
    <x v="3"/>
    <x v="19"/>
    <x v="12"/>
    <x v="0"/>
    <x v="1"/>
    <n v="74"/>
  </r>
  <r>
    <x v="0"/>
    <x v="0"/>
    <x v="3"/>
    <x v="19"/>
    <x v="12"/>
    <x v="0"/>
    <x v="0"/>
    <n v="3"/>
  </r>
  <r>
    <x v="0"/>
    <x v="0"/>
    <x v="3"/>
    <x v="19"/>
    <x v="12"/>
    <x v="0"/>
    <x v="18"/>
    <n v="3"/>
  </r>
  <r>
    <x v="0"/>
    <x v="0"/>
    <x v="3"/>
    <x v="19"/>
    <x v="1"/>
    <x v="0"/>
    <x v="5"/>
    <n v="1"/>
  </r>
  <r>
    <x v="0"/>
    <x v="0"/>
    <x v="3"/>
    <x v="19"/>
    <x v="7"/>
    <x v="15"/>
    <x v="6"/>
    <n v="1"/>
  </r>
  <r>
    <x v="0"/>
    <x v="0"/>
    <x v="3"/>
    <x v="19"/>
    <x v="9"/>
    <x v="0"/>
    <x v="10"/>
    <n v="4"/>
  </r>
  <r>
    <x v="0"/>
    <x v="0"/>
    <x v="3"/>
    <x v="19"/>
    <x v="10"/>
    <x v="6"/>
    <x v="6"/>
    <n v="1"/>
  </r>
  <r>
    <x v="0"/>
    <x v="0"/>
    <x v="3"/>
    <x v="19"/>
    <x v="10"/>
    <x v="9"/>
    <x v="6"/>
    <n v="4"/>
  </r>
  <r>
    <x v="0"/>
    <x v="0"/>
    <x v="3"/>
    <x v="19"/>
    <x v="10"/>
    <x v="12"/>
    <x v="7"/>
    <n v="2"/>
  </r>
  <r>
    <x v="0"/>
    <x v="0"/>
    <x v="3"/>
    <x v="19"/>
    <x v="10"/>
    <x v="12"/>
    <x v="6"/>
    <n v="4"/>
  </r>
  <r>
    <x v="0"/>
    <x v="0"/>
    <x v="3"/>
    <x v="19"/>
    <x v="10"/>
    <x v="12"/>
    <x v="10"/>
    <n v="1"/>
  </r>
  <r>
    <x v="0"/>
    <x v="0"/>
    <x v="3"/>
    <x v="19"/>
    <x v="10"/>
    <x v="1"/>
    <x v="6"/>
    <n v="3"/>
  </r>
  <r>
    <x v="0"/>
    <x v="0"/>
    <x v="3"/>
    <x v="19"/>
    <x v="10"/>
    <x v="1"/>
    <x v="10"/>
    <n v="1"/>
  </r>
  <r>
    <x v="0"/>
    <x v="0"/>
    <x v="3"/>
    <x v="19"/>
    <x v="10"/>
    <x v="0"/>
    <x v="6"/>
    <n v="1"/>
  </r>
  <r>
    <x v="0"/>
    <x v="0"/>
    <x v="3"/>
    <x v="19"/>
    <x v="10"/>
    <x v="0"/>
    <x v="10"/>
    <n v="11"/>
  </r>
  <r>
    <x v="0"/>
    <x v="0"/>
    <x v="3"/>
    <x v="19"/>
    <x v="11"/>
    <x v="0"/>
    <x v="0"/>
    <n v="1"/>
  </r>
  <r>
    <x v="0"/>
    <x v="0"/>
    <x v="3"/>
    <x v="19"/>
    <x v="11"/>
    <x v="0"/>
    <x v="18"/>
    <n v="6"/>
  </r>
  <r>
    <x v="0"/>
    <x v="0"/>
    <x v="3"/>
    <x v="19"/>
    <x v="18"/>
    <x v="0"/>
    <x v="0"/>
    <n v="1"/>
  </r>
  <r>
    <x v="0"/>
    <x v="0"/>
    <x v="4"/>
    <x v="0"/>
    <x v="1"/>
    <x v="9"/>
    <x v="9"/>
    <n v="1"/>
  </r>
  <r>
    <x v="0"/>
    <x v="0"/>
    <x v="4"/>
    <x v="0"/>
    <x v="1"/>
    <x v="9"/>
    <x v="3"/>
    <n v="2"/>
  </r>
  <r>
    <x v="0"/>
    <x v="0"/>
    <x v="4"/>
    <x v="0"/>
    <x v="1"/>
    <x v="9"/>
    <x v="5"/>
    <n v="1"/>
  </r>
  <r>
    <x v="0"/>
    <x v="0"/>
    <x v="4"/>
    <x v="0"/>
    <x v="1"/>
    <x v="12"/>
    <x v="12"/>
    <n v="2"/>
  </r>
  <r>
    <x v="0"/>
    <x v="0"/>
    <x v="4"/>
    <x v="0"/>
    <x v="1"/>
    <x v="12"/>
    <x v="9"/>
    <n v="1"/>
  </r>
  <r>
    <x v="0"/>
    <x v="0"/>
    <x v="4"/>
    <x v="0"/>
    <x v="1"/>
    <x v="12"/>
    <x v="3"/>
    <n v="2"/>
  </r>
  <r>
    <x v="0"/>
    <x v="0"/>
    <x v="4"/>
    <x v="0"/>
    <x v="1"/>
    <x v="12"/>
    <x v="4"/>
    <n v="1"/>
  </r>
  <r>
    <x v="0"/>
    <x v="0"/>
    <x v="4"/>
    <x v="0"/>
    <x v="1"/>
    <x v="7"/>
    <x v="7"/>
    <n v="102"/>
  </r>
  <r>
    <x v="0"/>
    <x v="0"/>
    <x v="4"/>
    <x v="0"/>
    <x v="1"/>
    <x v="7"/>
    <x v="6"/>
    <n v="11"/>
  </r>
  <r>
    <x v="0"/>
    <x v="0"/>
    <x v="4"/>
    <x v="0"/>
    <x v="1"/>
    <x v="7"/>
    <x v="10"/>
    <n v="10"/>
  </r>
  <r>
    <x v="0"/>
    <x v="0"/>
    <x v="4"/>
    <x v="0"/>
    <x v="1"/>
    <x v="7"/>
    <x v="1"/>
    <n v="2"/>
  </r>
  <r>
    <x v="0"/>
    <x v="0"/>
    <x v="4"/>
    <x v="0"/>
    <x v="1"/>
    <x v="1"/>
    <x v="12"/>
    <n v="3"/>
  </r>
  <r>
    <x v="0"/>
    <x v="0"/>
    <x v="4"/>
    <x v="0"/>
    <x v="1"/>
    <x v="1"/>
    <x v="4"/>
    <n v="2"/>
  </r>
  <r>
    <x v="0"/>
    <x v="0"/>
    <x v="4"/>
    <x v="0"/>
    <x v="1"/>
    <x v="8"/>
    <x v="7"/>
    <n v="50"/>
  </r>
  <r>
    <x v="0"/>
    <x v="0"/>
    <x v="4"/>
    <x v="0"/>
    <x v="1"/>
    <x v="8"/>
    <x v="6"/>
    <n v="65"/>
  </r>
  <r>
    <x v="0"/>
    <x v="0"/>
    <x v="4"/>
    <x v="0"/>
    <x v="1"/>
    <x v="8"/>
    <x v="10"/>
    <n v="14"/>
  </r>
  <r>
    <x v="0"/>
    <x v="0"/>
    <x v="4"/>
    <x v="0"/>
    <x v="1"/>
    <x v="0"/>
    <x v="1"/>
    <n v="122"/>
  </r>
  <r>
    <x v="0"/>
    <x v="0"/>
    <x v="4"/>
    <x v="0"/>
    <x v="1"/>
    <x v="0"/>
    <x v="12"/>
    <n v="79"/>
  </r>
  <r>
    <x v="0"/>
    <x v="0"/>
    <x v="4"/>
    <x v="0"/>
    <x v="1"/>
    <x v="0"/>
    <x v="9"/>
    <n v="55"/>
  </r>
  <r>
    <x v="0"/>
    <x v="0"/>
    <x v="4"/>
    <x v="0"/>
    <x v="1"/>
    <x v="0"/>
    <x v="3"/>
    <n v="23"/>
  </r>
  <r>
    <x v="0"/>
    <x v="0"/>
    <x v="4"/>
    <x v="0"/>
    <x v="8"/>
    <x v="0"/>
    <x v="14"/>
    <n v="1"/>
  </r>
  <r>
    <x v="0"/>
    <x v="0"/>
    <x v="4"/>
    <x v="0"/>
    <x v="10"/>
    <x v="0"/>
    <x v="4"/>
    <n v="2"/>
  </r>
  <r>
    <x v="0"/>
    <x v="0"/>
    <x v="4"/>
    <x v="0"/>
    <x v="10"/>
    <x v="0"/>
    <x v="5"/>
    <n v="1"/>
  </r>
  <r>
    <x v="0"/>
    <x v="0"/>
    <x v="4"/>
    <x v="0"/>
    <x v="10"/>
    <x v="0"/>
    <x v="11"/>
    <n v="1"/>
  </r>
  <r>
    <x v="0"/>
    <x v="0"/>
    <x v="4"/>
    <x v="0"/>
    <x v="19"/>
    <x v="11"/>
    <x v="7"/>
    <n v="5"/>
  </r>
  <r>
    <x v="0"/>
    <x v="0"/>
    <x v="4"/>
    <x v="0"/>
    <x v="19"/>
    <x v="11"/>
    <x v="11"/>
    <n v="1"/>
  </r>
  <r>
    <x v="0"/>
    <x v="0"/>
    <x v="4"/>
    <x v="0"/>
    <x v="19"/>
    <x v="6"/>
    <x v="8"/>
    <n v="17"/>
  </r>
  <r>
    <x v="0"/>
    <x v="0"/>
    <x v="4"/>
    <x v="0"/>
    <x v="19"/>
    <x v="6"/>
    <x v="7"/>
    <n v="6"/>
  </r>
  <r>
    <x v="0"/>
    <x v="0"/>
    <x v="4"/>
    <x v="0"/>
    <x v="19"/>
    <x v="6"/>
    <x v="2"/>
    <n v="1"/>
  </r>
  <r>
    <x v="0"/>
    <x v="0"/>
    <x v="4"/>
    <x v="0"/>
    <x v="19"/>
    <x v="9"/>
    <x v="8"/>
    <n v="15"/>
  </r>
  <r>
    <x v="0"/>
    <x v="0"/>
    <x v="4"/>
    <x v="0"/>
    <x v="19"/>
    <x v="9"/>
    <x v="2"/>
    <n v="1"/>
  </r>
  <r>
    <x v="0"/>
    <x v="0"/>
    <x v="3"/>
    <x v="0"/>
    <x v="19"/>
    <x v="3"/>
    <x v="13"/>
    <n v="1"/>
  </r>
  <r>
    <x v="0"/>
    <x v="0"/>
    <x v="3"/>
    <x v="0"/>
    <x v="19"/>
    <x v="4"/>
    <x v="2"/>
    <n v="1"/>
  </r>
  <r>
    <x v="0"/>
    <x v="0"/>
    <x v="3"/>
    <x v="0"/>
    <x v="19"/>
    <x v="5"/>
    <x v="3"/>
    <n v="1"/>
  </r>
  <r>
    <x v="0"/>
    <x v="0"/>
    <x v="3"/>
    <x v="0"/>
    <x v="19"/>
    <x v="11"/>
    <x v="8"/>
    <n v="5"/>
  </r>
  <r>
    <x v="0"/>
    <x v="0"/>
    <x v="3"/>
    <x v="0"/>
    <x v="19"/>
    <x v="11"/>
    <x v="5"/>
    <n v="1"/>
  </r>
  <r>
    <x v="0"/>
    <x v="0"/>
    <x v="3"/>
    <x v="0"/>
    <x v="19"/>
    <x v="6"/>
    <x v="5"/>
    <n v="1"/>
  </r>
  <r>
    <x v="0"/>
    <x v="0"/>
    <x v="3"/>
    <x v="0"/>
    <x v="19"/>
    <x v="9"/>
    <x v="3"/>
    <n v="1"/>
  </r>
  <r>
    <x v="0"/>
    <x v="0"/>
    <x v="3"/>
    <x v="0"/>
    <x v="19"/>
    <x v="7"/>
    <x v="7"/>
    <n v="5"/>
  </r>
  <r>
    <x v="0"/>
    <x v="0"/>
    <x v="3"/>
    <x v="1"/>
    <x v="0"/>
    <x v="6"/>
    <x v="7"/>
    <n v="1"/>
  </r>
  <r>
    <x v="0"/>
    <x v="0"/>
    <x v="3"/>
    <x v="1"/>
    <x v="0"/>
    <x v="9"/>
    <x v="7"/>
    <n v="3"/>
  </r>
  <r>
    <x v="0"/>
    <x v="0"/>
    <x v="3"/>
    <x v="1"/>
    <x v="0"/>
    <x v="12"/>
    <x v="7"/>
    <n v="5"/>
  </r>
  <r>
    <x v="0"/>
    <x v="0"/>
    <x v="3"/>
    <x v="1"/>
    <x v="0"/>
    <x v="0"/>
    <x v="2"/>
    <n v="1"/>
  </r>
  <r>
    <x v="0"/>
    <x v="0"/>
    <x v="3"/>
    <x v="1"/>
    <x v="16"/>
    <x v="2"/>
    <x v="1"/>
    <n v="2"/>
  </r>
  <r>
    <x v="0"/>
    <x v="0"/>
    <x v="3"/>
    <x v="1"/>
    <x v="16"/>
    <x v="7"/>
    <x v="10"/>
    <n v="1"/>
  </r>
  <r>
    <x v="0"/>
    <x v="0"/>
    <x v="3"/>
    <x v="1"/>
    <x v="16"/>
    <x v="7"/>
    <x v="1"/>
    <n v="1"/>
  </r>
  <r>
    <x v="0"/>
    <x v="0"/>
    <x v="3"/>
    <x v="1"/>
    <x v="16"/>
    <x v="8"/>
    <x v="10"/>
    <n v="4"/>
  </r>
  <r>
    <x v="0"/>
    <x v="0"/>
    <x v="3"/>
    <x v="1"/>
    <x v="16"/>
    <x v="0"/>
    <x v="2"/>
    <n v="1"/>
  </r>
  <r>
    <x v="0"/>
    <x v="0"/>
    <x v="3"/>
    <x v="1"/>
    <x v="8"/>
    <x v="12"/>
    <x v="12"/>
    <n v="1"/>
  </r>
  <r>
    <x v="0"/>
    <x v="0"/>
    <x v="3"/>
    <x v="1"/>
    <x v="8"/>
    <x v="1"/>
    <x v="10"/>
    <n v="1"/>
  </r>
  <r>
    <x v="0"/>
    <x v="0"/>
    <x v="3"/>
    <x v="1"/>
    <x v="8"/>
    <x v="0"/>
    <x v="10"/>
    <n v="1"/>
  </r>
  <r>
    <x v="0"/>
    <x v="0"/>
    <x v="3"/>
    <x v="1"/>
    <x v="8"/>
    <x v="0"/>
    <x v="1"/>
    <n v="2"/>
  </r>
  <r>
    <x v="0"/>
    <x v="0"/>
    <x v="3"/>
    <x v="1"/>
    <x v="8"/>
    <x v="0"/>
    <x v="12"/>
    <n v="2"/>
  </r>
  <r>
    <x v="0"/>
    <x v="0"/>
    <x v="3"/>
    <x v="1"/>
    <x v="3"/>
    <x v="3"/>
    <x v="4"/>
    <n v="1"/>
  </r>
  <r>
    <x v="0"/>
    <x v="0"/>
    <x v="3"/>
    <x v="1"/>
    <x v="3"/>
    <x v="3"/>
    <x v="5"/>
    <n v="1"/>
  </r>
  <r>
    <x v="0"/>
    <x v="0"/>
    <x v="3"/>
    <x v="1"/>
    <x v="3"/>
    <x v="4"/>
    <x v="2"/>
    <n v="1"/>
  </r>
  <r>
    <x v="0"/>
    <x v="0"/>
    <x v="3"/>
    <x v="1"/>
    <x v="3"/>
    <x v="11"/>
    <x v="12"/>
    <n v="1"/>
  </r>
  <r>
    <x v="0"/>
    <x v="0"/>
    <x v="3"/>
    <x v="1"/>
    <x v="3"/>
    <x v="9"/>
    <x v="1"/>
    <n v="1"/>
  </r>
  <r>
    <x v="0"/>
    <x v="0"/>
    <x v="3"/>
    <x v="1"/>
    <x v="3"/>
    <x v="9"/>
    <x v="9"/>
    <n v="1"/>
  </r>
  <r>
    <x v="0"/>
    <x v="0"/>
    <x v="3"/>
    <x v="1"/>
    <x v="3"/>
    <x v="12"/>
    <x v="10"/>
    <n v="1"/>
  </r>
  <r>
    <x v="0"/>
    <x v="0"/>
    <x v="3"/>
    <x v="1"/>
    <x v="3"/>
    <x v="1"/>
    <x v="10"/>
    <n v="1"/>
  </r>
  <r>
    <x v="0"/>
    <x v="0"/>
    <x v="3"/>
    <x v="1"/>
    <x v="7"/>
    <x v="7"/>
    <x v="9"/>
    <n v="1"/>
  </r>
  <r>
    <x v="0"/>
    <x v="0"/>
    <x v="3"/>
    <x v="1"/>
    <x v="7"/>
    <x v="7"/>
    <x v="3"/>
    <n v="2"/>
  </r>
  <r>
    <x v="0"/>
    <x v="0"/>
    <x v="3"/>
    <x v="1"/>
    <x v="7"/>
    <x v="7"/>
    <x v="13"/>
    <n v="1"/>
  </r>
  <r>
    <x v="0"/>
    <x v="0"/>
    <x v="3"/>
    <x v="1"/>
    <x v="7"/>
    <x v="8"/>
    <x v="9"/>
    <n v="2"/>
  </r>
  <r>
    <x v="0"/>
    <x v="0"/>
    <x v="3"/>
    <x v="1"/>
    <x v="7"/>
    <x v="8"/>
    <x v="3"/>
    <n v="2"/>
  </r>
  <r>
    <x v="0"/>
    <x v="0"/>
    <x v="3"/>
    <x v="1"/>
    <x v="7"/>
    <x v="8"/>
    <x v="5"/>
    <n v="1"/>
  </r>
  <r>
    <x v="0"/>
    <x v="0"/>
    <x v="3"/>
    <x v="1"/>
    <x v="7"/>
    <x v="8"/>
    <x v="2"/>
    <n v="1"/>
  </r>
  <r>
    <x v="0"/>
    <x v="0"/>
    <x v="3"/>
    <x v="1"/>
    <x v="17"/>
    <x v="0"/>
    <x v="14"/>
    <n v="1"/>
  </r>
  <r>
    <x v="0"/>
    <x v="0"/>
    <x v="3"/>
    <x v="1"/>
    <x v="17"/>
    <x v="0"/>
    <x v="19"/>
    <n v="3"/>
  </r>
  <r>
    <x v="0"/>
    <x v="0"/>
    <x v="3"/>
    <x v="1"/>
    <x v="18"/>
    <x v="7"/>
    <x v="6"/>
    <n v="1"/>
  </r>
  <r>
    <x v="0"/>
    <x v="0"/>
    <x v="3"/>
    <x v="1"/>
    <x v="18"/>
    <x v="1"/>
    <x v="1"/>
    <n v="1"/>
  </r>
  <r>
    <x v="0"/>
    <x v="0"/>
    <x v="3"/>
    <x v="1"/>
    <x v="18"/>
    <x v="8"/>
    <x v="6"/>
    <n v="5"/>
  </r>
  <r>
    <x v="0"/>
    <x v="0"/>
    <x v="3"/>
    <x v="1"/>
    <x v="18"/>
    <x v="0"/>
    <x v="10"/>
    <n v="4"/>
  </r>
  <r>
    <x v="0"/>
    <x v="0"/>
    <x v="3"/>
    <x v="1"/>
    <x v="18"/>
    <x v="0"/>
    <x v="1"/>
    <n v="7"/>
  </r>
  <r>
    <x v="0"/>
    <x v="0"/>
    <x v="3"/>
    <x v="2"/>
    <x v="5"/>
    <x v="0"/>
    <x v="1"/>
    <n v="2"/>
  </r>
  <r>
    <x v="0"/>
    <x v="0"/>
    <x v="3"/>
    <x v="2"/>
    <x v="5"/>
    <x v="0"/>
    <x v="12"/>
    <n v="1"/>
  </r>
  <r>
    <x v="0"/>
    <x v="0"/>
    <x v="3"/>
    <x v="2"/>
    <x v="5"/>
    <x v="0"/>
    <x v="9"/>
    <n v="1"/>
  </r>
  <r>
    <x v="0"/>
    <x v="0"/>
    <x v="3"/>
    <x v="2"/>
    <x v="13"/>
    <x v="6"/>
    <x v="12"/>
    <n v="1"/>
  </r>
  <r>
    <x v="0"/>
    <x v="0"/>
    <x v="3"/>
    <x v="2"/>
    <x v="13"/>
    <x v="9"/>
    <x v="12"/>
    <n v="1"/>
  </r>
  <r>
    <x v="0"/>
    <x v="0"/>
    <x v="3"/>
    <x v="2"/>
    <x v="13"/>
    <x v="12"/>
    <x v="1"/>
    <n v="1"/>
  </r>
  <r>
    <x v="0"/>
    <x v="0"/>
    <x v="3"/>
    <x v="2"/>
    <x v="13"/>
    <x v="12"/>
    <x v="12"/>
    <n v="1"/>
  </r>
  <r>
    <x v="0"/>
    <x v="0"/>
    <x v="3"/>
    <x v="2"/>
    <x v="8"/>
    <x v="0"/>
    <x v="19"/>
    <n v="16"/>
  </r>
  <r>
    <x v="0"/>
    <x v="0"/>
    <x v="3"/>
    <x v="3"/>
    <x v="16"/>
    <x v="3"/>
    <x v="2"/>
    <n v="1"/>
  </r>
  <r>
    <x v="0"/>
    <x v="0"/>
    <x v="3"/>
    <x v="3"/>
    <x v="16"/>
    <x v="0"/>
    <x v="1"/>
    <n v="2"/>
  </r>
  <r>
    <x v="0"/>
    <x v="0"/>
    <x v="3"/>
    <x v="3"/>
    <x v="16"/>
    <x v="0"/>
    <x v="12"/>
    <n v="2"/>
  </r>
  <r>
    <x v="0"/>
    <x v="0"/>
    <x v="3"/>
    <x v="3"/>
    <x v="16"/>
    <x v="0"/>
    <x v="9"/>
    <n v="1"/>
  </r>
  <r>
    <x v="0"/>
    <x v="0"/>
    <x v="3"/>
    <x v="3"/>
    <x v="1"/>
    <x v="0"/>
    <x v="1"/>
    <n v="3"/>
  </r>
  <r>
    <x v="0"/>
    <x v="0"/>
    <x v="3"/>
    <x v="3"/>
    <x v="3"/>
    <x v="0"/>
    <x v="2"/>
    <n v="1"/>
  </r>
  <r>
    <x v="0"/>
    <x v="0"/>
    <x v="3"/>
    <x v="3"/>
    <x v="6"/>
    <x v="0"/>
    <x v="2"/>
    <n v="1"/>
  </r>
  <r>
    <x v="0"/>
    <x v="0"/>
    <x v="3"/>
    <x v="3"/>
    <x v="11"/>
    <x v="4"/>
    <x v="12"/>
    <n v="1"/>
  </r>
  <r>
    <x v="0"/>
    <x v="0"/>
    <x v="3"/>
    <x v="3"/>
    <x v="11"/>
    <x v="5"/>
    <x v="10"/>
    <n v="1"/>
  </r>
  <r>
    <x v="0"/>
    <x v="0"/>
    <x v="3"/>
    <x v="3"/>
    <x v="11"/>
    <x v="11"/>
    <x v="6"/>
    <n v="4"/>
  </r>
  <r>
    <x v="0"/>
    <x v="0"/>
    <x v="3"/>
    <x v="3"/>
    <x v="11"/>
    <x v="6"/>
    <x v="6"/>
    <n v="13"/>
  </r>
  <r>
    <x v="0"/>
    <x v="0"/>
    <x v="3"/>
    <x v="3"/>
    <x v="11"/>
    <x v="6"/>
    <x v="10"/>
    <n v="2"/>
  </r>
  <r>
    <x v="0"/>
    <x v="0"/>
    <x v="3"/>
    <x v="3"/>
    <x v="11"/>
    <x v="6"/>
    <x v="1"/>
    <n v="1"/>
  </r>
  <r>
    <x v="0"/>
    <x v="0"/>
    <x v="3"/>
    <x v="3"/>
    <x v="11"/>
    <x v="9"/>
    <x v="7"/>
    <n v="2"/>
  </r>
  <r>
    <x v="0"/>
    <x v="0"/>
    <x v="3"/>
    <x v="3"/>
    <x v="11"/>
    <x v="9"/>
    <x v="6"/>
    <n v="13"/>
  </r>
  <r>
    <x v="0"/>
    <x v="0"/>
    <x v="3"/>
    <x v="3"/>
    <x v="11"/>
    <x v="9"/>
    <x v="10"/>
    <n v="1"/>
  </r>
  <r>
    <x v="0"/>
    <x v="0"/>
    <x v="3"/>
    <x v="3"/>
    <x v="11"/>
    <x v="12"/>
    <x v="7"/>
    <n v="2"/>
  </r>
  <r>
    <x v="0"/>
    <x v="0"/>
    <x v="3"/>
    <x v="3"/>
    <x v="11"/>
    <x v="12"/>
    <x v="6"/>
    <n v="12"/>
  </r>
  <r>
    <x v="0"/>
    <x v="0"/>
    <x v="3"/>
    <x v="3"/>
    <x v="11"/>
    <x v="1"/>
    <x v="6"/>
    <n v="8"/>
  </r>
  <r>
    <x v="0"/>
    <x v="0"/>
    <x v="3"/>
    <x v="3"/>
    <x v="11"/>
    <x v="1"/>
    <x v="10"/>
    <n v="7"/>
  </r>
  <r>
    <x v="0"/>
    <x v="0"/>
    <x v="3"/>
    <x v="3"/>
    <x v="18"/>
    <x v="0"/>
    <x v="19"/>
    <n v="4"/>
  </r>
  <r>
    <x v="0"/>
    <x v="0"/>
    <x v="3"/>
    <x v="4"/>
    <x v="2"/>
    <x v="0"/>
    <x v="12"/>
    <n v="14"/>
  </r>
  <r>
    <x v="0"/>
    <x v="0"/>
    <x v="3"/>
    <x v="4"/>
    <x v="2"/>
    <x v="0"/>
    <x v="9"/>
    <n v="14"/>
  </r>
  <r>
    <x v="0"/>
    <x v="0"/>
    <x v="3"/>
    <x v="4"/>
    <x v="2"/>
    <x v="0"/>
    <x v="3"/>
    <n v="10"/>
  </r>
  <r>
    <x v="0"/>
    <x v="0"/>
    <x v="3"/>
    <x v="4"/>
    <x v="2"/>
    <x v="0"/>
    <x v="4"/>
    <n v="5"/>
  </r>
  <r>
    <x v="0"/>
    <x v="0"/>
    <x v="3"/>
    <x v="4"/>
    <x v="2"/>
    <x v="0"/>
    <x v="5"/>
    <n v="1"/>
  </r>
  <r>
    <x v="0"/>
    <x v="0"/>
    <x v="3"/>
    <x v="4"/>
    <x v="2"/>
    <x v="0"/>
    <x v="2"/>
    <n v="1"/>
  </r>
  <r>
    <x v="0"/>
    <x v="0"/>
    <x v="3"/>
    <x v="4"/>
    <x v="4"/>
    <x v="18"/>
    <x v="4"/>
    <n v="1"/>
  </r>
  <r>
    <x v="0"/>
    <x v="0"/>
    <x v="3"/>
    <x v="4"/>
    <x v="4"/>
    <x v="19"/>
    <x v="9"/>
    <n v="1"/>
  </r>
  <r>
    <x v="0"/>
    <x v="0"/>
    <x v="3"/>
    <x v="4"/>
    <x v="4"/>
    <x v="16"/>
    <x v="9"/>
    <n v="1"/>
  </r>
  <r>
    <x v="0"/>
    <x v="0"/>
    <x v="3"/>
    <x v="4"/>
    <x v="4"/>
    <x v="14"/>
    <x v="1"/>
    <n v="4"/>
  </r>
  <r>
    <x v="0"/>
    <x v="0"/>
    <x v="3"/>
    <x v="4"/>
    <x v="3"/>
    <x v="0"/>
    <x v="2"/>
    <n v="1"/>
  </r>
  <r>
    <x v="0"/>
    <x v="0"/>
    <x v="3"/>
    <x v="4"/>
    <x v="9"/>
    <x v="7"/>
    <x v="10"/>
    <n v="3"/>
  </r>
  <r>
    <x v="0"/>
    <x v="0"/>
    <x v="3"/>
    <x v="4"/>
    <x v="9"/>
    <x v="1"/>
    <x v="4"/>
    <n v="1"/>
  </r>
  <r>
    <x v="0"/>
    <x v="0"/>
    <x v="3"/>
    <x v="4"/>
    <x v="9"/>
    <x v="0"/>
    <x v="12"/>
    <n v="19"/>
  </r>
  <r>
    <x v="0"/>
    <x v="0"/>
    <x v="3"/>
    <x v="4"/>
    <x v="9"/>
    <x v="0"/>
    <x v="9"/>
    <n v="1"/>
  </r>
  <r>
    <x v="0"/>
    <x v="0"/>
    <x v="3"/>
    <x v="4"/>
    <x v="17"/>
    <x v="0"/>
    <x v="12"/>
    <n v="2"/>
  </r>
  <r>
    <x v="0"/>
    <x v="0"/>
    <x v="3"/>
    <x v="5"/>
    <x v="12"/>
    <x v="0"/>
    <x v="3"/>
    <n v="1"/>
  </r>
  <r>
    <x v="0"/>
    <x v="0"/>
    <x v="3"/>
    <x v="5"/>
    <x v="12"/>
    <x v="0"/>
    <x v="4"/>
    <n v="6"/>
  </r>
  <r>
    <x v="0"/>
    <x v="0"/>
    <x v="3"/>
    <x v="5"/>
    <x v="12"/>
    <x v="0"/>
    <x v="5"/>
    <n v="2"/>
  </r>
  <r>
    <x v="0"/>
    <x v="0"/>
    <x v="3"/>
    <x v="5"/>
    <x v="15"/>
    <x v="0"/>
    <x v="4"/>
    <n v="3"/>
  </r>
  <r>
    <x v="0"/>
    <x v="0"/>
    <x v="3"/>
    <x v="5"/>
    <x v="15"/>
    <x v="0"/>
    <x v="5"/>
    <n v="2"/>
  </r>
  <r>
    <x v="0"/>
    <x v="0"/>
    <x v="3"/>
    <x v="5"/>
    <x v="7"/>
    <x v="0"/>
    <x v="18"/>
    <n v="1"/>
  </r>
  <r>
    <x v="0"/>
    <x v="0"/>
    <x v="3"/>
    <x v="5"/>
    <x v="11"/>
    <x v="4"/>
    <x v="7"/>
    <n v="2"/>
  </r>
  <r>
    <x v="0"/>
    <x v="0"/>
    <x v="3"/>
    <x v="5"/>
    <x v="11"/>
    <x v="5"/>
    <x v="7"/>
    <n v="3"/>
  </r>
  <r>
    <x v="0"/>
    <x v="0"/>
    <x v="3"/>
    <x v="5"/>
    <x v="11"/>
    <x v="5"/>
    <x v="6"/>
    <n v="2"/>
  </r>
  <r>
    <x v="0"/>
    <x v="0"/>
    <x v="3"/>
    <x v="5"/>
    <x v="11"/>
    <x v="11"/>
    <x v="7"/>
    <n v="4"/>
  </r>
  <r>
    <x v="0"/>
    <x v="0"/>
    <x v="3"/>
    <x v="5"/>
    <x v="11"/>
    <x v="11"/>
    <x v="6"/>
    <n v="8"/>
  </r>
  <r>
    <x v="0"/>
    <x v="0"/>
    <x v="3"/>
    <x v="5"/>
    <x v="11"/>
    <x v="11"/>
    <x v="10"/>
    <n v="3"/>
  </r>
  <r>
    <x v="0"/>
    <x v="0"/>
    <x v="3"/>
    <x v="5"/>
    <x v="11"/>
    <x v="6"/>
    <x v="6"/>
    <n v="6"/>
  </r>
  <r>
    <x v="0"/>
    <x v="0"/>
    <x v="3"/>
    <x v="5"/>
    <x v="11"/>
    <x v="9"/>
    <x v="6"/>
    <n v="8"/>
  </r>
  <r>
    <x v="0"/>
    <x v="0"/>
    <x v="3"/>
    <x v="5"/>
    <x v="11"/>
    <x v="7"/>
    <x v="12"/>
    <n v="1"/>
  </r>
  <r>
    <x v="0"/>
    <x v="0"/>
    <x v="3"/>
    <x v="5"/>
    <x v="11"/>
    <x v="1"/>
    <x v="13"/>
    <n v="1"/>
  </r>
  <r>
    <x v="0"/>
    <x v="0"/>
    <x v="3"/>
    <x v="5"/>
    <x v="18"/>
    <x v="15"/>
    <x v="9"/>
    <n v="1"/>
  </r>
  <r>
    <x v="0"/>
    <x v="0"/>
    <x v="3"/>
    <x v="5"/>
    <x v="18"/>
    <x v="15"/>
    <x v="4"/>
    <n v="1"/>
  </r>
  <r>
    <x v="0"/>
    <x v="0"/>
    <x v="3"/>
    <x v="5"/>
    <x v="18"/>
    <x v="13"/>
    <x v="9"/>
    <n v="1"/>
  </r>
  <r>
    <x v="0"/>
    <x v="0"/>
    <x v="3"/>
    <x v="5"/>
    <x v="18"/>
    <x v="13"/>
    <x v="3"/>
    <n v="1"/>
  </r>
  <r>
    <x v="0"/>
    <x v="0"/>
    <x v="3"/>
    <x v="5"/>
    <x v="18"/>
    <x v="3"/>
    <x v="1"/>
    <n v="1"/>
  </r>
  <r>
    <x v="0"/>
    <x v="0"/>
    <x v="3"/>
    <x v="6"/>
    <x v="2"/>
    <x v="10"/>
    <x v="2"/>
    <n v="1"/>
  </r>
  <r>
    <x v="0"/>
    <x v="0"/>
    <x v="3"/>
    <x v="6"/>
    <x v="2"/>
    <x v="3"/>
    <x v="17"/>
    <n v="1"/>
  </r>
  <r>
    <x v="0"/>
    <x v="0"/>
    <x v="3"/>
    <x v="6"/>
    <x v="2"/>
    <x v="4"/>
    <x v="13"/>
    <n v="1"/>
  </r>
  <r>
    <x v="0"/>
    <x v="0"/>
    <x v="3"/>
    <x v="6"/>
    <x v="2"/>
    <x v="5"/>
    <x v="11"/>
    <n v="1"/>
  </r>
  <r>
    <x v="0"/>
    <x v="0"/>
    <x v="3"/>
    <x v="6"/>
    <x v="14"/>
    <x v="0"/>
    <x v="4"/>
    <n v="1"/>
  </r>
  <r>
    <x v="0"/>
    <x v="0"/>
    <x v="3"/>
    <x v="6"/>
    <x v="14"/>
    <x v="0"/>
    <x v="5"/>
    <n v="1"/>
  </r>
  <r>
    <x v="0"/>
    <x v="0"/>
    <x v="3"/>
    <x v="6"/>
    <x v="14"/>
    <x v="0"/>
    <x v="18"/>
    <n v="1"/>
  </r>
  <r>
    <x v="0"/>
    <x v="0"/>
    <x v="3"/>
    <x v="6"/>
    <x v="3"/>
    <x v="16"/>
    <x v="12"/>
    <n v="2"/>
  </r>
  <r>
    <x v="0"/>
    <x v="0"/>
    <x v="3"/>
    <x v="6"/>
    <x v="3"/>
    <x v="15"/>
    <x v="1"/>
    <n v="4"/>
  </r>
  <r>
    <x v="0"/>
    <x v="0"/>
    <x v="3"/>
    <x v="6"/>
    <x v="3"/>
    <x v="15"/>
    <x v="12"/>
    <n v="2"/>
  </r>
  <r>
    <x v="0"/>
    <x v="0"/>
    <x v="3"/>
    <x v="6"/>
    <x v="3"/>
    <x v="14"/>
    <x v="10"/>
    <n v="12"/>
  </r>
  <r>
    <x v="0"/>
    <x v="0"/>
    <x v="3"/>
    <x v="6"/>
    <x v="3"/>
    <x v="14"/>
    <x v="1"/>
    <n v="7"/>
  </r>
  <r>
    <x v="0"/>
    <x v="0"/>
    <x v="3"/>
    <x v="6"/>
    <x v="3"/>
    <x v="13"/>
    <x v="6"/>
    <n v="7"/>
  </r>
  <r>
    <x v="0"/>
    <x v="0"/>
    <x v="3"/>
    <x v="6"/>
    <x v="3"/>
    <x v="13"/>
    <x v="10"/>
    <n v="5"/>
  </r>
  <r>
    <x v="0"/>
    <x v="0"/>
    <x v="3"/>
    <x v="6"/>
    <x v="3"/>
    <x v="2"/>
    <x v="6"/>
    <n v="5"/>
  </r>
  <r>
    <x v="0"/>
    <x v="0"/>
    <x v="3"/>
    <x v="6"/>
    <x v="3"/>
    <x v="10"/>
    <x v="7"/>
    <n v="3"/>
  </r>
  <r>
    <x v="0"/>
    <x v="0"/>
    <x v="3"/>
    <x v="6"/>
    <x v="3"/>
    <x v="10"/>
    <x v="6"/>
    <n v="4"/>
  </r>
  <r>
    <x v="0"/>
    <x v="0"/>
    <x v="3"/>
    <x v="6"/>
    <x v="3"/>
    <x v="4"/>
    <x v="7"/>
    <n v="3"/>
  </r>
  <r>
    <x v="0"/>
    <x v="0"/>
    <x v="3"/>
    <x v="6"/>
    <x v="3"/>
    <x v="5"/>
    <x v="8"/>
    <n v="7"/>
  </r>
  <r>
    <x v="0"/>
    <x v="0"/>
    <x v="3"/>
    <x v="6"/>
    <x v="3"/>
    <x v="11"/>
    <x v="8"/>
    <n v="7"/>
  </r>
  <r>
    <x v="0"/>
    <x v="0"/>
    <x v="3"/>
    <x v="6"/>
    <x v="3"/>
    <x v="6"/>
    <x v="8"/>
    <n v="5"/>
  </r>
  <r>
    <x v="0"/>
    <x v="0"/>
    <x v="3"/>
    <x v="6"/>
    <x v="3"/>
    <x v="8"/>
    <x v="6"/>
    <n v="1"/>
  </r>
  <r>
    <x v="0"/>
    <x v="0"/>
    <x v="3"/>
    <x v="9"/>
    <x v="12"/>
    <x v="0"/>
    <x v="3"/>
    <n v="2"/>
  </r>
  <r>
    <x v="0"/>
    <x v="0"/>
    <x v="3"/>
    <x v="9"/>
    <x v="5"/>
    <x v="0"/>
    <x v="2"/>
    <n v="1"/>
  </r>
  <r>
    <x v="0"/>
    <x v="0"/>
    <x v="3"/>
    <x v="9"/>
    <x v="15"/>
    <x v="0"/>
    <x v="9"/>
    <n v="1"/>
  </r>
  <r>
    <x v="0"/>
    <x v="0"/>
    <x v="3"/>
    <x v="9"/>
    <x v="15"/>
    <x v="0"/>
    <x v="0"/>
    <n v="1"/>
  </r>
  <r>
    <x v="0"/>
    <x v="0"/>
    <x v="3"/>
    <x v="7"/>
    <x v="5"/>
    <x v="0"/>
    <x v="4"/>
    <n v="1"/>
  </r>
  <r>
    <x v="0"/>
    <x v="0"/>
    <x v="3"/>
    <x v="7"/>
    <x v="14"/>
    <x v="0"/>
    <x v="12"/>
    <n v="2"/>
  </r>
  <r>
    <x v="0"/>
    <x v="0"/>
    <x v="3"/>
    <x v="7"/>
    <x v="15"/>
    <x v="0"/>
    <x v="0"/>
    <n v="1"/>
  </r>
  <r>
    <x v="0"/>
    <x v="0"/>
    <x v="3"/>
    <x v="8"/>
    <x v="13"/>
    <x v="2"/>
    <x v="14"/>
    <n v="4"/>
  </r>
  <r>
    <x v="0"/>
    <x v="0"/>
    <x v="3"/>
    <x v="8"/>
    <x v="13"/>
    <x v="10"/>
    <x v="11"/>
    <n v="2"/>
  </r>
  <r>
    <x v="0"/>
    <x v="0"/>
    <x v="3"/>
    <x v="8"/>
    <x v="13"/>
    <x v="10"/>
    <x v="14"/>
    <n v="1"/>
  </r>
  <r>
    <x v="0"/>
    <x v="0"/>
    <x v="3"/>
    <x v="8"/>
    <x v="13"/>
    <x v="10"/>
    <x v="17"/>
    <n v="1"/>
  </r>
  <r>
    <x v="0"/>
    <x v="0"/>
    <x v="3"/>
    <x v="8"/>
    <x v="13"/>
    <x v="3"/>
    <x v="11"/>
    <n v="1"/>
  </r>
  <r>
    <x v="0"/>
    <x v="0"/>
    <x v="3"/>
    <x v="8"/>
    <x v="13"/>
    <x v="4"/>
    <x v="11"/>
    <n v="2"/>
  </r>
  <r>
    <x v="0"/>
    <x v="0"/>
    <x v="3"/>
    <x v="8"/>
    <x v="13"/>
    <x v="0"/>
    <x v="12"/>
    <n v="1"/>
  </r>
  <r>
    <x v="0"/>
    <x v="0"/>
    <x v="3"/>
    <x v="8"/>
    <x v="13"/>
    <x v="0"/>
    <x v="9"/>
    <n v="1"/>
  </r>
  <r>
    <x v="0"/>
    <x v="0"/>
    <x v="3"/>
    <x v="8"/>
    <x v="14"/>
    <x v="7"/>
    <x v="7"/>
    <n v="1"/>
  </r>
  <r>
    <x v="0"/>
    <x v="0"/>
    <x v="3"/>
    <x v="8"/>
    <x v="14"/>
    <x v="0"/>
    <x v="1"/>
    <n v="1"/>
  </r>
  <r>
    <x v="0"/>
    <x v="0"/>
    <x v="3"/>
    <x v="8"/>
    <x v="8"/>
    <x v="0"/>
    <x v="10"/>
    <n v="3"/>
  </r>
  <r>
    <x v="0"/>
    <x v="0"/>
    <x v="3"/>
    <x v="8"/>
    <x v="8"/>
    <x v="0"/>
    <x v="1"/>
    <n v="2"/>
  </r>
  <r>
    <x v="0"/>
    <x v="0"/>
    <x v="3"/>
    <x v="8"/>
    <x v="11"/>
    <x v="7"/>
    <x v="6"/>
    <n v="1"/>
  </r>
  <r>
    <x v="0"/>
    <x v="0"/>
    <x v="3"/>
    <x v="8"/>
    <x v="11"/>
    <x v="1"/>
    <x v="12"/>
    <n v="1"/>
  </r>
  <r>
    <x v="0"/>
    <x v="0"/>
    <x v="3"/>
    <x v="8"/>
    <x v="11"/>
    <x v="0"/>
    <x v="1"/>
    <n v="3"/>
  </r>
  <r>
    <x v="0"/>
    <x v="0"/>
    <x v="3"/>
    <x v="8"/>
    <x v="11"/>
    <x v="0"/>
    <x v="12"/>
    <n v="2"/>
  </r>
  <r>
    <x v="0"/>
    <x v="0"/>
    <x v="3"/>
    <x v="8"/>
    <x v="11"/>
    <x v="0"/>
    <x v="9"/>
    <n v="1"/>
  </r>
  <r>
    <x v="0"/>
    <x v="0"/>
    <x v="3"/>
    <x v="8"/>
    <x v="11"/>
    <x v="0"/>
    <x v="3"/>
    <n v="1"/>
  </r>
  <r>
    <x v="0"/>
    <x v="0"/>
    <x v="3"/>
    <x v="8"/>
    <x v="19"/>
    <x v="4"/>
    <x v="10"/>
    <n v="1"/>
  </r>
  <r>
    <x v="0"/>
    <x v="0"/>
    <x v="3"/>
    <x v="8"/>
    <x v="19"/>
    <x v="5"/>
    <x v="10"/>
    <n v="1"/>
  </r>
  <r>
    <x v="0"/>
    <x v="0"/>
    <x v="3"/>
    <x v="8"/>
    <x v="19"/>
    <x v="11"/>
    <x v="6"/>
    <n v="9"/>
  </r>
  <r>
    <x v="0"/>
    <x v="0"/>
    <x v="4"/>
    <x v="0"/>
    <x v="19"/>
    <x v="9"/>
    <x v="11"/>
    <n v="1"/>
  </r>
  <r>
    <x v="0"/>
    <x v="0"/>
    <x v="4"/>
    <x v="0"/>
    <x v="19"/>
    <x v="12"/>
    <x v="8"/>
    <n v="11"/>
  </r>
  <r>
    <x v="0"/>
    <x v="0"/>
    <x v="4"/>
    <x v="0"/>
    <x v="19"/>
    <x v="12"/>
    <x v="11"/>
    <n v="1"/>
  </r>
  <r>
    <x v="0"/>
    <x v="0"/>
    <x v="4"/>
    <x v="0"/>
    <x v="19"/>
    <x v="7"/>
    <x v="1"/>
    <n v="3"/>
  </r>
  <r>
    <x v="0"/>
    <x v="0"/>
    <x v="4"/>
    <x v="0"/>
    <x v="19"/>
    <x v="1"/>
    <x v="3"/>
    <n v="1"/>
  </r>
  <r>
    <x v="0"/>
    <x v="0"/>
    <x v="4"/>
    <x v="0"/>
    <x v="19"/>
    <x v="1"/>
    <x v="4"/>
    <n v="1"/>
  </r>
  <r>
    <x v="0"/>
    <x v="0"/>
    <x v="4"/>
    <x v="0"/>
    <x v="19"/>
    <x v="1"/>
    <x v="2"/>
    <n v="1"/>
  </r>
  <r>
    <x v="0"/>
    <x v="0"/>
    <x v="4"/>
    <x v="1"/>
    <x v="0"/>
    <x v="12"/>
    <x v="10"/>
    <n v="2"/>
  </r>
  <r>
    <x v="0"/>
    <x v="0"/>
    <x v="4"/>
    <x v="1"/>
    <x v="0"/>
    <x v="1"/>
    <x v="10"/>
    <n v="2"/>
  </r>
  <r>
    <x v="0"/>
    <x v="0"/>
    <x v="4"/>
    <x v="1"/>
    <x v="0"/>
    <x v="8"/>
    <x v="3"/>
    <n v="1"/>
  </r>
  <r>
    <x v="0"/>
    <x v="0"/>
    <x v="4"/>
    <x v="1"/>
    <x v="0"/>
    <x v="0"/>
    <x v="6"/>
    <n v="2"/>
  </r>
  <r>
    <x v="0"/>
    <x v="0"/>
    <x v="4"/>
    <x v="1"/>
    <x v="1"/>
    <x v="7"/>
    <x v="8"/>
    <n v="2"/>
  </r>
  <r>
    <x v="0"/>
    <x v="0"/>
    <x v="4"/>
    <x v="1"/>
    <x v="1"/>
    <x v="7"/>
    <x v="3"/>
    <n v="2"/>
  </r>
  <r>
    <x v="0"/>
    <x v="0"/>
    <x v="4"/>
    <x v="1"/>
    <x v="1"/>
    <x v="1"/>
    <x v="7"/>
    <n v="3"/>
  </r>
  <r>
    <x v="0"/>
    <x v="0"/>
    <x v="4"/>
    <x v="1"/>
    <x v="1"/>
    <x v="1"/>
    <x v="6"/>
    <n v="1"/>
  </r>
  <r>
    <x v="0"/>
    <x v="0"/>
    <x v="4"/>
    <x v="1"/>
    <x v="1"/>
    <x v="8"/>
    <x v="5"/>
    <n v="1"/>
  </r>
  <r>
    <x v="0"/>
    <x v="0"/>
    <x v="4"/>
    <x v="1"/>
    <x v="1"/>
    <x v="8"/>
    <x v="13"/>
    <n v="1"/>
  </r>
  <r>
    <x v="0"/>
    <x v="0"/>
    <x v="4"/>
    <x v="1"/>
    <x v="1"/>
    <x v="0"/>
    <x v="7"/>
    <n v="12"/>
  </r>
  <r>
    <x v="0"/>
    <x v="0"/>
    <x v="4"/>
    <x v="1"/>
    <x v="1"/>
    <x v="0"/>
    <x v="6"/>
    <n v="45"/>
  </r>
  <r>
    <x v="0"/>
    <x v="0"/>
    <x v="4"/>
    <x v="1"/>
    <x v="13"/>
    <x v="0"/>
    <x v="13"/>
    <n v="1"/>
  </r>
  <r>
    <x v="0"/>
    <x v="0"/>
    <x v="4"/>
    <x v="1"/>
    <x v="10"/>
    <x v="1"/>
    <x v="1"/>
    <n v="1"/>
  </r>
  <r>
    <x v="0"/>
    <x v="0"/>
    <x v="4"/>
    <x v="1"/>
    <x v="10"/>
    <x v="0"/>
    <x v="10"/>
    <n v="2"/>
  </r>
  <r>
    <x v="0"/>
    <x v="0"/>
    <x v="4"/>
    <x v="1"/>
    <x v="10"/>
    <x v="0"/>
    <x v="1"/>
    <n v="1"/>
  </r>
  <r>
    <x v="0"/>
    <x v="0"/>
    <x v="4"/>
    <x v="1"/>
    <x v="18"/>
    <x v="8"/>
    <x v="6"/>
    <n v="1"/>
  </r>
  <r>
    <x v="0"/>
    <x v="0"/>
    <x v="4"/>
    <x v="1"/>
    <x v="18"/>
    <x v="8"/>
    <x v="10"/>
    <n v="1"/>
  </r>
  <r>
    <x v="0"/>
    <x v="0"/>
    <x v="4"/>
    <x v="2"/>
    <x v="15"/>
    <x v="1"/>
    <x v="1"/>
    <n v="1"/>
  </r>
  <r>
    <x v="0"/>
    <x v="0"/>
    <x v="4"/>
    <x v="2"/>
    <x v="15"/>
    <x v="8"/>
    <x v="7"/>
    <n v="1"/>
  </r>
  <r>
    <x v="0"/>
    <x v="0"/>
    <x v="4"/>
    <x v="2"/>
    <x v="15"/>
    <x v="8"/>
    <x v="6"/>
    <n v="1"/>
  </r>
  <r>
    <x v="0"/>
    <x v="0"/>
    <x v="4"/>
    <x v="2"/>
    <x v="15"/>
    <x v="0"/>
    <x v="1"/>
    <n v="12"/>
  </r>
  <r>
    <x v="0"/>
    <x v="0"/>
    <x v="4"/>
    <x v="2"/>
    <x v="15"/>
    <x v="0"/>
    <x v="12"/>
    <n v="7"/>
  </r>
  <r>
    <x v="0"/>
    <x v="0"/>
    <x v="4"/>
    <x v="2"/>
    <x v="15"/>
    <x v="0"/>
    <x v="9"/>
    <n v="1"/>
  </r>
  <r>
    <x v="0"/>
    <x v="0"/>
    <x v="4"/>
    <x v="2"/>
    <x v="7"/>
    <x v="11"/>
    <x v="12"/>
    <n v="1"/>
  </r>
  <r>
    <x v="0"/>
    <x v="0"/>
    <x v="4"/>
    <x v="2"/>
    <x v="7"/>
    <x v="6"/>
    <x v="1"/>
    <n v="1"/>
  </r>
  <r>
    <x v="0"/>
    <x v="0"/>
    <x v="4"/>
    <x v="2"/>
    <x v="7"/>
    <x v="6"/>
    <x v="9"/>
    <n v="1"/>
  </r>
  <r>
    <x v="0"/>
    <x v="0"/>
    <x v="4"/>
    <x v="2"/>
    <x v="7"/>
    <x v="12"/>
    <x v="12"/>
    <n v="1"/>
  </r>
  <r>
    <x v="0"/>
    <x v="0"/>
    <x v="4"/>
    <x v="2"/>
    <x v="7"/>
    <x v="1"/>
    <x v="1"/>
    <n v="1"/>
  </r>
  <r>
    <x v="0"/>
    <x v="0"/>
    <x v="4"/>
    <x v="2"/>
    <x v="6"/>
    <x v="11"/>
    <x v="12"/>
    <n v="1"/>
  </r>
  <r>
    <x v="0"/>
    <x v="0"/>
    <x v="4"/>
    <x v="2"/>
    <x v="6"/>
    <x v="6"/>
    <x v="1"/>
    <n v="4"/>
  </r>
  <r>
    <x v="0"/>
    <x v="0"/>
    <x v="4"/>
    <x v="2"/>
    <x v="6"/>
    <x v="6"/>
    <x v="12"/>
    <n v="3"/>
  </r>
  <r>
    <x v="0"/>
    <x v="0"/>
    <x v="4"/>
    <x v="2"/>
    <x v="6"/>
    <x v="6"/>
    <x v="9"/>
    <n v="1"/>
  </r>
  <r>
    <x v="0"/>
    <x v="0"/>
    <x v="4"/>
    <x v="2"/>
    <x v="6"/>
    <x v="9"/>
    <x v="10"/>
    <n v="7"/>
  </r>
  <r>
    <x v="0"/>
    <x v="0"/>
    <x v="4"/>
    <x v="2"/>
    <x v="6"/>
    <x v="9"/>
    <x v="1"/>
    <n v="3"/>
  </r>
  <r>
    <x v="0"/>
    <x v="0"/>
    <x v="4"/>
    <x v="2"/>
    <x v="6"/>
    <x v="9"/>
    <x v="12"/>
    <n v="4"/>
  </r>
  <r>
    <x v="0"/>
    <x v="0"/>
    <x v="4"/>
    <x v="2"/>
    <x v="6"/>
    <x v="12"/>
    <x v="10"/>
    <n v="6"/>
  </r>
  <r>
    <x v="0"/>
    <x v="0"/>
    <x v="4"/>
    <x v="2"/>
    <x v="6"/>
    <x v="12"/>
    <x v="1"/>
    <n v="10"/>
  </r>
  <r>
    <x v="0"/>
    <x v="0"/>
    <x v="4"/>
    <x v="2"/>
    <x v="6"/>
    <x v="7"/>
    <x v="7"/>
    <n v="14"/>
  </r>
  <r>
    <x v="0"/>
    <x v="0"/>
    <x v="4"/>
    <x v="2"/>
    <x v="6"/>
    <x v="1"/>
    <x v="6"/>
    <n v="100"/>
  </r>
  <r>
    <x v="0"/>
    <x v="0"/>
    <x v="4"/>
    <x v="2"/>
    <x v="6"/>
    <x v="1"/>
    <x v="10"/>
    <n v="80"/>
  </r>
  <r>
    <x v="0"/>
    <x v="0"/>
    <x v="4"/>
    <x v="2"/>
    <x v="6"/>
    <x v="1"/>
    <x v="1"/>
    <n v="12"/>
  </r>
  <r>
    <x v="0"/>
    <x v="0"/>
    <x v="4"/>
    <x v="2"/>
    <x v="6"/>
    <x v="8"/>
    <x v="11"/>
    <n v="1"/>
  </r>
  <r>
    <x v="0"/>
    <x v="0"/>
    <x v="4"/>
    <x v="2"/>
    <x v="6"/>
    <x v="0"/>
    <x v="6"/>
    <n v="21"/>
  </r>
  <r>
    <x v="0"/>
    <x v="0"/>
    <x v="4"/>
    <x v="2"/>
    <x v="6"/>
    <x v="0"/>
    <x v="10"/>
    <n v="241"/>
  </r>
  <r>
    <x v="0"/>
    <x v="0"/>
    <x v="4"/>
    <x v="2"/>
    <x v="6"/>
    <x v="0"/>
    <x v="1"/>
    <n v="404"/>
  </r>
  <r>
    <x v="0"/>
    <x v="0"/>
    <x v="4"/>
    <x v="3"/>
    <x v="0"/>
    <x v="0"/>
    <x v="3"/>
    <n v="2"/>
  </r>
  <r>
    <x v="0"/>
    <x v="0"/>
    <x v="4"/>
    <x v="3"/>
    <x v="0"/>
    <x v="0"/>
    <x v="4"/>
    <n v="6"/>
  </r>
  <r>
    <x v="0"/>
    <x v="0"/>
    <x v="4"/>
    <x v="3"/>
    <x v="0"/>
    <x v="0"/>
    <x v="5"/>
    <n v="6"/>
  </r>
  <r>
    <x v="0"/>
    <x v="0"/>
    <x v="4"/>
    <x v="3"/>
    <x v="0"/>
    <x v="0"/>
    <x v="2"/>
    <n v="6"/>
  </r>
  <r>
    <x v="0"/>
    <x v="0"/>
    <x v="4"/>
    <x v="3"/>
    <x v="0"/>
    <x v="0"/>
    <x v="13"/>
    <n v="11"/>
  </r>
  <r>
    <x v="0"/>
    <x v="0"/>
    <x v="4"/>
    <x v="3"/>
    <x v="19"/>
    <x v="0"/>
    <x v="5"/>
    <n v="11"/>
  </r>
  <r>
    <x v="0"/>
    <x v="0"/>
    <x v="4"/>
    <x v="3"/>
    <x v="19"/>
    <x v="0"/>
    <x v="2"/>
    <n v="7"/>
  </r>
  <r>
    <x v="0"/>
    <x v="0"/>
    <x v="4"/>
    <x v="3"/>
    <x v="19"/>
    <x v="0"/>
    <x v="13"/>
    <n v="1"/>
  </r>
  <r>
    <x v="0"/>
    <x v="0"/>
    <x v="4"/>
    <x v="3"/>
    <x v="19"/>
    <x v="0"/>
    <x v="11"/>
    <n v="3"/>
  </r>
  <r>
    <x v="0"/>
    <x v="0"/>
    <x v="4"/>
    <x v="3"/>
    <x v="19"/>
    <x v="0"/>
    <x v="17"/>
    <n v="1"/>
  </r>
  <r>
    <x v="0"/>
    <x v="0"/>
    <x v="4"/>
    <x v="4"/>
    <x v="1"/>
    <x v="7"/>
    <x v="6"/>
    <n v="11"/>
  </r>
  <r>
    <x v="0"/>
    <x v="0"/>
    <x v="4"/>
    <x v="4"/>
    <x v="1"/>
    <x v="7"/>
    <x v="10"/>
    <n v="3"/>
  </r>
  <r>
    <x v="0"/>
    <x v="0"/>
    <x v="4"/>
    <x v="4"/>
    <x v="1"/>
    <x v="8"/>
    <x v="7"/>
    <n v="161"/>
  </r>
  <r>
    <x v="0"/>
    <x v="0"/>
    <x v="4"/>
    <x v="4"/>
    <x v="1"/>
    <x v="8"/>
    <x v="6"/>
    <n v="17"/>
  </r>
  <r>
    <x v="0"/>
    <x v="0"/>
    <x v="4"/>
    <x v="4"/>
    <x v="1"/>
    <x v="8"/>
    <x v="10"/>
    <n v="9"/>
  </r>
  <r>
    <x v="0"/>
    <x v="0"/>
    <x v="4"/>
    <x v="4"/>
    <x v="1"/>
    <x v="0"/>
    <x v="12"/>
    <n v="57"/>
  </r>
  <r>
    <x v="0"/>
    <x v="0"/>
    <x v="4"/>
    <x v="4"/>
    <x v="1"/>
    <x v="0"/>
    <x v="9"/>
    <n v="23"/>
  </r>
  <r>
    <x v="0"/>
    <x v="0"/>
    <x v="4"/>
    <x v="4"/>
    <x v="1"/>
    <x v="0"/>
    <x v="3"/>
    <n v="7"/>
  </r>
  <r>
    <x v="0"/>
    <x v="0"/>
    <x v="4"/>
    <x v="4"/>
    <x v="1"/>
    <x v="0"/>
    <x v="4"/>
    <n v="9"/>
  </r>
  <r>
    <x v="0"/>
    <x v="0"/>
    <x v="4"/>
    <x v="4"/>
    <x v="15"/>
    <x v="0"/>
    <x v="10"/>
    <n v="3"/>
  </r>
  <r>
    <x v="0"/>
    <x v="0"/>
    <x v="4"/>
    <x v="4"/>
    <x v="8"/>
    <x v="1"/>
    <x v="10"/>
    <n v="1"/>
  </r>
  <r>
    <x v="0"/>
    <x v="0"/>
    <x v="4"/>
    <x v="4"/>
    <x v="8"/>
    <x v="0"/>
    <x v="10"/>
    <n v="1"/>
  </r>
  <r>
    <x v="0"/>
    <x v="0"/>
    <x v="4"/>
    <x v="4"/>
    <x v="6"/>
    <x v="0"/>
    <x v="11"/>
    <n v="1"/>
  </r>
  <r>
    <x v="0"/>
    <x v="0"/>
    <x v="4"/>
    <x v="4"/>
    <x v="19"/>
    <x v="0"/>
    <x v="3"/>
    <n v="5"/>
  </r>
  <r>
    <x v="0"/>
    <x v="0"/>
    <x v="4"/>
    <x v="4"/>
    <x v="19"/>
    <x v="0"/>
    <x v="4"/>
    <n v="4"/>
  </r>
  <r>
    <x v="0"/>
    <x v="0"/>
    <x v="4"/>
    <x v="4"/>
    <x v="19"/>
    <x v="0"/>
    <x v="5"/>
    <n v="2"/>
  </r>
  <r>
    <x v="0"/>
    <x v="0"/>
    <x v="4"/>
    <x v="4"/>
    <x v="19"/>
    <x v="0"/>
    <x v="2"/>
    <n v="1"/>
  </r>
  <r>
    <x v="0"/>
    <x v="0"/>
    <x v="1"/>
    <x v="14"/>
    <x v="18"/>
    <x v="4"/>
    <x v="1"/>
    <n v="2"/>
  </r>
  <r>
    <x v="0"/>
    <x v="0"/>
    <x v="1"/>
    <x v="14"/>
    <x v="18"/>
    <x v="5"/>
    <x v="1"/>
    <n v="4"/>
  </r>
  <r>
    <x v="0"/>
    <x v="0"/>
    <x v="1"/>
    <x v="14"/>
    <x v="18"/>
    <x v="5"/>
    <x v="3"/>
    <n v="1"/>
  </r>
  <r>
    <x v="0"/>
    <x v="0"/>
    <x v="1"/>
    <x v="14"/>
    <x v="18"/>
    <x v="11"/>
    <x v="9"/>
    <n v="2"/>
  </r>
  <r>
    <x v="0"/>
    <x v="0"/>
    <x v="1"/>
    <x v="14"/>
    <x v="18"/>
    <x v="11"/>
    <x v="3"/>
    <n v="2"/>
  </r>
  <r>
    <x v="0"/>
    <x v="0"/>
    <x v="1"/>
    <x v="14"/>
    <x v="18"/>
    <x v="6"/>
    <x v="12"/>
    <n v="1"/>
  </r>
  <r>
    <x v="0"/>
    <x v="0"/>
    <x v="1"/>
    <x v="18"/>
    <x v="6"/>
    <x v="0"/>
    <x v="17"/>
    <n v="1"/>
  </r>
  <r>
    <x v="0"/>
    <x v="0"/>
    <x v="1"/>
    <x v="15"/>
    <x v="1"/>
    <x v="5"/>
    <x v="1"/>
    <n v="1"/>
  </r>
  <r>
    <x v="0"/>
    <x v="0"/>
    <x v="1"/>
    <x v="15"/>
    <x v="1"/>
    <x v="9"/>
    <x v="9"/>
    <n v="2"/>
  </r>
  <r>
    <x v="0"/>
    <x v="0"/>
    <x v="1"/>
    <x v="15"/>
    <x v="1"/>
    <x v="9"/>
    <x v="4"/>
    <n v="1"/>
  </r>
  <r>
    <x v="0"/>
    <x v="0"/>
    <x v="1"/>
    <x v="15"/>
    <x v="1"/>
    <x v="12"/>
    <x v="9"/>
    <n v="2"/>
  </r>
  <r>
    <x v="0"/>
    <x v="0"/>
    <x v="1"/>
    <x v="15"/>
    <x v="1"/>
    <x v="0"/>
    <x v="3"/>
    <n v="1"/>
  </r>
  <r>
    <x v="0"/>
    <x v="0"/>
    <x v="1"/>
    <x v="15"/>
    <x v="11"/>
    <x v="2"/>
    <x v="12"/>
    <n v="1"/>
  </r>
  <r>
    <x v="0"/>
    <x v="0"/>
    <x v="1"/>
    <x v="15"/>
    <x v="11"/>
    <x v="9"/>
    <x v="11"/>
    <n v="1"/>
  </r>
  <r>
    <x v="0"/>
    <x v="0"/>
    <x v="1"/>
    <x v="15"/>
    <x v="11"/>
    <x v="0"/>
    <x v="14"/>
    <n v="1"/>
  </r>
  <r>
    <x v="0"/>
    <x v="0"/>
    <x v="1"/>
    <x v="16"/>
    <x v="17"/>
    <x v="1"/>
    <x v="14"/>
    <n v="1"/>
  </r>
  <r>
    <x v="0"/>
    <x v="0"/>
    <x v="1"/>
    <x v="16"/>
    <x v="17"/>
    <x v="0"/>
    <x v="11"/>
    <n v="1"/>
  </r>
  <r>
    <x v="0"/>
    <x v="0"/>
    <x v="1"/>
    <x v="16"/>
    <x v="19"/>
    <x v="0"/>
    <x v="13"/>
    <n v="1"/>
  </r>
  <r>
    <x v="0"/>
    <x v="0"/>
    <x v="1"/>
    <x v="16"/>
    <x v="19"/>
    <x v="0"/>
    <x v="14"/>
    <n v="1"/>
  </r>
  <r>
    <x v="0"/>
    <x v="0"/>
    <x v="1"/>
    <x v="17"/>
    <x v="11"/>
    <x v="1"/>
    <x v="13"/>
    <n v="1"/>
  </r>
  <r>
    <x v="0"/>
    <x v="0"/>
    <x v="1"/>
    <x v="17"/>
    <x v="11"/>
    <x v="0"/>
    <x v="4"/>
    <n v="1"/>
  </r>
  <r>
    <x v="0"/>
    <x v="0"/>
    <x v="1"/>
    <x v="17"/>
    <x v="11"/>
    <x v="0"/>
    <x v="5"/>
    <n v="3"/>
  </r>
  <r>
    <x v="0"/>
    <x v="0"/>
    <x v="1"/>
    <x v="17"/>
    <x v="11"/>
    <x v="0"/>
    <x v="2"/>
    <n v="3"/>
  </r>
  <r>
    <x v="0"/>
    <x v="0"/>
    <x v="1"/>
    <x v="17"/>
    <x v="11"/>
    <x v="0"/>
    <x v="13"/>
    <n v="1"/>
  </r>
  <r>
    <x v="0"/>
    <x v="0"/>
    <x v="1"/>
    <x v="17"/>
    <x v="11"/>
    <x v="0"/>
    <x v="11"/>
    <n v="2"/>
  </r>
  <r>
    <x v="0"/>
    <x v="0"/>
    <x v="1"/>
    <x v="17"/>
    <x v="11"/>
    <x v="0"/>
    <x v="14"/>
    <n v="1"/>
  </r>
  <r>
    <x v="0"/>
    <x v="0"/>
    <x v="1"/>
    <x v="17"/>
    <x v="11"/>
    <x v="0"/>
    <x v="17"/>
    <n v="1"/>
  </r>
  <r>
    <x v="0"/>
    <x v="0"/>
    <x v="1"/>
    <x v="19"/>
    <x v="7"/>
    <x v="17"/>
    <x v="1"/>
    <n v="298"/>
  </r>
  <r>
    <x v="0"/>
    <x v="0"/>
    <x v="1"/>
    <x v="19"/>
    <x v="7"/>
    <x v="17"/>
    <x v="3"/>
    <n v="30"/>
  </r>
  <r>
    <x v="0"/>
    <x v="0"/>
    <x v="1"/>
    <x v="19"/>
    <x v="7"/>
    <x v="17"/>
    <x v="4"/>
    <n v="27"/>
  </r>
  <r>
    <x v="0"/>
    <x v="0"/>
    <x v="1"/>
    <x v="19"/>
    <x v="7"/>
    <x v="17"/>
    <x v="5"/>
    <n v="24"/>
  </r>
  <r>
    <x v="0"/>
    <x v="0"/>
    <x v="1"/>
    <x v="19"/>
    <x v="7"/>
    <x v="17"/>
    <x v="2"/>
    <n v="26"/>
  </r>
  <r>
    <x v="0"/>
    <x v="0"/>
    <x v="1"/>
    <x v="19"/>
    <x v="7"/>
    <x v="17"/>
    <x v="13"/>
    <n v="23"/>
  </r>
  <r>
    <x v="0"/>
    <x v="0"/>
    <x v="1"/>
    <x v="19"/>
    <x v="7"/>
    <x v="17"/>
    <x v="11"/>
    <n v="22"/>
  </r>
  <r>
    <x v="0"/>
    <x v="0"/>
    <x v="1"/>
    <x v="19"/>
    <x v="7"/>
    <x v="17"/>
    <x v="14"/>
    <n v="16"/>
  </r>
  <r>
    <x v="0"/>
    <x v="0"/>
    <x v="1"/>
    <x v="19"/>
    <x v="7"/>
    <x v="18"/>
    <x v="10"/>
    <n v="412"/>
  </r>
  <r>
    <x v="0"/>
    <x v="0"/>
    <x v="1"/>
    <x v="19"/>
    <x v="7"/>
    <x v="18"/>
    <x v="1"/>
    <n v="375"/>
  </r>
  <r>
    <x v="0"/>
    <x v="0"/>
    <x v="1"/>
    <x v="19"/>
    <x v="7"/>
    <x v="19"/>
    <x v="7"/>
    <n v="10"/>
  </r>
  <r>
    <x v="0"/>
    <x v="0"/>
    <x v="1"/>
    <x v="19"/>
    <x v="7"/>
    <x v="19"/>
    <x v="6"/>
    <n v="536"/>
  </r>
  <r>
    <x v="0"/>
    <x v="0"/>
    <x v="1"/>
    <x v="19"/>
    <x v="7"/>
    <x v="19"/>
    <x v="10"/>
    <n v="515"/>
  </r>
  <r>
    <x v="0"/>
    <x v="0"/>
    <x v="1"/>
    <x v="19"/>
    <x v="7"/>
    <x v="19"/>
    <x v="18"/>
    <n v="3"/>
  </r>
  <r>
    <x v="0"/>
    <x v="0"/>
    <x v="1"/>
    <x v="19"/>
    <x v="7"/>
    <x v="16"/>
    <x v="7"/>
    <n v="282"/>
  </r>
  <r>
    <x v="0"/>
    <x v="0"/>
    <x v="1"/>
    <x v="19"/>
    <x v="7"/>
    <x v="16"/>
    <x v="0"/>
    <n v="10"/>
  </r>
  <r>
    <x v="0"/>
    <x v="0"/>
    <x v="1"/>
    <x v="19"/>
    <x v="7"/>
    <x v="15"/>
    <x v="0"/>
    <n v="4"/>
  </r>
  <r>
    <x v="0"/>
    <x v="0"/>
    <x v="1"/>
    <x v="19"/>
    <x v="7"/>
    <x v="13"/>
    <x v="17"/>
    <n v="4"/>
  </r>
  <r>
    <x v="0"/>
    <x v="0"/>
    <x v="1"/>
    <x v="19"/>
    <x v="7"/>
    <x v="2"/>
    <x v="12"/>
    <n v="74"/>
  </r>
  <r>
    <x v="0"/>
    <x v="0"/>
    <x v="1"/>
    <x v="19"/>
    <x v="7"/>
    <x v="2"/>
    <x v="9"/>
    <n v="56"/>
  </r>
  <r>
    <x v="0"/>
    <x v="0"/>
    <x v="1"/>
    <x v="19"/>
    <x v="7"/>
    <x v="2"/>
    <x v="3"/>
    <n v="35"/>
  </r>
  <r>
    <x v="0"/>
    <x v="0"/>
    <x v="1"/>
    <x v="19"/>
    <x v="7"/>
    <x v="10"/>
    <x v="12"/>
    <n v="54"/>
  </r>
  <r>
    <x v="0"/>
    <x v="0"/>
    <x v="1"/>
    <x v="19"/>
    <x v="7"/>
    <x v="10"/>
    <x v="9"/>
    <n v="31"/>
  </r>
  <r>
    <x v="0"/>
    <x v="0"/>
    <x v="1"/>
    <x v="19"/>
    <x v="7"/>
    <x v="3"/>
    <x v="12"/>
    <n v="37"/>
  </r>
  <r>
    <x v="0"/>
    <x v="0"/>
    <x v="1"/>
    <x v="19"/>
    <x v="7"/>
    <x v="7"/>
    <x v="12"/>
    <n v="1"/>
  </r>
  <r>
    <x v="0"/>
    <x v="0"/>
    <x v="1"/>
    <x v="19"/>
    <x v="10"/>
    <x v="12"/>
    <x v="2"/>
    <n v="1"/>
  </r>
  <r>
    <x v="0"/>
    <x v="0"/>
    <x v="2"/>
    <x v="0"/>
    <x v="1"/>
    <x v="0"/>
    <x v="3"/>
    <n v="3"/>
  </r>
  <r>
    <x v="0"/>
    <x v="0"/>
    <x v="2"/>
    <x v="0"/>
    <x v="1"/>
    <x v="0"/>
    <x v="4"/>
    <n v="3"/>
  </r>
  <r>
    <x v="0"/>
    <x v="0"/>
    <x v="2"/>
    <x v="1"/>
    <x v="4"/>
    <x v="0"/>
    <x v="17"/>
    <n v="2"/>
  </r>
  <r>
    <x v="0"/>
    <x v="0"/>
    <x v="2"/>
    <x v="2"/>
    <x v="12"/>
    <x v="0"/>
    <x v="17"/>
    <n v="8"/>
  </r>
  <r>
    <x v="0"/>
    <x v="0"/>
    <x v="2"/>
    <x v="2"/>
    <x v="12"/>
    <x v="0"/>
    <x v="19"/>
    <n v="492"/>
  </r>
  <r>
    <x v="0"/>
    <x v="0"/>
    <x v="2"/>
    <x v="2"/>
    <x v="2"/>
    <x v="0"/>
    <x v="4"/>
    <n v="7"/>
  </r>
  <r>
    <x v="0"/>
    <x v="0"/>
    <x v="2"/>
    <x v="2"/>
    <x v="2"/>
    <x v="0"/>
    <x v="5"/>
    <n v="32"/>
  </r>
  <r>
    <x v="0"/>
    <x v="0"/>
    <x v="2"/>
    <x v="2"/>
    <x v="2"/>
    <x v="0"/>
    <x v="2"/>
    <n v="40"/>
  </r>
  <r>
    <x v="0"/>
    <x v="0"/>
    <x v="2"/>
    <x v="2"/>
    <x v="2"/>
    <x v="0"/>
    <x v="13"/>
    <n v="34"/>
  </r>
  <r>
    <x v="0"/>
    <x v="0"/>
    <x v="2"/>
    <x v="2"/>
    <x v="2"/>
    <x v="0"/>
    <x v="11"/>
    <n v="27"/>
  </r>
  <r>
    <x v="0"/>
    <x v="0"/>
    <x v="2"/>
    <x v="2"/>
    <x v="2"/>
    <x v="0"/>
    <x v="14"/>
    <n v="9"/>
  </r>
  <r>
    <x v="0"/>
    <x v="0"/>
    <x v="2"/>
    <x v="2"/>
    <x v="2"/>
    <x v="0"/>
    <x v="17"/>
    <n v="2"/>
  </r>
  <r>
    <x v="0"/>
    <x v="0"/>
    <x v="2"/>
    <x v="2"/>
    <x v="4"/>
    <x v="0"/>
    <x v="9"/>
    <n v="1"/>
  </r>
  <r>
    <x v="0"/>
    <x v="0"/>
    <x v="2"/>
    <x v="2"/>
    <x v="10"/>
    <x v="0"/>
    <x v="0"/>
    <n v="4"/>
  </r>
  <r>
    <x v="0"/>
    <x v="0"/>
    <x v="2"/>
    <x v="3"/>
    <x v="0"/>
    <x v="0"/>
    <x v="13"/>
    <n v="11"/>
  </r>
  <r>
    <x v="0"/>
    <x v="0"/>
    <x v="2"/>
    <x v="3"/>
    <x v="0"/>
    <x v="0"/>
    <x v="11"/>
    <n v="41"/>
  </r>
  <r>
    <x v="0"/>
    <x v="0"/>
    <x v="2"/>
    <x v="3"/>
    <x v="9"/>
    <x v="1"/>
    <x v="19"/>
    <n v="1"/>
  </r>
  <r>
    <x v="0"/>
    <x v="0"/>
    <x v="2"/>
    <x v="3"/>
    <x v="9"/>
    <x v="0"/>
    <x v="17"/>
    <n v="1"/>
  </r>
  <r>
    <x v="0"/>
    <x v="0"/>
    <x v="2"/>
    <x v="3"/>
    <x v="9"/>
    <x v="0"/>
    <x v="19"/>
    <n v="3"/>
  </r>
  <r>
    <x v="0"/>
    <x v="0"/>
    <x v="2"/>
    <x v="3"/>
    <x v="10"/>
    <x v="0"/>
    <x v="17"/>
    <n v="2"/>
  </r>
  <r>
    <x v="0"/>
    <x v="0"/>
    <x v="2"/>
    <x v="3"/>
    <x v="17"/>
    <x v="0"/>
    <x v="19"/>
    <n v="1"/>
  </r>
  <r>
    <x v="0"/>
    <x v="0"/>
    <x v="2"/>
    <x v="4"/>
    <x v="3"/>
    <x v="0"/>
    <x v="19"/>
    <n v="1"/>
  </r>
  <r>
    <x v="0"/>
    <x v="0"/>
    <x v="2"/>
    <x v="4"/>
    <x v="6"/>
    <x v="0"/>
    <x v="14"/>
    <n v="1"/>
  </r>
  <r>
    <x v="0"/>
    <x v="0"/>
    <x v="2"/>
    <x v="4"/>
    <x v="10"/>
    <x v="0"/>
    <x v="14"/>
    <n v="2"/>
  </r>
  <r>
    <x v="0"/>
    <x v="0"/>
    <x v="2"/>
    <x v="4"/>
    <x v="10"/>
    <x v="0"/>
    <x v="17"/>
    <n v="2"/>
  </r>
  <r>
    <x v="0"/>
    <x v="0"/>
    <x v="2"/>
    <x v="4"/>
    <x v="19"/>
    <x v="0"/>
    <x v="2"/>
    <n v="1"/>
  </r>
  <r>
    <x v="0"/>
    <x v="0"/>
    <x v="2"/>
    <x v="5"/>
    <x v="0"/>
    <x v="0"/>
    <x v="3"/>
    <n v="16"/>
  </r>
  <r>
    <x v="0"/>
    <x v="0"/>
    <x v="3"/>
    <x v="8"/>
    <x v="19"/>
    <x v="11"/>
    <x v="10"/>
    <n v="1"/>
  </r>
  <r>
    <x v="0"/>
    <x v="0"/>
    <x v="3"/>
    <x v="8"/>
    <x v="19"/>
    <x v="6"/>
    <x v="6"/>
    <n v="3"/>
  </r>
  <r>
    <x v="0"/>
    <x v="0"/>
    <x v="3"/>
    <x v="8"/>
    <x v="19"/>
    <x v="9"/>
    <x v="6"/>
    <n v="1"/>
  </r>
  <r>
    <x v="0"/>
    <x v="0"/>
    <x v="3"/>
    <x v="8"/>
    <x v="19"/>
    <x v="7"/>
    <x v="1"/>
    <n v="2"/>
  </r>
  <r>
    <x v="0"/>
    <x v="0"/>
    <x v="3"/>
    <x v="8"/>
    <x v="19"/>
    <x v="8"/>
    <x v="1"/>
    <n v="3"/>
  </r>
  <r>
    <x v="0"/>
    <x v="0"/>
    <x v="3"/>
    <x v="10"/>
    <x v="2"/>
    <x v="0"/>
    <x v="19"/>
    <n v="11"/>
  </r>
  <r>
    <x v="0"/>
    <x v="0"/>
    <x v="3"/>
    <x v="10"/>
    <x v="4"/>
    <x v="0"/>
    <x v="13"/>
    <n v="2"/>
  </r>
  <r>
    <x v="0"/>
    <x v="0"/>
    <x v="3"/>
    <x v="10"/>
    <x v="4"/>
    <x v="0"/>
    <x v="11"/>
    <n v="3"/>
  </r>
  <r>
    <x v="0"/>
    <x v="0"/>
    <x v="3"/>
    <x v="10"/>
    <x v="4"/>
    <x v="0"/>
    <x v="14"/>
    <n v="1"/>
  </r>
  <r>
    <x v="0"/>
    <x v="0"/>
    <x v="3"/>
    <x v="10"/>
    <x v="16"/>
    <x v="4"/>
    <x v="10"/>
    <n v="1"/>
  </r>
  <r>
    <x v="0"/>
    <x v="0"/>
    <x v="3"/>
    <x v="10"/>
    <x v="16"/>
    <x v="11"/>
    <x v="6"/>
    <n v="1"/>
  </r>
  <r>
    <x v="0"/>
    <x v="0"/>
    <x v="3"/>
    <x v="10"/>
    <x v="7"/>
    <x v="9"/>
    <x v="10"/>
    <n v="1"/>
  </r>
  <r>
    <x v="0"/>
    <x v="0"/>
    <x v="3"/>
    <x v="10"/>
    <x v="7"/>
    <x v="1"/>
    <x v="10"/>
    <n v="6"/>
  </r>
  <r>
    <x v="0"/>
    <x v="0"/>
    <x v="3"/>
    <x v="10"/>
    <x v="19"/>
    <x v="14"/>
    <x v="3"/>
    <n v="1"/>
  </r>
  <r>
    <x v="0"/>
    <x v="0"/>
    <x v="3"/>
    <x v="10"/>
    <x v="19"/>
    <x v="14"/>
    <x v="4"/>
    <n v="1"/>
  </r>
  <r>
    <x v="0"/>
    <x v="0"/>
    <x v="3"/>
    <x v="10"/>
    <x v="19"/>
    <x v="13"/>
    <x v="12"/>
    <n v="1"/>
  </r>
  <r>
    <x v="0"/>
    <x v="0"/>
    <x v="3"/>
    <x v="10"/>
    <x v="19"/>
    <x v="13"/>
    <x v="9"/>
    <n v="2"/>
  </r>
  <r>
    <x v="0"/>
    <x v="0"/>
    <x v="3"/>
    <x v="10"/>
    <x v="19"/>
    <x v="13"/>
    <x v="3"/>
    <n v="1"/>
  </r>
  <r>
    <x v="0"/>
    <x v="0"/>
    <x v="3"/>
    <x v="10"/>
    <x v="19"/>
    <x v="2"/>
    <x v="15"/>
    <n v="90"/>
  </r>
  <r>
    <x v="0"/>
    <x v="0"/>
    <x v="3"/>
    <x v="10"/>
    <x v="19"/>
    <x v="2"/>
    <x v="1"/>
    <n v="3"/>
  </r>
  <r>
    <x v="0"/>
    <x v="0"/>
    <x v="3"/>
    <x v="10"/>
    <x v="19"/>
    <x v="2"/>
    <x v="12"/>
    <n v="2"/>
  </r>
  <r>
    <x v="0"/>
    <x v="0"/>
    <x v="3"/>
    <x v="10"/>
    <x v="19"/>
    <x v="10"/>
    <x v="1"/>
    <n v="6"/>
  </r>
  <r>
    <x v="0"/>
    <x v="0"/>
    <x v="3"/>
    <x v="10"/>
    <x v="19"/>
    <x v="3"/>
    <x v="10"/>
    <n v="10"/>
  </r>
  <r>
    <x v="0"/>
    <x v="0"/>
    <x v="3"/>
    <x v="10"/>
    <x v="19"/>
    <x v="4"/>
    <x v="10"/>
    <n v="7"/>
  </r>
  <r>
    <x v="0"/>
    <x v="0"/>
    <x v="3"/>
    <x v="10"/>
    <x v="19"/>
    <x v="5"/>
    <x v="6"/>
    <n v="17"/>
  </r>
  <r>
    <x v="0"/>
    <x v="0"/>
    <x v="3"/>
    <x v="10"/>
    <x v="19"/>
    <x v="5"/>
    <x v="10"/>
    <n v="8"/>
  </r>
  <r>
    <x v="0"/>
    <x v="0"/>
    <x v="3"/>
    <x v="10"/>
    <x v="19"/>
    <x v="11"/>
    <x v="6"/>
    <n v="19"/>
  </r>
  <r>
    <x v="0"/>
    <x v="0"/>
    <x v="3"/>
    <x v="10"/>
    <x v="19"/>
    <x v="6"/>
    <x v="7"/>
    <n v="68"/>
  </r>
  <r>
    <x v="0"/>
    <x v="0"/>
    <x v="3"/>
    <x v="10"/>
    <x v="19"/>
    <x v="6"/>
    <x v="6"/>
    <n v="39"/>
  </r>
  <r>
    <x v="0"/>
    <x v="0"/>
    <x v="3"/>
    <x v="10"/>
    <x v="19"/>
    <x v="9"/>
    <x v="7"/>
    <n v="43"/>
  </r>
  <r>
    <x v="0"/>
    <x v="0"/>
    <x v="3"/>
    <x v="10"/>
    <x v="19"/>
    <x v="12"/>
    <x v="7"/>
    <n v="11"/>
  </r>
  <r>
    <x v="0"/>
    <x v="0"/>
    <x v="3"/>
    <x v="10"/>
    <x v="19"/>
    <x v="7"/>
    <x v="9"/>
    <n v="2"/>
  </r>
  <r>
    <x v="0"/>
    <x v="0"/>
    <x v="3"/>
    <x v="10"/>
    <x v="19"/>
    <x v="8"/>
    <x v="10"/>
    <n v="15"/>
  </r>
  <r>
    <x v="0"/>
    <x v="0"/>
    <x v="3"/>
    <x v="10"/>
    <x v="19"/>
    <x v="8"/>
    <x v="12"/>
    <n v="2"/>
  </r>
  <r>
    <x v="0"/>
    <x v="0"/>
    <x v="3"/>
    <x v="11"/>
    <x v="0"/>
    <x v="6"/>
    <x v="8"/>
    <n v="1"/>
  </r>
  <r>
    <x v="0"/>
    <x v="0"/>
    <x v="3"/>
    <x v="11"/>
    <x v="0"/>
    <x v="9"/>
    <x v="8"/>
    <n v="1"/>
  </r>
  <r>
    <x v="0"/>
    <x v="0"/>
    <x v="3"/>
    <x v="11"/>
    <x v="0"/>
    <x v="9"/>
    <x v="7"/>
    <n v="1"/>
  </r>
  <r>
    <x v="0"/>
    <x v="0"/>
    <x v="3"/>
    <x v="11"/>
    <x v="0"/>
    <x v="7"/>
    <x v="6"/>
    <n v="3"/>
  </r>
  <r>
    <x v="0"/>
    <x v="0"/>
    <x v="3"/>
    <x v="11"/>
    <x v="0"/>
    <x v="7"/>
    <x v="10"/>
    <n v="3"/>
  </r>
  <r>
    <x v="0"/>
    <x v="0"/>
    <x v="3"/>
    <x v="11"/>
    <x v="0"/>
    <x v="7"/>
    <x v="1"/>
    <n v="1"/>
  </r>
  <r>
    <x v="0"/>
    <x v="0"/>
    <x v="3"/>
    <x v="11"/>
    <x v="0"/>
    <x v="1"/>
    <x v="8"/>
    <n v="2"/>
  </r>
  <r>
    <x v="0"/>
    <x v="0"/>
    <x v="3"/>
    <x v="11"/>
    <x v="0"/>
    <x v="1"/>
    <x v="13"/>
    <n v="1"/>
  </r>
  <r>
    <x v="0"/>
    <x v="0"/>
    <x v="3"/>
    <x v="11"/>
    <x v="0"/>
    <x v="8"/>
    <x v="6"/>
    <n v="8"/>
  </r>
  <r>
    <x v="0"/>
    <x v="0"/>
    <x v="3"/>
    <x v="11"/>
    <x v="0"/>
    <x v="8"/>
    <x v="10"/>
    <n v="1"/>
  </r>
  <r>
    <x v="0"/>
    <x v="0"/>
    <x v="3"/>
    <x v="11"/>
    <x v="0"/>
    <x v="0"/>
    <x v="3"/>
    <n v="1"/>
  </r>
  <r>
    <x v="0"/>
    <x v="0"/>
    <x v="3"/>
    <x v="11"/>
    <x v="1"/>
    <x v="9"/>
    <x v="5"/>
    <n v="1"/>
  </r>
  <r>
    <x v="0"/>
    <x v="0"/>
    <x v="3"/>
    <x v="11"/>
    <x v="5"/>
    <x v="0"/>
    <x v="9"/>
    <n v="1"/>
  </r>
  <r>
    <x v="0"/>
    <x v="0"/>
    <x v="3"/>
    <x v="11"/>
    <x v="8"/>
    <x v="14"/>
    <x v="7"/>
    <n v="13"/>
  </r>
  <r>
    <x v="0"/>
    <x v="0"/>
    <x v="3"/>
    <x v="11"/>
    <x v="8"/>
    <x v="14"/>
    <x v="6"/>
    <n v="2"/>
  </r>
  <r>
    <x v="0"/>
    <x v="0"/>
    <x v="3"/>
    <x v="11"/>
    <x v="8"/>
    <x v="13"/>
    <x v="8"/>
    <n v="19"/>
  </r>
  <r>
    <x v="0"/>
    <x v="0"/>
    <x v="3"/>
    <x v="11"/>
    <x v="8"/>
    <x v="13"/>
    <x v="7"/>
    <n v="18"/>
  </r>
  <r>
    <x v="0"/>
    <x v="0"/>
    <x v="3"/>
    <x v="11"/>
    <x v="8"/>
    <x v="2"/>
    <x v="15"/>
    <n v="135"/>
  </r>
  <r>
    <x v="0"/>
    <x v="0"/>
    <x v="3"/>
    <x v="11"/>
    <x v="8"/>
    <x v="2"/>
    <x v="8"/>
    <n v="29"/>
  </r>
  <r>
    <x v="0"/>
    <x v="0"/>
    <x v="3"/>
    <x v="11"/>
    <x v="8"/>
    <x v="10"/>
    <x v="15"/>
    <n v="86"/>
  </r>
  <r>
    <x v="0"/>
    <x v="0"/>
    <x v="3"/>
    <x v="11"/>
    <x v="8"/>
    <x v="10"/>
    <x v="8"/>
    <n v="30"/>
  </r>
  <r>
    <x v="0"/>
    <x v="0"/>
    <x v="3"/>
    <x v="11"/>
    <x v="8"/>
    <x v="10"/>
    <x v="3"/>
    <n v="1"/>
  </r>
  <r>
    <x v="0"/>
    <x v="0"/>
    <x v="3"/>
    <x v="11"/>
    <x v="8"/>
    <x v="10"/>
    <x v="5"/>
    <n v="1"/>
  </r>
  <r>
    <x v="0"/>
    <x v="0"/>
    <x v="3"/>
    <x v="11"/>
    <x v="8"/>
    <x v="3"/>
    <x v="15"/>
    <n v="22"/>
  </r>
  <r>
    <x v="0"/>
    <x v="0"/>
    <x v="3"/>
    <x v="11"/>
    <x v="8"/>
    <x v="3"/>
    <x v="8"/>
    <n v="82"/>
  </r>
  <r>
    <x v="0"/>
    <x v="0"/>
    <x v="3"/>
    <x v="11"/>
    <x v="8"/>
    <x v="3"/>
    <x v="9"/>
    <n v="2"/>
  </r>
  <r>
    <x v="0"/>
    <x v="0"/>
    <x v="3"/>
    <x v="11"/>
    <x v="8"/>
    <x v="3"/>
    <x v="4"/>
    <n v="2"/>
  </r>
  <r>
    <x v="0"/>
    <x v="0"/>
    <x v="3"/>
    <x v="11"/>
    <x v="8"/>
    <x v="4"/>
    <x v="15"/>
    <n v="1"/>
  </r>
  <r>
    <x v="0"/>
    <x v="0"/>
    <x v="3"/>
    <x v="11"/>
    <x v="8"/>
    <x v="4"/>
    <x v="12"/>
    <n v="1"/>
  </r>
  <r>
    <x v="0"/>
    <x v="0"/>
    <x v="3"/>
    <x v="11"/>
    <x v="8"/>
    <x v="4"/>
    <x v="9"/>
    <n v="1"/>
  </r>
  <r>
    <x v="0"/>
    <x v="0"/>
    <x v="3"/>
    <x v="11"/>
    <x v="8"/>
    <x v="6"/>
    <x v="1"/>
    <n v="2"/>
  </r>
  <r>
    <x v="0"/>
    <x v="0"/>
    <x v="3"/>
    <x v="11"/>
    <x v="8"/>
    <x v="9"/>
    <x v="1"/>
    <n v="1"/>
  </r>
  <r>
    <x v="0"/>
    <x v="0"/>
    <x v="3"/>
    <x v="11"/>
    <x v="8"/>
    <x v="12"/>
    <x v="10"/>
    <n v="4"/>
  </r>
  <r>
    <x v="0"/>
    <x v="0"/>
    <x v="3"/>
    <x v="11"/>
    <x v="8"/>
    <x v="1"/>
    <x v="10"/>
    <n v="4"/>
  </r>
  <r>
    <x v="0"/>
    <x v="0"/>
    <x v="3"/>
    <x v="11"/>
    <x v="8"/>
    <x v="0"/>
    <x v="10"/>
    <n v="3"/>
  </r>
  <r>
    <x v="0"/>
    <x v="0"/>
    <x v="3"/>
    <x v="11"/>
    <x v="18"/>
    <x v="0"/>
    <x v="10"/>
    <n v="1"/>
  </r>
  <r>
    <x v="0"/>
    <x v="0"/>
    <x v="3"/>
    <x v="12"/>
    <x v="4"/>
    <x v="8"/>
    <x v="6"/>
    <n v="1"/>
  </r>
  <r>
    <x v="0"/>
    <x v="0"/>
    <x v="3"/>
    <x v="12"/>
    <x v="6"/>
    <x v="15"/>
    <x v="11"/>
    <n v="1"/>
  </r>
  <r>
    <x v="0"/>
    <x v="0"/>
    <x v="3"/>
    <x v="12"/>
    <x v="6"/>
    <x v="13"/>
    <x v="4"/>
    <n v="1"/>
  </r>
  <r>
    <x v="0"/>
    <x v="0"/>
    <x v="3"/>
    <x v="12"/>
    <x v="6"/>
    <x v="2"/>
    <x v="12"/>
    <n v="1"/>
  </r>
  <r>
    <x v="0"/>
    <x v="0"/>
    <x v="3"/>
    <x v="12"/>
    <x v="6"/>
    <x v="3"/>
    <x v="1"/>
    <n v="2"/>
  </r>
  <r>
    <x v="0"/>
    <x v="0"/>
    <x v="3"/>
    <x v="12"/>
    <x v="6"/>
    <x v="4"/>
    <x v="1"/>
    <n v="2"/>
  </r>
  <r>
    <x v="0"/>
    <x v="0"/>
    <x v="3"/>
    <x v="12"/>
    <x v="6"/>
    <x v="5"/>
    <x v="10"/>
    <n v="1"/>
  </r>
  <r>
    <x v="0"/>
    <x v="0"/>
    <x v="3"/>
    <x v="12"/>
    <x v="6"/>
    <x v="5"/>
    <x v="1"/>
    <n v="1"/>
  </r>
  <r>
    <x v="0"/>
    <x v="0"/>
    <x v="3"/>
    <x v="12"/>
    <x v="6"/>
    <x v="11"/>
    <x v="10"/>
    <n v="3"/>
  </r>
  <r>
    <x v="0"/>
    <x v="0"/>
    <x v="3"/>
    <x v="12"/>
    <x v="6"/>
    <x v="6"/>
    <x v="6"/>
    <n v="2"/>
  </r>
  <r>
    <x v="0"/>
    <x v="0"/>
    <x v="3"/>
    <x v="12"/>
    <x v="6"/>
    <x v="6"/>
    <x v="10"/>
    <n v="3"/>
  </r>
  <r>
    <x v="0"/>
    <x v="0"/>
    <x v="3"/>
    <x v="12"/>
    <x v="6"/>
    <x v="7"/>
    <x v="12"/>
    <n v="2"/>
  </r>
  <r>
    <x v="0"/>
    <x v="0"/>
    <x v="3"/>
    <x v="12"/>
    <x v="6"/>
    <x v="8"/>
    <x v="9"/>
    <n v="2"/>
  </r>
  <r>
    <x v="0"/>
    <x v="0"/>
    <x v="3"/>
    <x v="12"/>
    <x v="11"/>
    <x v="0"/>
    <x v="1"/>
    <n v="1"/>
  </r>
  <r>
    <x v="0"/>
    <x v="0"/>
    <x v="3"/>
    <x v="13"/>
    <x v="13"/>
    <x v="0"/>
    <x v="10"/>
    <n v="1"/>
  </r>
  <r>
    <x v="0"/>
    <x v="0"/>
    <x v="3"/>
    <x v="13"/>
    <x v="15"/>
    <x v="9"/>
    <x v="10"/>
    <n v="5"/>
  </r>
  <r>
    <x v="0"/>
    <x v="0"/>
    <x v="3"/>
    <x v="13"/>
    <x v="15"/>
    <x v="9"/>
    <x v="1"/>
    <n v="1"/>
  </r>
  <r>
    <x v="0"/>
    <x v="0"/>
    <x v="3"/>
    <x v="13"/>
    <x v="15"/>
    <x v="12"/>
    <x v="10"/>
    <n v="3"/>
  </r>
  <r>
    <x v="0"/>
    <x v="0"/>
    <x v="3"/>
    <x v="13"/>
    <x v="15"/>
    <x v="8"/>
    <x v="12"/>
    <n v="2"/>
  </r>
  <r>
    <x v="0"/>
    <x v="0"/>
    <x v="3"/>
    <x v="13"/>
    <x v="7"/>
    <x v="5"/>
    <x v="10"/>
    <n v="1"/>
  </r>
  <r>
    <x v="0"/>
    <x v="0"/>
    <x v="3"/>
    <x v="13"/>
    <x v="7"/>
    <x v="5"/>
    <x v="1"/>
    <n v="1"/>
  </r>
  <r>
    <x v="0"/>
    <x v="0"/>
    <x v="3"/>
    <x v="13"/>
    <x v="7"/>
    <x v="6"/>
    <x v="10"/>
    <n v="2"/>
  </r>
  <r>
    <x v="0"/>
    <x v="0"/>
    <x v="3"/>
    <x v="13"/>
    <x v="7"/>
    <x v="7"/>
    <x v="9"/>
    <n v="1"/>
  </r>
  <r>
    <x v="0"/>
    <x v="0"/>
    <x v="3"/>
    <x v="14"/>
    <x v="0"/>
    <x v="0"/>
    <x v="12"/>
    <n v="2"/>
  </r>
  <r>
    <x v="0"/>
    <x v="0"/>
    <x v="3"/>
    <x v="14"/>
    <x v="0"/>
    <x v="0"/>
    <x v="9"/>
    <n v="2"/>
  </r>
  <r>
    <x v="0"/>
    <x v="0"/>
    <x v="3"/>
    <x v="14"/>
    <x v="0"/>
    <x v="0"/>
    <x v="3"/>
    <n v="2"/>
  </r>
  <r>
    <x v="0"/>
    <x v="0"/>
    <x v="3"/>
    <x v="14"/>
    <x v="0"/>
    <x v="0"/>
    <x v="4"/>
    <n v="1"/>
  </r>
  <r>
    <x v="0"/>
    <x v="0"/>
    <x v="3"/>
    <x v="14"/>
    <x v="0"/>
    <x v="0"/>
    <x v="0"/>
    <n v="1"/>
  </r>
  <r>
    <x v="0"/>
    <x v="0"/>
    <x v="3"/>
    <x v="14"/>
    <x v="11"/>
    <x v="1"/>
    <x v="10"/>
    <n v="1"/>
  </r>
  <r>
    <x v="0"/>
    <x v="0"/>
    <x v="3"/>
    <x v="14"/>
    <x v="11"/>
    <x v="0"/>
    <x v="1"/>
    <n v="4"/>
  </r>
  <r>
    <x v="0"/>
    <x v="0"/>
    <x v="3"/>
    <x v="18"/>
    <x v="2"/>
    <x v="0"/>
    <x v="2"/>
    <n v="4"/>
  </r>
  <r>
    <x v="0"/>
    <x v="0"/>
    <x v="3"/>
    <x v="18"/>
    <x v="2"/>
    <x v="0"/>
    <x v="13"/>
    <n v="1"/>
  </r>
  <r>
    <x v="0"/>
    <x v="0"/>
    <x v="3"/>
    <x v="18"/>
    <x v="2"/>
    <x v="0"/>
    <x v="11"/>
    <n v="5"/>
  </r>
  <r>
    <x v="0"/>
    <x v="0"/>
    <x v="3"/>
    <x v="18"/>
    <x v="3"/>
    <x v="10"/>
    <x v="1"/>
    <n v="1"/>
  </r>
  <r>
    <x v="0"/>
    <x v="0"/>
    <x v="3"/>
    <x v="18"/>
    <x v="3"/>
    <x v="3"/>
    <x v="1"/>
    <n v="1"/>
  </r>
  <r>
    <x v="0"/>
    <x v="0"/>
    <x v="3"/>
    <x v="18"/>
    <x v="3"/>
    <x v="4"/>
    <x v="10"/>
    <n v="4"/>
  </r>
  <r>
    <x v="0"/>
    <x v="0"/>
    <x v="3"/>
    <x v="18"/>
    <x v="3"/>
    <x v="4"/>
    <x v="1"/>
    <n v="2"/>
  </r>
  <r>
    <x v="0"/>
    <x v="0"/>
    <x v="3"/>
    <x v="18"/>
    <x v="3"/>
    <x v="11"/>
    <x v="6"/>
    <n v="21"/>
  </r>
  <r>
    <x v="0"/>
    <x v="0"/>
    <x v="3"/>
    <x v="18"/>
    <x v="3"/>
    <x v="6"/>
    <x v="6"/>
    <n v="17"/>
  </r>
  <r>
    <x v="0"/>
    <x v="0"/>
    <x v="3"/>
    <x v="18"/>
    <x v="3"/>
    <x v="9"/>
    <x v="6"/>
    <n v="2"/>
  </r>
  <r>
    <x v="0"/>
    <x v="0"/>
    <x v="3"/>
    <x v="18"/>
    <x v="3"/>
    <x v="7"/>
    <x v="1"/>
    <n v="1"/>
  </r>
  <r>
    <x v="0"/>
    <x v="0"/>
    <x v="3"/>
    <x v="18"/>
    <x v="3"/>
    <x v="8"/>
    <x v="1"/>
    <n v="1"/>
  </r>
  <r>
    <x v="0"/>
    <x v="0"/>
    <x v="3"/>
    <x v="15"/>
    <x v="4"/>
    <x v="0"/>
    <x v="19"/>
    <n v="31"/>
  </r>
  <r>
    <x v="0"/>
    <x v="0"/>
    <x v="3"/>
    <x v="15"/>
    <x v="9"/>
    <x v="0"/>
    <x v="10"/>
    <n v="2"/>
  </r>
  <r>
    <x v="0"/>
    <x v="0"/>
    <x v="3"/>
    <x v="15"/>
    <x v="9"/>
    <x v="0"/>
    <x v="1"/>
    <n v="9"/>
  </r>
  <r>
    <x v="0"/>
    <x v="0"/>
    <x v="3"/>
    <x v="16"/>
    <x v="4"/>
    <x v="0"/>
    <x v="12"/>
    <n v="4"/>
  </r>
  <r>
    <x v="0"/>
    <x v="0"/>
    <x v="3"/>
    <x v="16"/>
    <x v="4"/>
    <x v="0"/>
    <x v="9"/>
    <n v="3"/>
  </r>
  <r>
    <x v="0"/>
    <x v="0"/>
    <x v="3"/>
    <x v="16"/>
    <x v="4"/>
    <x v="0"/>
    <x v="3"/>
    <n v="4"/>
  </r>
  <r>
    <x v="0"/>
    <x v="0"/>
    <x v="3"/>
    <x v="16"/>
    <x v="16"/>
    <x v="0"/>
    <x v="0"/>
    <n v="4"/>
  </r>
  <r>
    <x v="0"/>
    <x v="0"/>
    <x v="3"/>
    <x v="16"/>
    <x v="1"/>
    <x v="13"/>
    <x v="19"/>
    <n v="1"/>
  </r>
  <r>
    <x v="0"/>
    <x v="0"/>
    <x v="3"/>
    <x v="16"/>
    <x v="1"/>
    <x v="2"/>
    <x v="13"/>
    <n v="1"/>
  </r>
  <r>
    <x v="0"/>
    <x v="0"/>
    <x v="3"/>
    <x v="16"/>
    <x v="1"/>
    <x v="2"/>
    <x v="14"/>
    <n v="2"/>
  </r>
  <r>
    <x v="0"/>
    <x v="0"/>
    <x v="3"/>
    <x v="16"/>
    <x v="1"/>
    <x v="3"/>
    <x v="5"/>
    <n v="1"/>
  </r>
  <r>
    <x v="0"/>
    <x v="0"/>
    <x v="3"/>
    <x v="16"/>
    <x v="1"/>
    <x v="3"/>
    <x v="2"/>
    <n v="3"/>
  </r>
  <r>
    <x v="0"/>
    <x v="0"/>
    <x v="3"/>
    <x v="16"/>
    <x v="1"/>
    <x v="4"/>
    <x v="4"/>
    <n v="4"/>
  </r>
  <r>
    <x v="0"/>
    <x v="0"/>
    <x v="3"/>
    <x v="16"/>
    <x v="1"/>
    <x v="4"/>
    <x v="5"/>
    <n v="1"/>
  </r>
  <r>
    <x v="0"/>
    <x v="0"/>
    <x v="3"/>
    <x v="16"/>
    <x v="1"/>
    <x v="4"/>
    <x v="2"/>
    <n v="2"/>
  </r>
  <r>
    <x v="0"/>
    <x v="0"/>
    <x v="3"/>
    <x v="16"/>
    <x v="1"/>
    <x v="5"/>
    <x v="18"/>
    <n v="1"/>
  </r>
  <r>
    <x v="0"/>
    <x v="0"/>
    <x v="3"/>
    <x v="17"/>
    <x v="0"/>
    <x v="0"/>
    <x v="5"/>
    <n v="1"/>
  </r>
  <r>
    <x v="0"/>
    <x v="0"/>
    <x v="3"/>
    <x v="17"/>
    <x v="0"/>
    <x v="0"/>
    <x v="17"/>
    <n v="1"/>
  </r>
  <r>
    <x v="0"/>
    <x v="0"/>
    <x v="3"/>
    <x v="17"/>
    <x v="1"/>
    <x v="0"/>
    <x v="14"/>
    <n v="1"/>
  </r>
  <r>
    <x v="0"/>
    <x v="0"/>
    <x v="3"/>
    <x v="17"/>
    <x v="5"/>
    <x v="0"/>
    <x v="11"/>
    <n v="1"/>
  </r>
  <r>
    <x v="0"/>
    <x v="0"/>
    <x v="3"/>
    <x v="17"/>
    <x v="7"/>
    <x v="0"/>
    <x v="1"/>
    <n v="1"/>
  </r>
  <r>
    <x v="0"/>
    <x v="0"/>
    <x v="3"/>
    <x v="17"/>
    <x v="10"/>
    <x v="1"/>
    <x v="10"/>
    <n v="1"/>
  </r>
  <r>
    <x v="0"/>
    <x v="0"/>
    <x v="3"/>
    <x v="17"/>
    <x v="17"/>
    <x v="0"/>
    <x v="19"/>
    <n v="1"/>
  </r>
  <r>
    <x v="0"/>
    <x v="0"/>
    <x v="3"/>
    <x v="19"/>
    <x v="0"/>
    <x v="0"/>
    <x v="0"/>
    <n v="1"/>
  </r>
  <r>
    <x v="0"/>
    <x v="0"/>
    <x v="3"/>
    <x v="19"/>
    <x v="12"/>
    <x v="8"/>
    <x v="1"/>
    <n v="5"/>
  </r>
  <r>
    <x v="0"/>
    <x v="0"/>
    <x v="3"/>
    <x v="19"/>
    <x v="12"/>
    <x v="0"/>
    <x v="7"/>
    <n v="32"/>
  </r>
  <r>
    <x v="0"/>
    <x v="0"/>
    <x v="3"/>
    <x v="19"/>
    <x v="12"/>
    <x v="0"/>
    <x v="11"/>
    <n v="4"/>
  </r>
  <r>
    <x v="0"/>
    <x v="0"/>
    <x v="3"/>
    <x v="19"/>
    <x v="12"/>
    <x v="0"/>
    <x v="14"/>
    <n v="3"/>
  </r>
  <r>
    <x v="0"/>
    <x v="0"/>
    <x v="3"/>
    <x v="19"/>
    <x v="12"/>
    <x v="0"/>
    <x v="17"/>
    <n v="2"/>
  </r>
  <r>
    <x v="0"/>
    <x v="0"/>
    <x v="3"/>
    <x v="19"/>
    <x v="10"/>
    <x v="7"/>
    <x v="7"/>
    <n v="1"/>
  </r>
  <r>
    <x v="0"/>
    <x v="0"/>
    <x v="3"/>
    <x v="19"/>
    <x v="10"/>
    <x v="7"/>
    <x v="6"/>
    <n v="7"/>
  </r>
  <r>
    <x v="0"/>
    <x v="0"/>
    <x v="3"/>
    <x v="19"/>
    <x v="10"/>
    <x v="7"/>
    <x v="10"/>
    <n v="1"/>
  </r>
  <r>
    <x v="0"/>
    <x v="0"/>
    <x v="3"/>
    <x v="19"/>
    <x v="10"/>
    <x v="8"/>
    <x v="6"/>
    <n v="3"/>
  </r>
  <r>
    <x v="0"/>
    <x v="0"/>
    <x v="3"/>
    <x v="19"/>
    <x v="10"/>
    <x v="8"/>
    <x v="10"/>
    <n v="5"/>
  </r>
  <r>
    <x v="0"/>
    <x v="0"/>
    <x v="3"/>
    <x v="19"/>
    <x v="11"/>
    <x v="0"/>
    <x v="17"/>
    <n v="5"/>
  </r>
  <r>
    <x v="0"/>
    <x v="0"/>
    <x v="3"/>
    <x v="19"/>
    <x v="11"/>
    <x v="0"/>
    <x v="19"/>
    <n v="16"/>
  </r>
  <r>
    <x v="0"/>
    <x v="0"/>
    <x v="3"/>
    <x v="19"/>
    <x v="18"/>
    <x v="0"/>
    <x v="17"/>
    <n v="1"/>
  </r>
  <r>
    <x v="0"/>
    <x v="0"/>
    <x v="4"/>
    <x v="0"/>
    <x v="1"/>
    <x v="11"/>
    <x v="1"/>
    <n v="1"/>
  </r>
  <r>
    <x v="0"/>
    <x v="0"/>
    <x v="4"/>
    <x v="0"/>
    <x v="1"/>
    <x v="6"/>
    <x v="10"/>
    <n v="2"/>
  </r>
  <r>
    <x v="0"/>
    <x v="0"/>
    <x v="4"/>
    <x v="0"/>
    <x v="1"/>
    <x v="9"/>
    <x v="6"/>
    <n v="2"/>
  </r>
  <r>
    <x v="0"/>
    <x v="0"/>
    <x v="4"/>
    <x v="0"/>
    <x v="1"/>
    <x v="9"/>
    <x v="10"/>
    <n v="4"/>
  </r>
  <r>
    <x v="0"/>
    <x v="0"/>
    <x v="4"/>
    <x v="0"/>
    <x v="1"/>
    <x v="12"/>
    <x v="6"/>
    <n v="11"/>
  </r>
  <r>
    <x v="0"/>
    <x v="0"/>
    <x v="4"/>
    <x v="0"/>
    <x v="1"/>
    <x v="12"/>
    <x v="10"/>
    <n v="2"/>
  </r>
  <r>
    <x v="0"/>
    <x v="0"/>
    <x v="4"/>
    <x v="0"/>
    <x v="1"/>
    <x v="12"/>
    <x v="1"/>
    <n v="2"/>
  </r>
  <r>
    <x v="0"/>
    <x v="0"/>
    <x v="4"/>
    <x v="0"/>
    <x v="1"/>
    <x v="7"/>
    <x v="12"/>
    <n v="1"/>
  </r>
  <r>
    <x v="0"/>
    <x v="0"/>
    <x v="4"/>
    <x v="0"/>
    <x v="1"/>
    <x v="7"/>
    <x v="4"/>
    <n v="1"/>
  </r>
  <r>
    <x v="0"/>
    <x v="0"/>
    <x v="4"/>
    <x v="0"/>
    <x v="1"/>
    <x v="7"/>
    <x v="5"/>
    <n v="1"/>
  </r>
  <r>
    <x v="0"/>
    <x v="0"/>
    <x v="4"/>
    <x v="0"/>
    <x v="1"/>
    <x v="1"/>
    <x v="7"/>
    <n v="87"/>
  </r>
  <r>
    <x v="0"/>
    <x v="0"/>
    <x v="4"/>
    <x v="4"/>
    <x v="19"/>
    <x v="0"/>
    <x v="11"/>
    <n v="1"/>
  </r>
  <r>
    <x v="0"/>
    <x v="0"/>
    <x v="4"/>
    <x v="5"/>
    <x v="16"/>
    <x v="0"/>
    <x v="4"/>
    <n v="2"/>
  </r>
  <r>
    <x v="0"/>
    <x v="0"/>
    <x v="4"/>
    <x v="5"/>
    <x v="5"/>
    <x v="5"/>
    <x v="9"/>
    <n v="2"/>
  </r>
  <r>
    <x v="0"/>
    <x v="0"/>
    <x v="4"/>
    <x v="5"/>
    <x v="5"/>
    <x v="5"/>
    <x v="3"/>
    <n v="1"/>
  </r>
  <r>
    <x v="0"/>
    <x v="0"/>
    <x v="4"/>
    <x v="5"/>
    <x v="5"/>
    <x v="5"/>
    <x v="4"/>
    <n v="1"/>
  </r>
  <r>
    <x v="0"/>
    <x v="0"/>
    <x v="4"/>
    <x v="5"/>
    <x v="5"/>
    <x v="11"/>
    <x v="12"/>
    <n v="3"/>
  </r>
  <r>
    <x v="0"/>
    <x v="0"/>
    <x v="4"/>
    <x v="5"/>
    <x v="5"/>
    <x v="11"/>
    <x v="3"/>
    <n v="2"/>
  </r>
  <r>
    <x v="0"/>
    <x v="0"/>
    <x v="4"/>
    <x v="5"/>
    <x v="5"/>
    <x v="6"/>
    <x v="12"/>
    <n v="2"/>
  </r>
  <r>
    <x v="0"/>
    <x v="0"/>
    <x v="4"/>
    <x v="5"/>
    <x v="5"/>
    <x v="6"/>
    <x v="3"/>
    <n v="2"/>
  </r>
  <r>
    <x v="0"/>
    <x v="0"/>
    <x v="4"/>
    <x v="5"/>
    <x v="5"/>
    <x v="9"/>
    <x v="1"/>
    <n v="3"/>
  </r>
  <r>
    <x v="0"/>
    <x v="0"/>
    <x v="4"/>
    <x v="5"/>
    <x v="5"/>
    <x v="9"/>
    <x v="12"/>
    <n v="1"/>
  </r>
  <r>
    <x v="0"/>
    <x v="0"/>
    <x v="4"/>
    <x v="5"/>
    <x v="5"/>
    <x v="9"/>
    <x v="9"/>
    <n v="2"/>
  </r>
  <r>
    <x v="0"/>
    <x v="0"/>
    <x v="4"/>
    <x v="5"/>
    <x v="5"/>
    <x v="12"/>
    <x v="1"/>
    <n v="5"/>
  </r>
  <r>
    <x v="0"/>
    <x v="0"/>
    <x v="4"/>
    <x v="5"/>
    <x v="5"/>
    <x v="12"/>
    <x v="12"/>
    <n v="3"/>
  </r>
  <r>
    <x v="0"/>
    <x v="0"/>
    <x v="4"/>
    <x v="5"/>
    <x v="5"/>
    <x v="12"/>
    <x v="9"/>
    <n v="2"/>
  </r>
  <r>
    <x v="0"/>
    <x v="0"/>
    <x v="4"/>
    <x v="5"/>
    <x v="5"/>
    <x v="1"/>
    <x v="10"/>
    <n v="3"/>
  </r>
  <r>
    <x v="0"/>
    <x v="0"/>
    <x v="4"/>
    <x v="5"/>
    <x v="5"/>
    <x v="1"/>
    <x v="1"/>
    <n v="4"/>
  </r>
  <r>
    <x v="0"/>
    <x v="0"/>
    <x v="4"/>
    <x v="5"/>
    <x v="5"/>
    <x v="1"/>
    <x v="12"/>
    <n v="3"/>
  </r>
  <r>
    <x v="0"/>
    <x v="0"/>
    <x v="4"/>
    <x v="5"/>
    <x v="5"/>
    <x v="0"/>
    <x v="10"/>
    <n v="1"/>
  </r>
  <r>
    <x v="0"/>
    <x v="0"/>
    <x v="4"/>
    <x v="5"/>
    <x v="5"/>
    <x v="0"/>
    <x v="1"/>
    <n v="5"/>
  </r>
  <r>
    <x v="0"/>
    <x v="0"/>
    <x v="4"/>
    <x v="5"/>
    <x v="13"/>
    <x v="0"/>
    <x v="19"/>
    <n v="14"/>
  </r>
  <r>
    <x v="0"/>
    <x v="0"/>
    <x v="4"/>
    <x v="5"/>
    <x v="9"/>
    <x v="9"/>
    <x v="13"/>
    <n v="1"/>
  </r>
  <r>
    <x v="0"/>
    <x v="0"/>
    <x v="4"/>
    <x v="5"/>
    <x v="9"/>
    <x v="12"/>
    <x v="13"/>
    <n v="1"/>
  </r>
  <r>
    <x v="0"/>
    <x v="0"/>
    <x v="4"/>
    <x v="5"/>
    <x v="9"/>
    <x v="0"/>
    <x v="4"/>
    <n v="3"/>
  </r>
  <r>
    <x v="0"/>
    <x v="0"/>
    <x v="4"/>
    <x v="5"/>
    <x v="9"/>
    <x v="0"/>
    <x v="5"/>
    <n v="8"/>
  </r>
  <r>
    <x v="0"/>
    <x v="0"/>
    <x v="4"/>
    <x v="5"/>
    <x v="9"/>
    <x v="0"/>
    <x v="2"/>
    <n v="5"/>
  </r>
  <r>
    <x v="0"/>
    <x v="0"/>
    <x v="4"/>
    <x v="5"/>
    <x v="9"/>
    <x v="0"/>
    <x v="13"/>
    <n v="7"/>
  </r>
  <r>
    <x v="0"/>
    <x v="0"/>
    <x v="4"/>
    <x v="5"/>
    <x v="9"/>
    <x v="0"/>
    <x v="11"/>
    <n v="4"/>
  </r>
  <r>
    <x v="0"/>
    <x v="0"/>
    <x v="4"/>
    <x v="5"/>
    <x v="9"/>
    <x v="0"/>
    <x v="14"/>
    <n v="2"/>
  </r>
  <r>
    <x v="0"/>
    <x v="0"/>
    <x v="4"/>
    <x v="5"/>
    <x v="9"/>
    <x v="0"/>
    <x v="17"/>
    <n v="2"/>
  </r>
  <r>
    <x v="0"/>
    <x v="0"/>
    <x v="4"/>
    <x v="6"/>
    <x v="12"/>
    <x v="0"/>
    <x v="11"/>
    <n v="1"/>
  </r>
  <r>
    <x v="0"/>
    <x v="0"/>
    <x v="4"/>
    <x v="6"/>
    <x v="12"/>
    <x v="0"/>
    <x v="14"/>
    <n v="1"/>
  </r>
  <r>
    <x v="0"/>
    <x v="0"/>
    <x v="4"/>
    <x v="6"/>
    <x v="14"/>
    <x v="0"/>
    <x v="17"/>
    <n v="2"/>
  </r>
  <r>
    <x v="0"/>
    <x v="0"/>
    <x v="4"/>
    <x v="6"/>
    <x v="3"/>
    <x v="3"/>
    <x v="6"/>
    <n v="2"/>
  </r>
  <r>
    <x v="0"/>
    <x v="0"/>
    <x v="4"/>
    <x v="6"/>
    <x v="3"/>
    <x v="3"/>
    <x v="10"/>
    <n v="1"/>
  </r>
  <r>
    <x v="0"/>
    <x v="0"/>
    <x v="4"/>
    <x v="6"/>
    <x v="3"/>
    <x v="4"/>
    <x v="6"/>
    <n v="2"/>
  </r>
  <r>
    <x v="0"/>
    <x v="0"/>
    <x v="4"/>
    <x v="6"/>
    <x v="3"/>
    <x v="4"/>
    <x v="10"/>
    <n v="1"/>
  </r>
  <r>
    <x v="0"/>
    <x v="0"/>
    <x v="4"/>
    <x v="6"/>
    <x v="3"/>
    <x v="4"/>
    <x v="1"/>
    <n v="1"/>
  </r>
  <r>
    <x v="0"/>
    <x v="0"/>
    <x v="4"/>
    <x v="6"/>
    <x v="3"/>
    <x v="5"/>
    <x v="7"/>
    <n v="1"/>
  </r>
  <r>
    <x v="0"/>
    <x v="0"/>
    <x v="4"/>
    <x v="6"/>
    <x v="3"/>
    <x v="5"/>
    <x v="6"/>
    <n v="4"/>
  </r>
  <r>
    <x v="0"/>
    <x v="0"/>
    <x v="4"/>
    <x v="6"/>
    <x v="3"/>
    <x v="5"/>
    <x v="10"/>
    <n v="1"/>
  </r>
  <r>
    <x v="0"/>
    <x v="0"/>
    <x v="4"/>
    <x v="6"/>
    <x v="3"/>
    <x v="11"/>
    <x v="7"/>
    <n v="1"/>
  </r>
  <r>
    <x v="0"/>
    <x v="0"/>
    <x v="4"/>
    <x v="6"/>
    <x v="3"/>
    <x v="11"/>
    <x v="6"/>
    <n v="4"/>
  </r>
  <r>
    <x v="0"/>
    <x v="0"/>
    <x v="4"/>
    <x v="6"/>
    <x v="3"/>
    <x v="11"/>
    <x v="10"/>
    <n v="2"/>
  </r>
  <r>
    <x v="0"/>
    <x v="0"/>
    <x v="4"/>
    <x v="6"/>
    <x v="3"/>
    <x v="6"/>
    <x v="6"/>
    <n v="1"/>
  </r>
  <r>
    <x v="0"/>
    <x v="0"/>
    <x v="4"/>
    <x v="6"/>
    <x v="3"/>
    <x v="9"/>
    <x v="6"/>
    <n v="1"/>
  </r>
  <r>
    <x v="0"/>
    <x v="0"/>
    <x v="4"/>
    <x v="6"/>
    <x v="3"/>
    <x v="7"/>
    <x v="12"/>
    <n v="1"/>
  </r>
  <r>
    <x v="0"/>
    <x v="0"/>
    <x v="4"/>
    <x v="6"/>
    <x v="9"/>
    <x v="0"/>
    <x v="13"/>
    <n v="3"/>
  </r>
  <r>
    <x v="0"/>
    <x v="0"/>
    <x v="4"/>
    <x v="6"/>
    <x v="9"/>
    <x v="0"/>
    <x v="11"/>
    <n v="4"/>
  </r>
  <r>
    <x v="0"/>
    <x v="0"/>
    <x v="4"/>
    <x v="6"/>
    <x v="10"/>
    <x v="0"/>
    <x v="9"/>
    <n v="1"/>
  </r>
  <r>
    <x v="0"/>
    <x v="0"/>
    <x v="4"/>
    <x v="6"/>
    <x v="10"/>
    <x v="0"/>
    <x v="3"/>
    <n v="1"/>
  </r>
  <r>
    <x v="0"/>
    <x v="0"/>
    <x v="4"/>
    <x v="6"/>
    <x v="10"/>
    <x v="0"/>
    <x v="4"/>
    <n v="1"/>
  </r>
  <r>
    <x v="0"/>
    <x v="0"/>
    <x v="4"/>
    <x v="6"/>
    <x v="17"/>
    <x v="0"/>
    <x v="12"/>
    <n v="6"/>
  </r>
  <r>
    <x v="0"/>
    <x v="0"/>
    <x v="4"/>
    <x v="6"/>
    <x v="17"/>
    <x v="0"/>
    <x v="9"/>
    <n v="5"/>
  </r>
  <r>
    <x v="0"/>
    <x v="0"/>
    <x v="4"/>
    <x v="6"/>
    <x v="17"/>
    <x v="0"/>
    <x v="3"/>
    <n v="4"/>
  </r>
  <r>
    <x v="0"/>
    <x v="0"/>
    <x v="4"/>
    <x v="6"/>
    <x v="17"/>
    <x v="0"/>
    <x v="5"/>
    <n v="1"/>
  </r>
  <r>
    <x v="0"/>
    <x v="0"/>
    <x v="4"/>
    <x v="6"/>
    <x v="19"/>
    <x v="0"/>
    <x v="9"/>
    <n v="1"/>
  </r>
  <r>
    <x v="0"/>
    <x v="0"/>
    <x v="4"/>
    <x v="6"/>
    <x v="19"/>
    <x v="0"/>
    <x v="3"/>
    <n v="16"/>
  </r>
  <r>
    <x v="0"/>
    <x v="0"/>
    <x v="4"/>
    <x v="6"/>
    <x v="19"/>
    <x v="0"/>
    <x v="4"/>
    <n v="27"/>
  </r>
  <r>
    <x v="0"/>
    <x v="0"/>
    <x v="4"/>
    <x v="6"/>
    <x v="19"/>
    <x v="0"/>
    <x v="5"/>
    <n v="12"/>
  </r>
  <r>
    <x v="0"/>
    <x v="0"/>
    <x v="4"/>
    <x v="9"/>
    <x v="12"/>
    <x v="0"/>
    <x v="4"/>
    <n v="1"/>
  </r>
  <r>
    <x v="0"/>
    <x v="0"/>
    <x v="4"/>
    <x v="9"/>
    <x v="12"/>
    <x v="0"/>
    <x v="5"/>
    <n v="1"/>
  </r>
  <r>
    <x v="0"/>
    <x v="0"/>
    <x v="4"/>
    <x v="9"/>
    <x v="1"/>
    <x v="0"/>
    <x v="19"/>
    <n v="1"/>
  </r>
  <r>
    <x v="0"/>
    <x v="0"/>
    <x v="4"/>
    <x v="9"/>
    <x v="10"/>
    <x v="2"/>
    <x v="14"/>
    <n v="1"/>
  </r>
  <r>
    <x v="0"/>
    <x v="0"/>
    <x v="4"/>
    <x v="9"/>
    <x v="10"/>
    <x v="5"/>
    <x v="2"/>
    <n v="1"/>
  </r>
  <r>
    <x v="0"/>
    <x v="0"/>
    <x v="4"/>
    <x v="9"/>
    <x v="10"/>
    <x v="11"/>
    <x v="3"/>
    <n v="1"/>
  </r>
  <r>
    <x v="0"/>
    <x v="0"/>
    <x v="4"/>
    <x v="9"/>
    <x v="10"/>
    <x v="6"/>
    <x v="4"/>
    <n v="1"/>
  </r>
  <r>
    <x v="0"/>
    <x v="0"/>
    <x v="4"/>
    <x v="9"/>
    <x v="10"/>
    <x v="6"/>
    <x v="5"/>
    <n v="1"/>
  </r>
  <r>
    <x v="0"/>
    <x v="0"/>
    <x v="4"/>
    <x v="9"/>
    <x v="10"/>
    <x v="9"/>
    <x v="3"/>
    <n v="1"/>
  </r>
  <r>
    <x v="0"/>
    <x v="0"/>
    <x v="4"/>
    <x v="9"/>
    <x v="10"/>
    <x v="9"/>
    <x v="5"/>
    <n v="1"/>
  </r>
  <r>
    <x v="0"/>
    <x v="0"/>
    <x v="4"/>
    <x v="9"/>
    <x v="10"/>
    <x v="1"/>
    <x v="4"/>
    <n v="2"/>
  </r>
  <r>
    <x v="0"/>
    <x v="0"/>
    <x v="4"/>
    <x v="7"/>
    <x v="0"/>
    <x v="11"/>
    <x v="0"/>
    <n v="1"/>
  </r>
  <r>
    <x v="0"/>
    <x v="0"/>
    <x v="4"/>
    <x v="7"/>
    <x v="0"/>
    <x v="6"/>
    <x v="0"/>
    <n v="2"/>
  </r>
  <r>
    <x v="0"/>
    <x v="0"/>
    <x v="4"/>
    <x v="7"/>
    <x v="12"/>
    <x v="0"/>
    <x v="9"/>
    <n v="47"/>
  </r>
  <r>
    <x v="0"/>
    <x v="0"/>
    <x v="4"/>
    <x v="7"/>
    <x v="12"/>
    <x v="0"/>
    <x v="3"/>
    <n v="57"/>
  </r>
  <r>
    <x v="0"/>
    <x v="0"/>
    <x v="4"/>
    <x v="7"/>
    <x v="12"/>
    <x v="0"/>
    <x v="4"/>
    <n v="34"/>
  </r>
  <r>
    <x v="0"/>
    <x v="0"/>
    <x v="4"/>
    <x v="7"/>
    <x v="12"/>
    <x v="0"/>
    <x v="5"/>
    <n v="10"/>
  </r>
  <r>
    <x v="0"/>
    <x v="0"/>
    <x v="4"/>
    <x v="7"/>
    <x v="12"/>
    <x v="0"/>
    <x v="2"/>
    <n v="3"/>
  </r>
  <r>
    <x v="0"/>
    <x v="0"/>
    <x v="4"/>
    <x v="7"/>
    <x v="12"/>
    <x v="0"/>
    <x v="13"/>
    <n v="3"/>
  </r>
  <r>
    <x v="0"/>
    <x v="0"/>
    <x v="4"/>
    <x v="7"/>
    <x v="16"/>
    <x v="0"/>
    <x v="6"/>
    <n v="3"/>
  </r>
  <r>
    <x v="0"/>
    <x v="0"/>
    <x v="5"/>
    <x v="8"/>
    <x v="13"/>
    <x v="2"/>
    <x v="17"/>
    <n v="3"/>
  </r>
  <r>
    <x v="0"/>
    <x v="0"/>
    <x v="5"/>
    <x v="8"/>
    <x v="13"/>
    <x v="2"/>
    <x v="19"/>
    <n v="22"/>
  </r>
  <r>
    <x v="0"/>
    <x v="0"/>
    <x v="5"/>
    <x v="8"/>
    <x v="13"/>
    <x v="10"/>
    <x v="11"/>
    <n v="3"/>
  </r>
  <r>
    <x v="0"/>
    <x v="0"/>
    <x v="5"/>
    <x v="8"/>
    <x v="13"/>
    <x v="10"/>
    <x v="14"/>
    <n v="3"/>
  </r>
  <r>
    <x v="0"/>
    <x v="0"/>
    <x v="5"/>
    <x v="8"/>
    <x v="13"/>
    <x v="10"/>
    <x v="17"/>
    <n v="2"/>
  </r>
  <r>
    <x v="0"/>
    <x v="0"/>
    <x v="5"/>
    <x v="8"/>
    <x v="13"/>
    <x v="3"/>
    <x v="13"/>
    <n v="1"/>
  </r>
  <r>
    <x v="0"/>
    <x v="0"/>
    <x v="5"/>
    <x v="8"/>
    <x v="13"/>
    <x v="3"/>
    <x v="14"/>
    <n v="1"/>
  </r>
  <r>
    <x v="0"/>
    <x v="0"/>
    <x v="5"/>
    <x v="8"/>
    <x v="13"/>
    <x v="4"/>
    <x v="11"/>
    <n v="1"/>
  </r>
  <r>
    <x v="0"/>
    <x v="0"/>
    <x v="5"/>
    <x v="8"/>
    <x v="13"/>
    <x v="5"/>
    <x v="2"/>
    <n v="1"/>
  </r>
  <r>
    <x v="0"/>
    <x v="0"/>
    <x v="5"/>
    <x v="8"/>
    <x v="13"/>
    <x v="7"/>
    <x v="19"/>
    <n v="3"/>
  </r>
  <r>
    <x v="0"/>
    <x v="0"/>
    <x v="5"/>
    <x v="8"/>
    <x v="13"/>
    <x v="1"/>
    <x v="18"/>
    <n v="2"/>
  </r>
  <r>
    <x v="0"/>
    <x v="0"/>
    <x v="5"/>
    <x v="8"/>
    <x v="13"/>
    <x v="8"/>
    <x v="17"/>
    <n v="1"/>
  </r>
  <r>
    <x v="0"/>
    <x v="0"/>
    <x v="5"/>
    <x v="8"/>
    <x v="7"/>
    <x v="18"/>
    <x v="17"/>
    <n v="5"/>
  </r>
  <r>
    <x v="0"/>
    <x v="0"/>
    <x v="5"/>
    <x v="8"/>
    <x v="7"/>
    <x v="18"/>
    <x v="19"/>
    <n v="205"/>
  </r>
  <r>
    <x v="0"/>
    <x v="0"/>
    <x v="5"/>
    <x v="8"/>
    <x v="7"/>
    <x v="19"/>
    <x v="17"/>
    <n v="5"/>
  </r>
  <r>
    <x v="0"/>
    <x v="0"/>
    <x v="5"/>
    <x v="8"/>
    <x v="7"/>
    <x v="19"/>
    <x v="19"/>
    <n v="119"/>
  </r>
  <r>
    <x v="0"/>
    <x v="0"/>
    <x v="5"/>
    <x v="8"/>
    <x v="7"/>
    <x v="15"/>
    <x v="18"/>
    <n v="3"/>
  </r>
  <r>
    <x v="0"/>
    <x v="0"/>
    <x v="5"/>
    <x v="8"/>
    <x v="10"/>
    <x v="11"/>
    <x v="0"/>
    <n v="1"/>
  </r>
  <r>
    <x v="0"/>
    <x v="0"/>
    <x v="5"/>
    <x v="8"/>
    <x v="10"/>
    <x v="9"/>
    <x v="17"/>
    <n v="2"/>
  </r>
  <r>
    <x v="0"/>
    <x v="0"/>
    <x v="5"/>
    <x v="8"/>
    <x v="10"/>
    <x v="12"/>
    <x v="17"/>
    <n v="2"/>
  </r>
  <r>
    <x v="0"/>
    <x v="0"/>
    <x v="5"/>
    <x v="8"/>
    <x v="10"/>
    <x v="12"/>
    <x v="19"/>
    <n v="2"/>
  </r>
  <r>
    <x v="0"/>
    <x v="0"/>
    <x v="5"/>
    <x v="8"/>
    <x v="10"/>
    <x v="1"/>
    <x v="17"/>
    <n v="2"/>
  </r>
  <r>
    <x v="0"/>
    <x v="0"/>
    <x v="5"/>
    <x v="8"/>
    <x v="10"/>
    <x v="1"/>
    <x v="19"/>
    <n v="1"/>
  </r>
  <r>
    <x v="0"/>
    <x v="0"/>
    <x v="5"/>
    <x v="8"/>
    <x v="10"/>
    <x v="8"/>
    <x v="18"/>
    <n v="1"/>
  </r>
  <r>
    <x v="0"/>
    <x v="0"/>
    <x v="5"/>
    <x v="8"/>
    <x v="10"/>
    <x v="0"/>
    <x v="17"/>
    <n v="4"/>
  </r>
  <r>
    <x v="0"/>
    <x v="0"/>
    <x v="5"/>
    <x v="8"/>
    <x v="10"/>
    <x v="0"/>
    <x v="19"/>
    <n v="6"/>
  </r>
  <r>
    <x v="0"/>
    <x v="0"/>
    <x v="5"/>
    <x v="8"/>
    <x v="11"/>
    <x v="4"/>
    <x v="11"/>
    <n v="1"/>
  </r>
  <r>
    <x v="0"/>
    <x v="0"/>
    <x v="5"/>
    <x v="8"/>
    <x v="11"/>
    <x v="11"/>
    <x v="14"/>
    <n v="1"/>
  </r>
  <r>
    <x v="0"/>
    <x v="0"/>
    <x v="5"/>
    <x v="8"/>
    <x v="11"/>
    <x v="6"/>
    <x v="14"/>
    <n v="1"/>
  </r>
  <r>
    <x v="0"/>
    <x v="0"/>
    <x v="5"/>
    <x v="8"/>
    <x v="18"/>
    <x v="16"/>
    <x v="19"/>
    <n v="80"/>
  </r>
  <r>
    <x v="0"/>
    <x v="0"/>
    <x v="5"/>
    <x v="8"/>
    <x v="18"/>
    <x v="2"/>
    <x v="19"/>
    <n v="294"/>
  </r>
  <r>
    <x v="0"/>
    <x v="0"/>
    <x v="5"/>
    <x v="8"/>
    <x v="18"/>
    <x v="10"/>
    <x v="19"/>
    <n v="253"/>
  </r>
  <r>
    <x v="0"/>
    <x v="0"/>
    <x v="5"/>
    <x v="8"/>
    <x v="18"/>
    <x v="3"/>
    <x v="19"/>
    <n v="222"/>
  </r>
  <r>
    <x v="0"/>
    <x v="0"/>
    <x v="5"/>
    <x v="8"/>
    <x v="18"/>
    <x v="4"/>
    <x v="19"/>
    <n v="229"/>
  </r>
  <r>
    <x v="0"/>
    <x v="0"/>
    <x v="5"/>
    <x v="8"/>
    <x v="18"/>
    <x v="5"/>
    <x v="19"/>
    <n v="195"/>
  </r>
  <r>
    <x v="0"/>
    <x v="0"/>
    <x v="5"/>
    <x v="8"/>
    <x v="18"/>
    <x v="7"/>
    <x v="19"/>
    <n v="106"/>
  </r>
  <r>
    <x v="0"/>
    <x v="0"/>
    <x v="5"/>
    <x v="8"/>
    <x v="18"/>
    <x v="8"/>
    <x v="19"/>
    <n v="74"/>
  </r>
  <r>
    <x v="0"/>
    <x v="0"/>
    <x v="5"/>
    <x v="10"/>
    <x v="16"/>
    <x v="2"/>
    <x v="11"/>
    <n v="1"/>
  </r>
  <r>
    <x v="0"/>
    <x v="0"/>
    <x v="5"/>
    <x v="10"/>
    <x v="16"/>
    <x v="3"/>
    <x v="13"/>
    <n v="1"/>
  </r>
  <r>
    <x v="0"/>
    <x v="0"/>
    <x v="5"/>
    <x v="10"/>
    <x v="9"/>
    <x v="0"/>
    <x v="19"/>
    <n v="4"/>
  </r>
  <r>
    <x v="0"/>
    <x v="0"/>
    <x v="5"/>
    <x v="11"/>
    <x v="0"/>
    <x v="12"/>
    <x v="13"/>
    <n v="1"/>
  </r>
  <r>
    <x v="0"/>
    <x v="0"/>
    <x v="5"/>
    <x v="11"/>
    <x v="7"/>
    <x v="6"/>
    <x v="18"/>
    <n v="2"/>
  </r>
  <r>
    <x v="0"/>
    <x v="0"/>
    <x v="5"/>
    <x v="11"/>
    <x v="7"/>
    <x v="12"/>
    <x v="19"/>
    <n v="1"/>
  </r>
  <r>
    <x v="0"/>
    <x v="0"/>
    <x v="5"/>
    <x v="11"/>
    <x v="7"/>
    <x v="1"/>
    <x v="19"/>
    <n v="2"/>
  </r>
  <r>
    <x v="0"/>
    <x v="0"/>
    <x v="5"/>
    <x v="11"/>
    <x v="7"/>
    <x v="0"/>
    <x v="19"/>
    <n v="1"/>
  </r>
  <r>
    <x v="0"/>
    <x v="0"/>
    <x v="5"/>
    <x v="11"/>
    <x v="9"/>
    <x v="12"/>
    <x v="19"/>
    <n v="1"/>
  </r>
  <r>
    <x v="0"/>
    <x v="0"/>
    <x v="5"/>
    <x v="11"/>
    <x v="9"/>
    <x v="0"/>
    <x v="19"/>
    <n v="20"/>
  </r>
  <r>
    <x v="0"/>
    <x v="0"/>
    <x v="5"/>
    <x v="12"/>
    <x v="12"/>
    <x v="6"/>
    <x v="14"/>
    <n v="1"/>
  </r>
  <r>
    <x v="0"/>
    <x v="0"/>
    <x v="5"/>
    <x v="12"/>
    <x v="5"/>
    <x v="12"/>
    <x v="19"/>
    <n v="1"/>
  </r>
  <r>
    <x v="0"/>
    <x v="0"/>
    <x v="5"/>
    <x v="12"/>
    <x v="5"/>
    <x v="0"/>
    <x v="19"/>
    <n v="2"/>
  </r>
  <r>
    <x v="0"/>
    <x v="0"/>
    <x v="5"/>
    <x v="12"/>
    <x v="6"/>
    <x v="12"/>
    <x v="14"/>
    <n v="1"/>
  </r>
  <r>
    <x v="0"/>
    <x v="0"/>
    <x v="5"/>
    <x v="12"/>
    <x v="19"/>
    <x v="4"/>
    <x v="19"/>
    <n v="4"/>
  </r>
  <r>
    <x v="0"/>
    <x v="0"/>
    <x v="5"/>
    <x v="12"/>
    <x v="19"/>
    <x v="5"/>
    <x v="19"/>
    <n v="4"/>
  </r>
  <r>
    <x v="0"/>
    <x v="0"/>
    <x v="5"/>
    <x v="12"/>
    <x v="19"/>
    <x v="11"/>
    <x v="19"/>
    <n v="8"/>
  </r>
  <r>
    <x v="0"/>
    <x v="0"/>
    <x v="5"/>
    <x v="12"/>
    <x v="19"/>
    <x v="6"/>
    <x v="19"/>
    <n v="7"/>
  </r>
  <r>
    <x v="0"/>
    <x v="0"/>
    <x v="5"/>
    <x v="12"/>
    <x v="19"/>
    <x v="9"/>
    <x v="19"/>
    <n v="6"/>
  </r>
  <r>
    <x v="0"/>
    <x v="0"/>
    <x v="5"/>
    <x v="13"/>
    <x v="17"/>
    <x v="19"/>
    <x v="0"/>
    <n v="30"/>
  </r>
  <r>
    <x v="0"/>
    <x v="0"/>
    <x v="5"/>
    <x v="13"/>
    <x v="17"/>
    <x v="19"/>
    <x v="18"/>
    <n v="44"/>
  </r>
  <r>
    <x v="0"/>
    <x v="0"/>
    <x v="5"/>
    <x v="13"/>
    <x v="17"/>
    <x v="14"/>
    <x v="19"/>
    <n v="2313"/>
  </r>
  <r>
    <x v="0"/>
    <x v="0"/>
    <x v="5"/>
    <x v="13"/>
    <x v="17"/>
    <x v="13"/>
    <x v="14"/>
    <n v="91"/>
  </r>
  <r>
    <x v="0"/>
    <x v="0"/>
    <x v="5"/>
    <x v="13"/>
    <x v="17"/>
    <x v="13"/>
    <x v="17"/>
    <n v="94"/>
  </r>
  <r>
    <x v="0"/>
    <x v="0"/>
    <x v="5"/>
    <x v="13"/>
    <x v="17"/>
    <x v="13"/>
    <x v="19"/>
    <n v="1363"/>
  </r>
  <r>
    <x v="0"/>
    <x v="0"/>
    <x v="5"/>
    <x v="13"/>
    <x v="17"/>
    <x v="2"/>
    <x v="0"/>
    <n v="67"/>
  </r>
  <r>
    <x v="0"/>
    <x v="0"/>
    <x v="5"/>
    <x v="13"/>
    <x v="17"/>
    <x v="2"/>
    <x v="18"/>
    <n v="80"/>
  </r>
  <r>
    <x v="0"/>
    <x v="0"/>
    <x v="5"/>
    <x v="13"/>
    <x v="17"/>
    <x v="10"/>
    <x v="0"/>
    <n v="47"/>
  </r>
  <r>
    <x v="0"/>
    <x v="0"/>
    <x v="5"/>
    <x v="13"/>
    <x v="17"/>
    <x v="10"/>
    <x v="18"/>
    <n v="56"/>
  </r>
  <r>
    <x v="0"/>
    <x v="0"/>
    <x v="5"/>
    <x v="13"/>
    <x v="17"/>
    <x v="10"/>
    <x v="19"/>
    <n v="518"/>
  </r>
  <r>
    <x v="0"/>
    <x v="0"/>
    <x v="5"/>
    <x v="13"/>
    <x v="17"/>
    <x v="3"/>
    <x v="0"/>
    <n v="41"/>
  </r>
  <r>
    <x v="0"/>
    <x v="0"/>
    <x v="5"/>
    <x v="13"/>
    <x v="17"/>
    <x v="3"/>
    <x v="17"/>
    <n v="42"/>
  </r>
  <r>
    <x v="0"/>
    <x v="0"/>
    <x v="5"/>
    <x v="13"/>
    <x v="17"/>
    <x v="3"/>
    <x v="19"/>
    <n v="339"/>
  </r>
  <r>
    <x v="0"/>
    <x v="0"/>
    <x v="5"/>
    <x v="13"/>
    <x v="17"/>
    <x v="4"/>
    <x v="14"/>
    <n v="31"/>
  </r>
  <r>
    <x v="0"/>
    <x v="0"/>
    <x v="5"/>
    <x v="13"/>
    <x v="17"/>
    <x v="4"/>
    <x v="17"/>
    <n v="26"/>
  </r>
  <r>
    <x v="0"/>
    <x v="0"/>
    <x v="5"/>
    <x v="13"/>
    <x v="17"/>
    <x v="4"/>
    <x v="19"/>
    <n v="205"/>
  </r>
  <r>
    <x v="0"/>
    <x v="0"/>
    <x v="5"/>
    <x v="13"/>
    <x v="17"/>
    <x v="5"/>
    <x v="11"/>
    <n v="10"/>
  </r>
  <r>
    <x v="0"/>
    <x v="0"/>
    <x v="5"/>
    <x v="13"/>
    <x v="17"/>
    <x v="5"/>
    <x v="14"/>
    <n v="13"/>
  </r>
  <r>
    <x v="0"/>
    <x v="0"/>
    <x v="5"/>
    <x v="13"/>
    <x v="17"/>
    <x v="5"/>
    <x v="17"/>
    <n v="16"/>
  </r>
  <r>
    <x v="0"/>
    <x v="0"/>
    <x v="5"/>
    <x v="13"/>
    <x v="17"/>
    <x v="5"/>
    <x v="19"/>
    <n v="147"/>
  </r>
  <r>
    <x v="0"/>
    <x v="0"/>
    <x v="5"/>
    <x v="13"/>
    <x v="17"/>
    <x v="11"/>
    <x v="13"/>
    <n v="13"/>
  </r>
  <r>
    <x v="0"/>
    <x v="0"/>
    <x v="5"/>
    <x v="13"/>
    <x v="17"/>
    <x v="11"/>
    <x v="11"/>
    <n v="8"/>
  </r>
  <r>
    <x v="0"/>
    <x v="0"/>
    <x v="5"/>
    <x v="13"/>
    <x v="17"/>
    <x v="11"/>
    <x v="14"/>
    <n v="16"/>
  </r>
  <r>
    <x v="0"/>
    <x v="0"/>
    <x v="2"/>
    <x v="5"/>
    <x v="0"/>
    <x v="0"/>
    <x v="4"/>
    <n v="5"/>
  </r>
  <r>
    <x v="0"/>
    <x v="0"/>
    <x v="2"/>
    <x v="5"/>
    <x v="0"/>
    <x v="0"/>
    <x v="18"/>
    <n v="3"/>
  </r>
  <r>
    <x v="0"/>
    <x v="0"/>
    <x v="2"/>
    <x v="5"/>
    <x v="8"/>
    <x v="1"/>
    <x v="19"/>
    <n v="1"/>
  </r>
  <r>
    <x v="0"/>
    <x v="0"/>
    <x v="2"/>
    <x v="5"/>
    <x v="8"/>
    <x v="8"/>
    <x v="18"/>
    <n v="1"/>
  </r>
  <r>
    <x v="0"/>
    <x v="0"/>
    <x v="2"/>
    <x v="5"/>
    <x v="8"/>
    <x v="0"/>
    <x v="17"/>
    <n v="2"/>
  </r>
  <r>
    <x v="0"/>
    <x v="0"/>
    <x v="2"/>
    <x v="5"/>
    <x v="8"/>
    <x v="0"/>
    <x v="19"/>
    <n v="4"/>
  </r>
  <r>
    <x v="0"/>
    <x v="0"/>
    <x v="2"/>
    <x v="5"/>
    <x v="3"/>
    <x v="0"/>
    <x v="17"/>
    <n v="1"/>
  </r>
  <r>
    <x v="0"/>
    <x v="0"/>
    <x v="2"/>
    <x v="5"/>
    <x v="3"/>
    <x v="0"/>
    <x v="19"/>
    <n v="2"/>
  </r>
  <r>
    <x v="0"/>
    <x v="0"/>
    <x v="2"/>
    <x v="5"/>
    <x v="9"/>
    <x v="0"/>
    <x v="14"/>
    <n v="2"/>
  </r>
  <r>
    <x v="0"/>
    <x v="0"/>
    <x v="2"/>
    <x v="5"/>
    <x v="10"/>
    <x v="0"/>
    <x v="5"/>
    <n v="2"/>
  </r>
  <r>
    <x v="0"/>
    <x v="0"/>
    <x v="2"/>
    <x v="5"/>
    <x v="10"/>
    <x v="0"/>
    <x v="11"/>
    <n v="1"/>
  </r>
  <r>
    <x v="0"/>
    <x v="0"/>
    <x v="2"/>
    <x v="6"/>
    <x v="1"/>
    <x v="0"/>
    <x v="19"/>
    <n v="1"/>
  </r>
  <r>
    <x v="0"/>
    <x v="0"/>
    <x v="2"/>
    <x v="6"/>
    <x v="5"/>
    <x v="0"/>
    <x v="13"/>
    <n v="1"/>
  </r>
  <r>
    <x v="0"/>
    <x v="0"/>
    <x v="2"/>
    <x v="6"/>
    <x v="5"/>
    <x v="0"/>
    <x v="11"/>
    <n v="2"/>
  </r>
  <r>
    <x v="0"/>
    <x v="0"/>
    <x v="2"/>
    <x v="6"/>
    <x v="5"/>
    <x v="0"/>
    <x v="14"/>
    <n v="2"/>
  </r>
  <r>
    <x v="0"/>
    <x v="0"/>
    <x v="2"/>
    <x v="6"/>
    <x v="15"/>
    <x v="0"/>
    <x v="19"/>
    <n v="101"/>
  </r>
  <r>
    <x v="0"/>
    <x v="0"/>
    <x v="2"/>
    <x v="6"/>
    <x v="6"/>
    <x v="0"/>
    <x v="5"/>
    <n v="1"/>
  </r>
  <r>
    <x v="0"/>
    <x v="0"/>
    <x v="2"/>
    <x v="6"/>
    <x v="10"/>
    <x v="0"/>
    <x v="5"/>
    <n v="1"/>
  </r>
  <r>
    <x v="0"/>
    <x v="0"/>
    <x v="2"/>
    <x v="9"/>
    <x v="0"/>
    <x v="0"/>
    <x v="4"/>
    <n v="1"/>
  </r>
  <r>
    <x v="0"/>
    <x v="0"/>
    <x v="2"/>
    <x v="9"/>
    <x v="0"/>
    <x v="0"/>
    <x v="5"/>
    <n v="1"/>
  </r>
  <r>
    <x v="0"/>
    <x v="0"/>
    <x v="2"/>
    <x v="9"/>
    <x v="0"/>
    <x v="0"/>
    <x v="2"/>
    <n v="2"/>
  </r>
  <r>
    <x v="0"/>
    <x v="0"/>
    <x v="2"/>
    <x v="9"/>
    <x v="0"/>
    <x v="0"/>
    <x v="13"/>
    <n v="2"/>
  </r>
  <r>
    <x v="0"/>
    <x v="0"/>
    <x v="2"/>
    <x v="9"/>
    <x v="0"/>
    <x v="0"/>
    <x v="11"/>
    <n v="2"/>
  </r>
  <r>
    <x v="0"/>
    <x v="0"/>
    <x v="2"/>
    <x v="9"/>
    <x v="9"/>
    <x v="0"/>
    <x v="19"/>
    <n v="11"/>
  </r>
  <r>
    <x v="0"/>
    <x v="0"/>
    <x v="2"/>
    <x v="9"/>
    <x v="11"/>
    <x v="0"/>
    <x v="18"/>
    <n v="1"/>
  </r>
  <r>
    <x v="0"/>
    <x v="0"/>
    <x v="2"/>
    <x v="7"/>
    <x v="12"/>
    <x v="0"/>
    <x v="1"/>
    <n v="2"/>
  </r>
  <r>
    <x v="0"/>
    <x v="0"/>
    <x v="2"/>
    <x v="7"/>
    <x v="13"/>
    <x v="0"/>
    <x v="12"/>
    <n v="9"/>
  </r>
  <r>
    <x v="0"/>
    <x v="0"/>
    <x v="2"/>
    <x v="7"/>
    <x v="13"/>
    <x v="0"/>
    <x v="9"/>
    <n v="6"/>
  </r>
  <r>
    <x v="0"/>
    <x v="0"/>
    <x v="2"/>
    <x v="7"/>
    <x v="13"/>
    <x v="0"/>
    <x v="3"/>
    <n v="2"/>
  </r>
  <r>
    <x v="0"/>
    <x v="0"/>
    <x v="2"/>
    <x v="7"/>
    <x v="9"/>
    <x v="0"/>
    <x v="19"/>
    <n v="80"/>
  </r>
  <r>
    <x v="0"/>
    <x v="0"/>
    <x v="2"/>
    <x v="7"/>
    <x v="10"/>
    <x v="0"/>
    <x v="19"/>
    <n v="57"/>
  </r>
  <r>
    <x v="0"/>
    <x v="0"/>
    <x v="2"/>
    <x v="8"/>
    <x v="16"/>
    <x v="0"/>
    <x v="0"/>
    <n v="1"/>
  </r>
  <r>
    <x v="0"/>
    <x v="0"/>
    <x v="2"/>
    <x v="8"/>
    <x v="9"/>
    <x v="0"/>
    <x v="19"/>
    <n v="153"/>
  </r>
  <r>
    <x v="0"/>
    <x v="0"/>
    <x v="2"/>
    <x v="8"/>
    <x v="10"/>
    <x v="0"/>
    <x v="11"/>
    <n v="40"/>
  </r>
  <r>
    <x v="0"/>
    <x v="0"/>
    <x v="2"/>
    <x v="8"/>
    <x v="10"/>
    <x v="0"/>
    <x v="14"/>
    <n v="11"/>
  </r>
  <r>
    <x v="0"/>
    <x v="0"/>
    <x v="2"/>
    <x v="8"/>
    <x v="10"/>
    <x v="0"/>
    <x v="17"/>
    <n v="3"/>
  </r>
  <r>
    <x v="0"/>
    <x v="0"/>
    <x v="2"/>
    <x v="8"/>
    <x v="10"/>
    <x v="0"/>
    <x v="19"/>
    <n v="1"/>
  </r>
  <r>
    <x v="0"/>
    <x v="0"/>
    <x v="2"/>
    <x v="8"/>
    <x v="11"/>
    <x v="1"/>
    <x v="12"/>
    <n v="1"/>
  </r>
  <r>
    <x v="0"/>
    <x v="0"/>
    <x v="2"/>
    <x v="8"/>
    <x v="11"/>
    <x v="8"/>
    <x v="1"/>
    <n v="1"/>
  </r>
  <r>
    <x v="0"/>
    <x v="0"/>
    <x v="2"/>
    <x v="8"/>
    <x v="11"/>
    <x v="0"/>
    <x v="0"/>
    <n v="1"/>
  </r>
  <r>
    <x v="0"/>
    <x v="0"/>
    <x v="2"/>
    <x v="8"/>
    <x v="18"/>
    <x v="8"/>
    <x v="19"/>
    <n v="3"/>
  </r>
  <r>
    <x v="0"/>
    <x v="0"/>
    <x v="2"/>
    <x v="10"/>
    <x v="1"/>
    <x v="0"/>
    <x v="19"/>
    <n v="60"/>
  </r>
  <r>
    <x v="0"/>
    <x v="0"/>
    <x v="2"/>
    <x v="10"/>
    <x v="3"/>
    <x v="0"/>
    <x v="19"/>
    <n v="10"/>
  </r>
  <r>
    <x v="0"/>
    <x v="0"/>
    <x v="2"/>
    <x v="10"/>
    <x v="9"/>
    <x v="0"/>
    <x v="19"/>
    <n v="17"/>
  </r>
  <r>
    <x v="0"/>
    <x v="0"/>
    <x v="2"/>
    <x v="10"/>
    <x v="10"/>
    <x v="0"/>
    <x v="19"/>
    <n v="30"/>
  </r>
  <r>
    <x v="0"/>
    <x v="0"/>
    <x v="2"/>
    <x v="10"/>
    <x v="11"/>
    <x v="0"/>
    <x v="0"/>
    <n v="3"/>
  </r>
  <r>
    <x v="0"/>
    <x v="0"/>
    <x v="2"/>
    <x v="10"/>
    <x v="11"/>
    <x v="0"/>
    <x v="18"/>
    <n v="4"/>
  </r>
  <r>
    <x v="0"/>
    <x v="0"/>
    <x v="2"/>
    <x v="11"/>
    <x v="1"/>
    <x v="0"/>
    <x v="14"/>
    <n v="3"/>
  </r>
  <r>
    <x v="0"/>
    <x v="0"/>
    <x v="2"/>
    <x v="11"/>
    <x v="1"/>
    <x v="0"/>
    <x v="17"/>
    <n v="3"/>
  </r>
  <r>
    <x v="0"/>
    <x v="0"/>
    <x v="2"/>
    <x v="11"/>
    <x v="1"/>
    <x v="0"/>
    <x v="19"/>
    <n v="1"/>
  </r>
  <r>
    <x v="0"/>
    <x v="0"/>
    <x v="2"/>
    <x v="11"/>
    <x v="3"/>
    <x v="0"/>
    <x v="19"/>
    <n v="1"/>
  </r>
  <r>
    <x v="0"/>
    <x v="0"/>
    <x v="2"/>
    <x v="11"/>
    <x v="7"/>
    <x v="1"/>
    <x v="19"/>
    <n v="3"/>
  </r>
  <r>
    <x v="0"/>
    <x v="0"/>
    <x v="2"/>
    <x v="11"/>
    <x v="7"/>
    <x v="8"/>
    <x v="0"/>
    <n v="3"/>
  </r>
  <r>
    <x v="0"/>
    <x v="0"/>
    <x v="2"/>
    <x v="11"/>
    <x v="7"/>
    <x v="8"/>
    <x v="18"/>
    <n v="1"/>
  </r>
  <r>
    <x v="0"/>
    <x v="0"/>
    <x v="2"/>
    <x v="11"/>
    <x v="7"/>
    <x v="0"/>
    <x v="14"/>
    <n v="15"/>
  </r>
  <r>
    <x v="0"/>
    <x v="0"/>
    <x v="2"/>
    <x v="11"/>
    <x v="7"/>
    <x v="0"/>
    <x v="17"/>
    <n v="19"/>
  </r>
  <r>
    <x v="0"/>
    <x v="0"/>
    <x v="2"/>
    <x v="11"/>
    <x v="7"/>
    <x v="0"/>
    <x v="19"/>
    <n v="24"/>
  </r>
  <r>
    <x v="0"/>
    <x v="0"/>
    <x v="2"/>
    <x v="11"/>
    <x v="6"/>
    <x v="0"/>
    <x v="14"/>
    <n v="2"/>
  </r>
  <r>
    <x v="0"/>
    <x v="0"/>
    <x v="2"/>
    <x v="11"/>
    <x v="6"/>
    <x v="0"/>
    <x v="17"/>
    <n v="1"/>
  </r>
  <r>
    <x v="0"/>
    <x v="0"/>
    <x v="2"/>
    <x v="11"/>
    <x v="9"/>
    <x v="0"/>
    <x v="13"/>
    <n v="1"/>
  </r>
  <r>
    <x v="0"/>
    <x v="0"/>
    <x v="2"/>
    <x v="11"/>
    <x v="9"/>
    <x v="0"/>
    <x v="11"/>
    <n v="2"/>
  </r>
  <r>
    <x v="0"/>
    <x v="0"/>
    <x v="2"/>
    <x v="11"/>
    <x v="9"/>
    <x v="0"/>
    <x v="14"/>
    <n v="4"/>
  </r>
  <r>
    <x v="0"/>
    <x v="0"/>
    <x v="2"/>
    <x v="11"/>
    <x v="9"/>
    <x v="0"/>
    <x v="17"/>
    <n v="5"/>
  </r>
  <r>
    <x v="0"/>
    <x v="0"/>
    <x v="2"/>
    <x v="11"/>
    <x v="9"/>
    <x v="0"/>
    <x v="19"/>
    <n v="34"/>
  </r>
  <r>
    <x v="0"/>
    <x v="0"/>
    <x v="2"/>
    <x v="11"/>
    <x v="10"/>
    <x v="0"/>
    <x v="19"/>
    <n v="3"/>
  </r>
  <r>
    <x v="0"/>
    <x v="0"/>
    <x v="2"/>
    <x v="11"/>
    <x v="17"/>
    <x v="0"/>
    <x v="17"/>
    <n v="2"/>
  </r>
  <r>
    <x v="0"/>
    <x v="0"/>
    <x v="2"/>
    <x v="11"/>
    <x v="17"/>
    <x v="0"/>
    <x v="19"/>
    <n v="15"/>
  </r>
  <r>
    <x v="0"/>
    <x v="0"/>
    <x v="2"/>
    <x v="12"/>
    <x v="1"/>
    <x v="1"/>
    <x v="17"/>
    <n v="1"/>
  </r>
  <r>
    <x v="0"/>
    <x v="0"/>
    <x v="2"/>
    <x v="12"/>
    <x v="5"/>
    <x v="0"/>
    <x v="11"/>
    <n v="1"/>
  </r>
  <r>
    <x v="0"/>
    <x v="0"/>
    <x v="2"/>
    <x v="12"/>
    <x v="15"/>
    <x v="0"/>
    <x v="19"/>
    <n v="14"/>
  </r>
  <r>
    <x v="0"/>
    <x v="0"/>
    <x v="2"/>
    <x v="12"/>
    <x v="3"/>
    <x v="1"/>
    <x v="19"/>
    <n v="1"/>
  </r>
  <r>
    <x v="0"/>
    <x v="0"/>
    <x v="2"/>
    <x v="12"/>
    <x v="3"/>
    <x v="0"/>
    <x v="17"/>
    <n v="1"/>
  </r>
  <r>
    <x v="0"/>
    <x v="0"/>
    <x v="2"/>
    <x v="12"/>
    <x v="3"/>
    <x v="0"/>
    <x v="19"/>
    <n v="47"/>
  </r>
  <r>
    <x v="0"/>
    <x v="0"/>
    <x v="2"/>
    <x v="12"/>
    <x v="18"/>
    <x v="0"/>
    <x v="19"/>
    <n v="2"/>
  </r>
  <r>
    <x v="0"/>
    <x v="0"/>
    <x v="2"/>
    <x v="13"/>
    <x v="2"/>
    <x v="0"/>
    <x v="18"/>
    <n v="1"/>
  </r>
  <r>
    <x v="0"/>
    <x v="0"/>
    <x v="2"/>
    <x v="13"/>
    <x v="3"/>
    <x v="0"/>
    <x v="19"/>
    <n v="86"/>
  </r>
  <r>
    <x v="0"/>
    <x v="0"/>
    <x v="2"/>
    <x v="13"/>
    <x v="6"/>
    <x v="0"/>
    <x v="19"/>
    <n v="7"/>
  </r>
  <r>
    <x v="0"/>
    <x v="0"/>
    <x v="2"/>
    <x v="13"/>
    <x v="9"/>
    <x v="0"/>
    <x v="5"/>
    <n v="3"/>
  </r>
  <r>
    <x v="0"/>
    <x v="0"/>
    <x v="2"/>
    <x v="13"/>
    <x v="11"/>
    <x v="0"/>
    <x v="19"/>
    <n v="8"/>
  </r>
  <r>
    <x v="0"/>
    <x v="0"/>
    <x v="2"/>
    <x v="13"/>
    <x v="18"/>
    <x v="0"/>
    <x v="17"/>
    <n v="4"/>
  </r>
  <r>
    <x v="0"/>
    <x v="0"/>
    <x v="4"/>
    <x v="7"/>
    <x v="16"/>
    <x v="0"/>
    <x v="10"/>
    <n v="5"/>
  </r>
  <r>
    <x v="0"/>
    <x v="0"/>
    <x v="4"/>
    <x v="7"/>
    <x v="16"/>
    <x v="0"/>
    <x v="1"/>
    <n v="3"/>
  </r>
  <r>
    <x v="0"/>
    <x v="0"/>
    <x v="4"/>
    <x v="7"/>
    <x v="8"/>
    <x v="0"/>
    <x v="4"/>
    <n v="2"/>
  </r>
  <r>
    <x v="0"/>
    <x v="0"/>
    <x v="4"/>
    <x v="7"/>
    <x v="8"/>
    <x v="0"/>
    <x v="5"/>
    <n v="1"/>
  </r>
  <r>
    <x v="0"/>
    <x v="0"/>
    <x v="4"/>
    <x v="7"/>
    <x v="8"/>
    <x v="0"/>
    <x v="2"/>
    <n v="2"/>
  </r>
  <r>
    <x v="0"/>
    <x v="0"/>
    <x v="4"/>
    <x v="7"/>
    <x v="8"/>
    <x v="0"/>
    <x v="13"/>
    <n v="1"/>
  </r>
  <r>
    <x v="0"/>
    <x v="0"/>
    <x v="4"/>
    <x v="7"/>
    <x v="6"/>
    <x v="7"/>
    <x v="6"/>
    <n v="3"/>
  </r>
  <r>
    <x v="0"/>
    <x v="0"/>
    <x v="4"/>
    <x v="7"/>
    <x v="6"/>
    <x v="7"/>
    <x v="10"/>
    <n v="1"/>
  </r>
  <r>
    <x v="0"/>
    <x v="0"/>
    <x v="4"/>
    <x v="7"/>
    <x v="6"/>
    <x v="8"/>
    <x v="6"/>
    <n v="1"/>
  </r>
  <r>
    <x v="0"/>
    <x v="0"/>
    <x v="4"/>
    <x v="7"/>
    <x v="6"/>
    <x v="0"/>
    <x v="12"/>
    <n v="2"/>
  </r>
  <r>
    <x v="0"/>
    <x v="0"/>
    <x v="4"/>
    <x v="7"/>
    <x v="6"/>
    <x v="0"/>
    <x v="9"/>
    <n v="4"/>
  </r>
  <r>
    <x v="0"/>
    <x v="0"/>
    <x v="4"/>
    <x v="8"/>
    <x v="12"/>
    <x v="0"/>
    <x v="2"/>
    <n v="1"/>
  </r>
  <r>
    <x v="0"/>
    <x v="0"/>
    <x v="4"/>
    <x v="8"/>
    <x v="1"/>
    <x v="0"/>
    <x v="17"/>
    <n v="1"/>
  </r>
  <r>
    <x v="0"/>
    <x v="0"/>
    <x v="4"/>
    <x v="8"/>
    <x v="14"/>
    <x v="0"/>
    <x v="4"/>
    <n v="2"/>
  </r>
  <r>
    <x v="0"/>
    <x v="0"/>
    <x v="4"/>
    <x v="8"/>
    <x v="10"/>
    <x v="0"/>
    <x v="12"/>
    <n v="2"/>
  </r>
  <r>
    <x v="0"/>
    <x v="0"/>
    <x v="4"/>
    <x v="11"/>
    <x v="0"/>
    <x v="0"/>
    <x v="6"/>
    <n v="2"/>
  </r>
  <r>
    <x v="0"/>
    <x v="0"/>
    <x v="4"/>
    <x v="11"/>
    <x v="12"/>
    <x v="0"/>
    <x v="9"/>
    <n v="3"/>
  </r>
  <r>
    <x v="0"/>
    <x v="0"/>
    <x v="4"/>
    <x v="11"/>
    <x v="12"/>
    <x v="0"/>
    <x v="3"/>
    <n v="3"/>
  </r>
  <r>
    <x v="0"/>
    <x v="0"/>
    <x v="4"/>
    <x v="11"/>
    <x v="12"/>
    <x v="0"/>
    <x v="4"/>
    <n v="6"/>
  </r>
  <r>
    <x v="0"/>
    <x v="0"/>
    <x v="4"/>
    <x v="11"/>
    <x v="14"/>
    <x v="5"/>
    <x v="13"/>
    <n v="1"/>
  </r>
  <r>
    <x v="0"/>
    <x v="0"/>
    <x v="4"/>
    <x v="11"/>
    <x v="14"/>
    <x v="5"/>
    <x v="11"/>
    <n v="2"/>
  </r>
  <r>
    <x v="0"/>
    <x v="0"/>
    <x v="4"/>
    <x v="11"/>
    <x v="14"/>
    <x v="11"/>
    <x v="2"/>
    <n v="3"/>
  </r>
  <r>
    <x v="0"/>
    <x v="0"/>
    <x v="4"/>
    <x v="11"/>
    <x v="14"/>
    <x v="11"/>
    <x v="11"/>
    <n v="1"/>
  </r>
  <r>
    <x v="0"/>
    <x v="0"/>
    <x v="4"/>
    <x v="11"/>
    <x v="14"/>
    <x v="6"/>
    <x v="5"/>
    <n v="2"/>
  </r>
  <r>
    <x v="0"/>
    <x v="0"/>
    <x v="4"/>
    <x v="11"/>
    <x v="14"/>
    <x v="6"/>
    <x v="13"/>
    <n v="1"/>
  </r>
  <r>
    <x v="0"/>
    <x v="0"/>
    <x v="4"/>
    <x v="11"/>
    <x v="14"/>
    <x v="9"/>
    <x v="4"/>
    <n v="1"/>
  </r>
  <r>
    <x v="0"/>
    <x v="0"/>
    <x v="4"/>
    <x v="11"/>
    <x v="14"/>
    <x v="9"/>
    <x v="5"/>
    <n v="1"/>
  </r>
  <r>
    <x v="0"/>
    <x v="0"/>
    <x v="4"/>
    <x v="11"/>
    <x v="14"/>
    <x v="12"/>
    <x v="2"/>
    <n v="2"/>
  </r>
  <r>
    <x v="0"/>
    <x v="0"/>
    <x v="4"/>
    <x v="11"/>
    <x v="14"/>
    <x v="12"/>
    <x v="13"/>
    <n v="1"/>
  </r>
  <r>
    <x v="0"/>
    <x v="0"/>
    <x v="4"/>
    <x v="11"/>
    <x v="14"/>
    <x v="1"/>
    <x v="2"/>
    <n v="1"/>
  </r>
  <r>
    <x v="0"/>
    <x v="0"/>
    <x v="4"/>
    <x v="11"/>
    <x v="14"/>
    <x v="0"/>
    <x v="5"/>
    <n v="2"/>
  </r>
  <r>
    <x v="0"/>
    <x v="0"/>
    <x v="4"/>
    <x v="11"/>
    <x v="8"/>
    <x v="11"/>
    <x v="8"/>
    <n v="1"/>
  </r>
  <r>
    <x v="0"/>
    <x v="0"/>
    <x v="4"/>
    <x v="11"/>
    <x v="8"/>
    <x v="6"/>
    <x v="8"/>
    <n v="1"/>
  </r>
  <r>
    <x v="0"/>
    <x v="0"/>
    <x v="4"/>
    <x v="11"/>
    <x v="8"/>
    <x v="12"/>
    <x v="12"/>
    <n v="1"/>
  </r>
  <r>
    <x v="0"/>
    <x v="0"/>
    <x v="4"/>
    <x v="11"/>
    <x v="8"/>
    <x v="7"/>
    <x v="6"/>
    <n v="8"/>
  </r>
  <r>
    <x v="0"/>
    <x v="0"/>
    <x v="4"/>
    <x v="11"/>
    <x v="8"/>
    <x v="7"/>
    <x v="10"/>
    <n v="1"/>
  </r>
  <r>
    <x v="0"/>
    <x v="0"/>
    <x v="4"/>
    <x v="11"/>
    <x v="8"/>
    <x v="0"/>
    <x v="4"/>
    <n v="1"/>
  </r>
  <r>
    <x v="0"/>
    <x v="0"/>
    <x v="4"/>
    <x v="12"/>
    <x v="12"/>
    <x v="5"/>
    <x v="5"/>
    <n v="1"/>
  </r>
  <r>
    <x v="0"/>
    <x v="0"/>
    <x v="4"/>
    <x v="12"/>
    <x v="12"/>
    <x v="7"/>
    <x v="6"/>
    <n v="6"/>
  </r>
  <r>
    <x v="0"/>
    <x v="0"/>
    <x v="4"/>
    <x v="12"/>
    <x v="12"/>
    <x v="7"/>
    <x v="10"/>
    <n v="2"/>
  </r>
  <r>
    <x v="0"/>
    <x v="0"/>
    <x v="4"/>
    <x v="12"/>
    <x v="12"/>
    <x v="1"/>
    <x v="12"/>
    <n v="1"/>
  </r>
  <r>
    <x v="0"/>
    <x v="0"/>
    <x v="4"/>
    <x v="12"/>
    <x v="12"/>
    <x v="1"/>
    <x v="9"/>
    <n v="1"/>
  </r>
  <r>
    <x v="0"/>
    <x v="0"/>
    <x v="4"/>
    <x v="12"/>
    <x v="12"/>
    <x v="8"/>
    <x v="6"/>
    <n v="7"/>
  </r>
  <r>
    <x v="0"/>
    <x v="0"/>
    <x v="4"/>
    <x v="12"/>
    <x v="12"/>
    <x v="8"/>
    <x v="10"/>
    <n v="2"/>
  </r>
  <r>
    <x v="0"/>
    <x v="0"/>
    <x v="4"/>
    <x v="12"/>
    <x v="12"/>
    <x v="0"/>
    <x v="1"/>
    <n v="1"/>
  </r>
  <r>
    <x v="0"/>
    <x v="0"/>
    <x v="4"/>
    <x v="12"/>
    <x v="12"/>
    <x v="0"/>
    <x v="12"/>
    <n v="1"/>
  </r>
  <r>
    <x v="0"/>
    <x v="0"/>
    <x v="4"/>
    <x v="12"/>
    <x v="12"/>
    <x v="0"/>
    <x v="9"/>
    <n v="1"/>
  </r>
  <r>
    <x v="0"/>
    <x v="0"/>
    <x v="4"/>
    <x v="12"/>
    <x v="2"/>
    <x v="0"/>
    <x v="1"/>
    <n v="1"/>
  </r>
  <r>
    <x v="0"/>
    <x v="0"/>
    <x v="4"/>
    <x v="12"/>
    <x v="4"/>
    <x v="1"/>
    <x v="7"/>
    <n v="1"/>
  </r>
  <r>
    <x v="0"/>
    <x v="0"/>
    <x v="4"/>
    <x v="12"/>
    <x v="4"/>
    <x v="0"/>
    <x v="6"/>
    <n v="11"/>
  </r>
  <r>
    <x v="0"/>
    <x v="0"/>
    <x v="4"/>
    <x v="12"/>
    <x v="4"/>
    <x v="0"/>
    <x v="10"/>
    <n v="13"/>
  </r>
  <r>
    <x v="0"/>
    <x v="0"/>
    <x v="4"/>
    <x v="13"/>
    <x v="16"/>
    <x v="7"/>
    <x v="9"/>
    <n v="1"/>
  </r>
  <r>
    <x v="0"/>
    <x v="0"/>
    <x v="4"/>
    <x v="13"/>
    <x v="16"/>
    <x v="7"/>
    <x v="3"/>
    <n v="1"/>
  </r>
  <r>
    <x v="0"/>
    <x v="0"/>
    <x v="4"/>
    <x v="13"/>
    <x v="16"/>
    <x v="7"/>
    <x v="4"/>
    <n v="1"/>
  </r>
  <r>
    <x v="0"/>
    <x v="0"/>
    <x v="4"/>
    <x v="13"/>
    <x v="16"/>
    <x v="1"/>
    <x v="11"/>
    <n v="1"/>
  </r>
  <r>
    <x v="0"/>
    <x v="0"/>
    <x v="4"/>
    <x v="13"/>
    <x v="16"/>
    <x v="8"/>
    <x v="12"/>
    <n v="2"/>
  </r>
  <r>
    <x v="0"/>
    <x v="0"/>
    <x v="4"/>
    <x v="13"/>
    <x v="16"/>
    <x v="8"/>
    <x v="3"/>
    <n v="2"/>
  </r>
  <r>
    <x v="0"/>
    <x v="0"/>
    <x v="4"/>
    <x v="13"/>
    <x v="16"/>
    <x v="0"/>
    <x v="13"/>
    <n v="1"/>
  </r>
  <r>
    <x v="0"/>
    <x v="0"/>
    <x v="4"/>
    <x v="13"/>
    <x v="16"/>
    <x v="0"/>
    <x v="11"/>
    <n v="1"/>
  </r>
  <r>
    <x v="0"/>
    <x v="0"/>
    <x v="4"/>
    <x v="13"/>
    <x v="1"/>
    <x v="0"/>
    <x v="5"/>
    <n v="230"/>
  </r>
  <r>
    <x v="0"/>
    <x v="0"/>
    <x v="4"/>
    <x v="13"/>
    <x v="1"/>
    <x v="0"/>
    <x v="2"/>
    <n v="12"/>
  </r>
  <r>
    <x v="0"/>
    <x v="0"/>
    <x v="4"/>
    <x v="13"/>
    <x v="1"/>
    <x v="0"/>
    <x v="13"/>
    <n v="12"/>
  </r>
  <r>
    <x v="0"/>
    <x v="0"/>
    <x v="4"/>
    <x v="13"/>
    <x v="1"/>
    <x v="0"/>
    <x v="11"/>
    <n v="4"/>
  </r>
  <r>
    <x v="0"/>
    <x v="0"/>
    <x v="4"/>
    <x v="13"/>
    <x v="1"/>
    <x v="0"/>
    <x v="14"/>
    <n v="5"/>
  </r>
  <r>
    <x v="0"/>
    <x v="0"/>
    <x v="4"/>
    <x v="13"/>
    <x v="1"/>
    <x v="0"/>
    <x v="17"/>
    <n v="2"/>
  </r>
  <r>
    <x v="0"/>
    <x v="0"/>
    <x v="4"/>
    <x v="13"/>
    <x v="13"/>
    <x v="8"/>
    <x v="6"/>
    <n v="2"/>
  </r>
  <r>
    <x v="0"/>
    <x v="0"/>
    <x v="4"/>
    <x v="13"/>
    <x v="13"/>
    <x v="0"/>
    <x v="12"/>
    <n v="5"/>
  </r>
  <r>
    <x v="0"/>
    <x v="0"/>
    <x v="4"/>
    <x v="13"/>
    <x v="13"/>
    <x v="0"/>
    <x v="9"/>
    <n v="4"/>
  </r>
  <r>
    <x v="0"/>
    <x v="0"/>
    <x v="4"/>
    <x v="13"/>
    <x v="13"/>
    <x v="0"/>
    <x v="4"/>
    <n v="1"/>
  </r>
  <r>
    <x v="0"/>
    <x v="0"/>
    <x v="4"/>
    <x v="13"/>
    <x v="14"/>
    <x v="0"/>
    <x v="3"/>
    <n v="1"/>
  </r>
  <r>
    <x v="0"/>
    <x v="0"/>
    <x v="4"/>
    <x v="13"/>
    <x v="14"/>
    <x v="0"/>
    <x v="4"/>
    <n v="1"/>
  </r>
  <r>
    <x v="0"/>
    <x v="0"/>
    <x v="4"/>
    <x v="13"/>
    <x v="17"/>
    <x v="3"/>
    <x v="4"/>
    <n v="1"/>
  </r>
  <r>
    <x v="0"/>
    <x v="0"/>
    <x v="4"/>
    <x v="13"/>
    <x v="17"/>
    <x v="4"/>
    <x v="9"/>
    <n v="2"/>
  </r>
  <r>
    <x v="0"/>
    <x v="0"/>
    <x v="4"/>
    <x v="13"/>
    <x v="17"/>
    <x v="5"/>
    <x v="1"/>
    <n v="1"/>
  </r>
  <r>
    <x v="0"/>
    <x v="0"/>
    <x v="4"/>
    <x v="13"/>
    <x v="17"/>
    <x v="5"/>
    <x v="9"/>
    <n v="1"/>
  </r>
  <r>
    <x v="0"/>
    <x v="0"/>
    <x v="4"/>
    <x v="13"/>
    <x v="17"/>
    <x v="11"/>
    <x v="1"/>
    <n v="1"/>
  </r>
  <r>
    <x v="0"/>
    <x v="0"/>
    <x v="4"/>
    <x v="13"/>
    <x v="17"/>
    <x v="11"/>
    <x v="12"/>
    <n v="2"/>
  </r>
  <r>
    <x v="0"/>
    <x v="0"/>
    <x v="4"/>
    <x v="14"/>
    <x v="16"/>
    <x v="10"/>
    <x v="10"/>
    <n v="9"/>
  </r>
  <r>
    <x v="0"/>
    <x v="0"/>
    <x v="4"/>
    <x v="14"/>
    <x v="16"/>
    <x v="10"/>
    <x v="1"/>
    <n v="9"/>
  </r>
  <r>
    <x v="0"/>
    <x v="0"/>
    <x v="4"/>
    <x v="14"/>
    <x v="16"/>
    <x v="3"/>
    <x v="6"/>
    <n v="33"/>
  </r>
  <r>
    <x v="0"/>
    <x v="0"/>
    <x v="4"/>
    <x v="0"/>
    <x v="1"/>
    <x v="1"/>
    <x v="6"/>
    <n v="27"/>
  </r>
  <r>
    <x v="0"/>
    <x v="0"/>
    <x v="4"/>
    <x v="0"/>
    <x v="1"/>
    <x v="1"/>
    <x v="10"/>
    <n v="7"/>
  </r>
  <r>
    <x v="0"/>
    <x v="0"/>
    <x v="4"/>
    <x v="0"/>
    <x v="1"/>
    <x v="1"/>
    <x v="1"/>
    <n v="6"/>
  </r>
  <r>
    <x v="0"/>
    <x v="0"/>
    <x v="4"/>
    <x v="0"/>
    <x v="1"/>
    <x v="8"/>
    <x v="12"/>
    <n v="2"/>
  </r>
  <r>
    <x v="0"/>
    <x v="0"/>
    <x v="4"/>
    <x v="0"/>
    <x v="1"/>
    <x v="8"/>
    <x v="9"/>
    <n v="1"/>
  </r>
  <r>
    <x v="0"/>
    <x v="0"/>
    <x v="4"/>
    <x v="0"/>
    <x v="1"/>
    <x v="8"/>
    <x v="3"/>
    <n v="3"/>
  </r>
  <r>
    <x v="0"/>
    <x v="0"/>
    <x v="4"/>
    <x v="0"/>
    <x v="1"/>
    <x v="8"/>
    <x v="4"/>
    <n v="1"/>
  </r>
  <r>
    <x v="0"/>
    <x v="0"/>
    <x v="4"/>
    <x v="0"/>
    <x v="1"/>
    <x v="0"/>
    <x v="7"/>
    <n v="21"/>
  </r>
  <r>
    <x v="0"/>
    <x v="0"/>
    <x v="4"/>
    <x v="0"/>
    <x v="1"/>
    <x v="0"/>
    <x v="6"/>
    <n v="249"/>
  </r>
  <r>
    <x v="0"/>
    <x v="0"/>
    <x v="4"/>
    <x v="0"/>
    <x v="1"/>
    <x v="0"/>
    <x v="10"/>
    <n v="244"/>
  </r>
  <r>
    <x v="0"/>
    <x v="0"/>
    <x v="4"/>
    <x v="0"/>
    <x v="1"/>
    <x v="0"/>
    <x v="19"/>
    <n v="1"/>
  </r>
  <r>
    <x v="0"/>
    <x v="0"/>
    <x v="4"/>
    <x v="0"/>
    <x v="8"/>
    <x v="0"/>
    <x v="18"/>
    <n v="2"/>
  </r>
  <r>
    <x v="0"/>
    <x v="0"/>
    <x v="4"/>
    <x v="0"/>
    <x v="10"/>
    <x v="0"/>
    <x v="9"/>
    <n v="1"/>
  </r>
  <r>
    <x v="0"/>
    <x v="0"/>
    <x v="4"/>
    <x v="0"/>
    <x v="19"/>
    <x v="4"/>
    <x v="9"/>
    <n v="1"/>
  </r>
  <r>
    <x v="0"/>
    <x v="0"/>
    <x v="4"/>
    <x v="0"/>
    <x v="19"/>
    <x v="5"/>
    <x v="9"/>
    <n v="2"/>
  </r>
  <r>
    <x v="0"/>
    <x v="0"/>
    <x v="4"/>
    <x v="0"/>
    <x v="19"/>
    <x v="5"/>
    <x v="3"/>
    <n v="1"/>
  </r>
  <r>
    <x v="0"/>
    <x v="0"/>
    <x v="4"/>
    <x v="0"/>
    <x v="19"/>
    <x v="5"/>
    <x v="5"/>
    <n v="1"/>
  </r>
  <r>
    <x v="0"/>
    <x v="0"/>
    <x v="4"/>
    <x v="0"/>
    <x v="19"/>
    <x v="5"/>
    <x v="2"/>
    <n v="1"/>
  </r>
  <r>
    <x v="0"/>
    <x v="0"/>
    <x v="4"/>
    <x v="0"/>
    <x v="19"/>
    <x v="11"/>
    <x v="4"/>
    <n v="1"/>
  </r>
  <r>
    <x v="0"/>
    <x v="0"/>
    <x v="4"/>
    <x v="0"/>
    <x v="19"/>
    <x v="11"/>
    <x v="5"/>
    <n v="1"/>
  </r>
  <r>
    <x v="0"/>
    <x v="0"/>
    <x v="4"/>
    <x v="0"/>
    <x v="19"/>
    <x v="6"/>
    <x v="12"/>
    <n v="1"/>
  </r>
  <r>
    <x v="0"/>
    <x v="0"/>
    <x v="4"/>
    <x v="0"/>
    <x v="19"/>
    <x v="9"/>
    <x v="12"/>
    <n v="1"/>
  </r>
  <r>
    <x v="0"/>
    <x v="0"/>
    <x v="4"/>
    <x v="0"/>
    <x v="19"/>
    <x v="9"/>
    <x v="9"/>
    <n v="1"/>
  </r>
  <r>
    <x v="0"/>
    <x v="0"/>
    <x v="4"/>
    <x v="0"/>
    <x v="19"/>
    <x v="12"/>
    <x v="1"/>
    <n v="2"/>
  </r>
  <r>
    <x v="0"/>
    <x v="0"/>
    <x v="4"/>
    <x v="0"/>
    <x v="19"/>
    <x v="12"/>
    <x v="9"/>
    <n v="1"/>
  </r>
  <r>
    <x v="0"/>
    <x v="0"/>
    <x v="4"/>
    <x v="0"/>
    <x v="19"/>
    <x v="1"/>
    <x v="1"/>
    <n v="2"/>
  </r>
  <r>
    <x v="0"/>
    <x v="0"/>
    <x v="4"/>
    <x v="0"/>
    <x v="19"/>
    <x v="0"/>
    <x v="10"/>
    <n v="2"/>
  </r>
  <r>
    <x v="0"/>
    <x v="0"/>
    <x v="4"/>
    <x v="0"/>
    <x v="19"/>
    <x v="0"/>
    <x v="1"/>
    <n v="1"/>
  </r>
  <r>
    <x v="0"/>
    <x v="0"/>
    <x v="4"/>
    <x v="1"/>
    <x v="0"/>
    <x v="0"/>
    <x v="9"/>
    <n v="2"/>
  </r>
  <r>
    <x v="0"/>
    <x v="0"/>
    <x v="4"/>
    <x v="1"/>
    <x v="1"/>
    <x v="7"/>
    <x v="7"/>
    <n v="1"/>
  </r>
  <r>
    <x v="0"/>
    <x v="0"/>
    <x v="4"/>
    <x v="1"/>
    <x v="1"/>
    <x v="7"/>
    <x v="6"/>
    <n v="2"/>
  </r>
  <r>
    <x v="0"/>
    <x v="0"/>
    <x v="4"/>
    <x v="1"/>
    <x v="1"/>
    <x v="1"/>
    <x v="8"/>
    <n v="2"/>
  </r>
  <r>
    <x v="0"/>
    <x v="0"/>
    <x v="4"/>
    <x v="1"/>
    <x v="1"/>
    <x v="8"/>
    <x v="7"/>
    <n v="6"/>
  </r>
  <r>
    <x v="0"/>
    <x v="0"/>
    <x v="4"/>
    <x v="1"/>
    <x v="1"/>
    <x v="8"/>
    <x v="6"/>
    <n v="3"/>
  </r>
  <r>
    <x v="0"/>
    <x v="0"/>
    <x v="4"/>
    <x v="1"/>
    <x v="1"/>
    <x v="0"/>
    <x v="12"/>
    <n v="10"/>
  </r>
  <r>
    <x v="0"/>
    <x v="0"/>
    <x v="4"/>
    <x v="1"/>
    <x v="1"/>
    <x v="0"/>
    <x v="9"/>
    <n v="5"/>
  </r>
  <r>
    <x v="0"/>
    <x v="0"/>
    <x v="4"/>
    <x v="1"/>
    <x v="1"/>
    <x v="0"/>
    <x v="3"/>
    <n v="8"/>
  </r>
  <r>
    <x v="0"/>
    <x v="0"/>
    <x v="4"/>
    <x v="1"/>
    <x v="1"/>
    <x v="0"/>
    <x v="4"/>
    <n v="4"/>
  </r>
  <r>
    <x v="0"/>
    <x v="0"/>
    <x v="4"/>
    <x v="1"/>
    <x v="1"/>
    <x v="0"/>
    <x v="5"/>
    <n v="1"/>
  </r>
  <r>
    <x v="0"/>
    <x v="0"/>
    <x v="4"/>
    <x v="1"/>
    <x v="1"/>
    <x v="0"/>
    <x v="2"/>
    <n v="1"/>
  </r>
  <r>
    <x v="0"/>
    <x v="0"/>
    <x v="4"/>
    <x v="1"/>
    <x v="18"/>
    <x v="0"/>
    <x v="6"/>
    <n v="3"/>
  </r>
  <r>
    <x v="0"/>
    <x v="0"/>
    <x v="4"/>
    <x v="1"/>
    <x v="18"/>
    <x v="0"/>
    <x v="10"/>
    <n v="6"/>
  </r>
  <r>
    <x v="0"/>
    <x v="0"/>
    <x v="4"/>
    <x v="1"/>
    <x v="18"/>
    <x v="0"/>
    <x v="1"/>
    <n v="4"/>
  </r>
  <r>
    <x v="0"/>
    <x v="0"/>
    <x v="4"/>
    <x v="2"/>
    <x v="4"/>
    <x v="0"/>
    <x v="4"/>
    <n v="1"/>
  </r>
  <r>
    <x v="0"/>
    <x v="0"/>
    <x v="4"/>
    <x v="2"/>
    <x v="15"/>
    <x v="8"/>
    <x v="1"/>
    <n v="2"/>
  </r>
  <r>
    <x v="0"/>
    <x v="0"/>
    <x v="4"/>
    <x v="2"/>
    <x v="15"/>
    <x v="0"/>
    <x v="7"/>
    <n v="3"/>
  </r>
  <r>
    <x v="0"/>
    <x v="0"/>
    <x v="4"/>
    <x v="2"/>
    <x v="15"/>
    <x v="0"/>
    <x v="6"/>
    <n v="19"/>
  </r>
  <r>
    <x v="0"/>
    <x v="0"/>
    <x v="4"/>
    <x v="2"/>
    <x v="7"/>
    <x v="5"/>
    <x v="1"/>
    <n v="2"/>
  </r>
  <r>
    <x v="0"/>
    <x v="0"/>
    <x v="4"/>
    <x v="2"/>
    <x v="7"/>
    <x v="6"/>
    <x v="10"/>
    <n v="1"/>
  </r>
  <r>
    <x v="0"/>
    <x v="0"/>
    <x v="4"/>
    <x v="2"/>
    <x v="7"/>
    <x v="7"/>
    <x v="12"/>
    <n v="1"/>
  </r>
  <r>
    <x v="0"/>
    <x v="0"/>
    <x v="4"/>
    <x v="2"/>
    <x v="6"/>
    <x v="9"/>
    <x v="6"/>
    <n v="3"/>
  </r>
  <r>
    <x v="0"/>
    <x v="0"/>
    <x v="4"/>
    <x v="2"/>
    <x v="6"/>
    <x v="12"/>
    <x v="7"/>
    <n v="15"/>
  </r>
  <r>
    <x v="0"/>
    <x v="0"/>
    <x v="4"/>
    <x v="2"/>
    <x v="6"/>
    <x v="12"/>
    <x v="14"/>
    <n v="2"/>
  </r>
  <r>
    <x v="0"/>
    <x v="0"/>
    <x v="4"/>
    <x v="2"/>
    <x v="6"/>
    <x v="7"/>
    <x v="10"/>
    <n v="11"/>
  </r>
  <r>
    <x v="0"/>
    <x v="0"/>
    <x v="4"/>
    <x v="2"/>
    <x v="6"/>
    <x v="7"/>
    <x v="1"/>
    <n v="7"/>
  </r>
  <r>
    <x v="0"/>
    <x v="0"/>
    <x v="4"/>
    <x v="2"/>
    <x v="6"/>
    <x v="1"/>
    <x v="7"/>
    <n v="4"/>
  </r>
  <r>
    <x v="0"/>
    <x v="0"/>
    <x v="4"/>
    <x v="2"/>
    <x v="6"/>
    <x v="1"/>
    <x v="13"/>
    <n v="2"/>
  </r>
  <r>
    <x v="0"/>
    <x v="0"/>
    <x v="4"/>
    <x v="2"/>
    <x v="6"/>
    <x v="1"/>
    <x v="11"/>
    <n v="1"/>
  </r>
  <r>
    <x v="0"/>
    <x v="0"/>
    <x v="4"/>
    <x v="2"/>
    <x v="6"/>
    <x v="8"/>
    <x v="6"/>
    <n v="45"/>
  </r>
  <r>
    <x v="0"/>
    <x v="0"/>
    <x v="4"/>
    <x v="2"/>
    <x v="6"/>
    <x v="8"/>
    <x v="10"/>
    <n v="144"/>
  </r>
  <r>
    <x v="0"/>
    <x v="0"/>
    <x v="4"/>
    <x v="2"/>
    <x v="6"/>
    <x v="8"/>
    <x v="1"/>
    <n v="16"/>
  </r>
  <r>
    <x v="0"/>
    <x v="0"/>
    <x v="4"/>
    <x v="2"/>
    <x v="6"/>
    <x v="0"/>
    <x v="2"/>
    <n v="5"/>
  </r>
  <r>
    <x v="0"/>
    <x v="0"/>
    <x v="4"/>
    <x v="2"/>
    <x v="6"/>
    <x v="0"/>
    <x v="13"/>
    <n v="3"/>
  </r>
  <r>
    <x v="0"/>
    <x v="0"/>
    <x v="4"/>
    <x v="2"/>
    <x v="6"/>
    <x v="0"/>
    <x v="11"/>
    <n v="1"/>
  </r>
  <r>
    <x v="0"/>
    <x v="0"/>
    <x v="4"/>
    <x v="2"/>
    <x v="9"/>
    <x v="0"/>
    <x v="5"/>
    <n v="9"/>
  </r>
  <r>
    <x v="0"/>
    <x v="0"/>
    <x v="4"/>
    <x v="2"/>
    <x v="9"/>
    <x v="0"/>
    <x v="2"/>
    <n v="1"/>
  </r>
  <r>
    <x v="0"/>
    <x v="0"/>
    <x v="4"/>
    <x v="3"/>
    <x v="12"/>
    <x v="0"/>
    <x v="5"/>
    <n v="5"/>
  </r>
  <r>
    <x v="0"/>
    <x v="0"/>
    <x v="4"/>
    <x v="3"/>
    <x v="12"/>
    <x v="0"/>
    <x v="2"/>
    <n v="8"/>
  </r>
  <r>
    <x v="0"/>
    <x v="0"/>
    <x v="4"/>
    <x v="3"/>
    <x v="12"/>
    <x v="0"/>
    <x v="13"/>
    <n v="4"/>
  </r>
  <r>
    <x v="0"/>
    <x v="0"/>
    <x v="4"/>
    <x v="3"/>
    <x v="15"/>
    <x v="0"/>
    <x v="2"/>
    <n v="1"/>
  </r>
  <r>
    <x v="0"/>
    <x v="0"/>
    <x v="4"/>
    <x v="3"/>
    <x v="3"/>
    <x v="0"/>
    <x v="4"/>
    <n v="2"/>
  </r>
  <r>
    <x v="0"/>
    <x v="0"/>
    <x v="4"/>
    <x v="3"/>
    <x v="3"/>
    <x v="0"/>
    <x v="5"/>
    <n v="1"/>
  </r>
  <r>
    <x v="0"/>
    <x v="0"/>
    <x v="4"/>
    <x v="3"/>
    <x v="10"/>
    <x v="0"/>
    <x v="12"/>
    <n v="1"/>
  </r>
  <r>
    <x v="0"/>
    <x v="0"/>
    <x v="4"/>
    <x v="4"/>
    <x v="1"/>
    <x v="12"/>
    <x v="6"/>
    <n v="1"/>
  </r>
  <r>
    <x v="0"/>
    <x v="0"/>
    <x v="4"/>
    <x v="4"/>
    <x v="1"/>
    <x v="7"/>
    <x v="12"/>
    <n v="2"/>
  </r>
  <r>
    <x v="0"/>
    <x v="0"/>
    <x v="4"/>
    <x v="4"/>
    <x v="1"/>
    <x v="1"/>
    <x v="6"/>
    <n v="23"/>
  </r>
  <r>
    <x v="0"/>
    <x v="0"/>
    <x v="4"/>
    <x v="4"/>
    <x v="1"/>
    <x v="1"/>
    <x v="10"/>
    <n v="4"/>
  </r>
  <r>
    <x v="0"/>
    <x v="0"/>
    <x v="4"/>
    <x v="4"/>
    <x v="1"/>
    <x v="8"/>
    <x v="12"/>
    <n v="2"/>
  </r>
  <r>
    <x v="0"/>
    <x v="0"/>
    <x v="4"/>
    <x v="4"/>
    <x v="1"/>
    <x v="8"/>
    <x v="9"/>
    <n v="1"/>
  </r>
  <r>
    <x v="0"/>
    <x v="0"/>
    <x v="4"/>
    <x v="4"/>
    <x v="1"/>
    <x v="0"/>
    <x v="7"/>
    <n v="375"/>
  </r>
  <r>
    <x v="0"/>
    <x v="0"/>
    <x v="2"/>
    <x v="13"/>
    <x v="18"/>
    <x v="0"/>
    <x v="19"/>
    <n v="5"/>
  </r>
  <r>
    <x v="0"/>
    <x v="0"/>
    <x v="2"/>
    <x v="14"/>
    <x v="13"/>
    <x v="0"/>
    <x v="19"/>
    <n v="1"/>
  </r>
  <r>
    <x v="0"/>
    <x v="0"/>
    <x v="2"/>
    <x v="14"/>
    <x v="14"/>
    <x v="0"/>
    <x v="17"/>
    <n v="24"/>
  </r>
  <r>
    <x v="0"/>
    <x v="0"/>
    <x v="2"/>
    <x v="14"/>
    <x v="14"/>
    <x v="0"/>
    <x v="19"/>
    <n v="789"/>
  </r>
  <r>
    <x v="0"/>
    <x v="0"/>
    <x v="2"/>
    <x v="14"/>
    <x v="8"/>
    <x v="0"/>
    <x v="19"/>
    <n v="27"/>
  </r>
  <r>
    <x v="0"/>
    <x v="0"/>
    <x v="2"/>
    <x v="14"/>
    <x v="7"/>
    <x v="0"/>
    <x v="19"/>
    <n v="4"/>
  </r>
  <r>
    <x v="0"/>
    <x v="0"/>
    <x v="2"/>
    <x v="14"/>
    <x v="6"/>
    <x v="0"/>
    <x v="14"/>
    <n v="3"/>
  </r>
  <r>
    <x v="0"/>
    <x v="0"/>
    <x v="2"/>
    <x v="14"/>
    <x v="6"/>
    <x v="0"/>
    <x v="17"/>
    <n v="1"/>
  </r>
  <r>
    <x v="0"/>
    <x v="0"/>
    <x v="2"/>
    <x v="14"/>
    <x v="10"/>
    <x v="0"/>
    <x v="3"/>
    <n v="8"/>
  </r>
  <r>
    <x v="0"/>
    <x v="0"/>
    <x v="2"/>
    <x v="14"/>
    <x v="10"/>
    <x v="0"/>
    <x v="4"/>
    <n v="5"/>
  </r>
  <r>
    <x v="0"/>
    <x v="0"/>
    <x v="2"/>
    <x v="14"/>
    <x v="10"/>
    <x v="0"/>
    <x v="5"/>
    <n v="8"/>
  </r>
  <r>
    <x v="0"/>
    <x v="0"/>
    <x v="2"/>
    <x v="14"/>
    <x v="10"/>
    <x v="0"/>
    <x v="2"/>
    <n v="5"/>
  </r>
  <r>
    <x v="0"/>
    <x v="0"/>
    <x v="2"/>
    <x v="14"/>
    <x v="10"/>
    <x v="0"/>
    <x v="13"/>
    <n v="7"/>
  </r>
  <r>
    <x v="0"/>
    <x v="0"/>
    <x v="2"/>
    <x v="14"/>
    <x v="10"/>
    <x v="0"/>
    <x v="11"/>
    <n v="1"/>
  </r>
  <r>
    <x v="0"/>
    <x v="0"/>
    <x v="2"/>
    <x v="14"/>
    <x v="10"/>
    <x v="0"/>
    <x v="14"/>
    <n v="1"/>
  </r>
  <r>
    <x v="0"/>
    <x v="0"/>
    <x v="2"/>
    <x v="14"/>
    <x v="10"/>
    <x v="0"/>
    <x v="18"/>
    <n v="1"/>
  </r>
  <r>
    <x v="0"/>
    <x v="0"/>
    <x v="2"/>
    <x v="14"/>
    <x v="19"/>
    <x v="0"/>
    <x v="2"/>
    <n v="1"/>
  </r>
  <r>
    <x v="0"/>
    <x v="0"/>
    <x v="2"/>
    <x v="14"/>
    <x v="19"/>
    <x v="0"/>
    <x v="13"/>
    <n v="4"/>
  </r>
  <r>
    <x v="0"/>
    <x v="0"/>
    <x v="2"/>
    <x v="18"/>
    <x v="0"/>
    <x v="0"/>
    <x v="0"/>
    <n v="9"/>
  </r>
  <r>
    <x v="0"/>
    <x v="0"/>
    <x v="2"/>
    <x v="18"/>
    <x v="4"/>
    <x v="0"/>
    <x v="19"/>
    <n v="47"/>
  </r>
  <r>
    <x v="0"/>
    <x v="0"/>
    <x v="2"/>
    <x v="18"/>
    <x v="8"/>
    <x v="0"/>
    <x v="1"/>
    <n v="4"/>
  </r>
  <r>
    <x v="0"/>
    <x v="0"/>
    <x v="2"/>
    <x v="18"/>
    <x v="8"/>
    <x v="0"/>
    <x v="13"/>
    <n v="1"/>
  </r>
  <r>
    <x v="0"/>
    <x v="0"/>
    <x v="2"/>
    <x v="18"/>
    <x v="8"/>
    <x v="0"/>
    <x v="11"/>
    <n v="2"/>
  </r>
  <r>
    <x v="0"/>
    <x v="0"/>
    <x v="2"/>
    <x v="18"/>
    <x v="8"/>
    <x v="0"/>
    <x v="14"/>
    <n v="2"/>
  </r>
  <r>
    <x v="0"/>
    <x v="0"/>
    <x v="2"/>
    <x v="18"/>
    <x v="8"/>
    <x v="0"/>
    <x v="17"/>
    <n v="2"/>
  </r>
  <r>
    <x v="0"/>
    <x v="0"/>
    <x v="2"/>
    <x v="18"/>
    <x v="8"/>
    <x v="0"/>
    <x v="19"/>
    <n v="11"/>
  </r>
  <r>
    <x v="0"/>
    <x v="0"/>
    <x v="2"/>
    <x v="18"/>
    <x v="7"/>
    <x v="0"/>
    <x v="13"/>
    <n v="1"/>
  </r>
  <r>
    <x v="0"/>
    <x v="0"/>
    <x v="2"/>
    <x v="18"/>
    <x v="7"/>
    <x v="0"/>
    <x v="11"/>
    <n v="2"/>
  </r>
  <r>
    <x v="0"/>
    <x v="0"/>
    <x v="2"/>
    <x v="18"/>
    <x v="11"/>
    <x v="0"/>
    <x v="17"/>
    <n v="1"/>
  </r>
  <r>
    <x v="0"/>
    <x v="0"/>
    <x v="2"/>
    <x v="18"/>
    <x v="11"/>
    <x v="0"/>
    <x v="19"/>
    <n v="58"/>
  </r>
  <r>
    <x v="0"/>
    <x v="0"/>
    <x v="2"/>
    <x v="18"/>
    <x v="18"/>
    <x v="0"/>
    <x v="11"/>
    <n v="4"/>
  </r>
  <r>
    <x v="0"/>
    <x v="0"/>
    <x v="2"/>
    <x v="18"/>
    <x v="18"/>
    <x v="0"/>
    <x v="14"/>
    <n v="4"/>
  </r>
  <r>
    <x v="0"/>
    <x v="0"/>
    <x v="2"/>
    <x v="18"/>
    <x v="18"/>
    <x v="0"/>
    <x v="17"/>
    <n v="1"/>
  </r>
  <r>
    <x v="0"/>
    <x v="0"/>
    <x v="2"/>
    <x v="18"/>
    <x v="18"/>
    <x v="0"/>
    <x v="19"/>
    <n v="3"/>
  </r>
  <r>
    <x v="0"/>
    <x v="0"/>
    <x v="2"/>
    <x v="15"/>
    <x v="12"/>
    <x v="0"/>
    <x v="13"/>
    <n v="6"/>
  </r>
  <r>
    <x v="0"/>
    <x v="0"/>
    <x v="2"/>
    <x v="15"/>
    <x v="12"/>
    <x v="0"/>
    <x v="11"/>
    <n v="3"/>
  </r>
  <r>
    <x v="0"/>
    <x v="0"/>
    <x v="2"/>
    <x v="15"/>
    <x v="12"/>
    <x v="0"/>
    <x v="14"/>
    <n v="4"/>
  </r>
  <r>
    <x v="0"/>
    <x v="0"/>
    <x v="2"/>
    <x v="15"/>
    <x v="12"/>
    <x v="0"/>
    <x v="17"/>
    <n v="1"/>
  </r>
  <r>
    <x v="0"/>
    <x v="0"/>
    <x v="2"/>
    <x v="15"/>
    <x v="12"/>
    <x v="0"/>
    <x v="19"/>
    <n v="5"/>
  </r>
  <r>
    <x v="0"/>
    <x v="0"/>
    <x v="2"/>
    <x v="15"/>
    <x v="16"/>
    <x v="0"/>
    <x v="0"/>
    <n v="2"/>
  </r>
  <r>
    <x v="0"/>
    <x v="0"/>
    <x v="2"/>
    <x v="15"/>
    <x v="1"/>
    <x v="0"/>
    <x v="12"/>
    <n v="2"/>
  </r>
  <r>
    <x v="0"/>
    <x v="0"/>
    <x v="2"/>
    <x v="15"/>
    <x v="11"/>
    <x v="1"/>
    <x v="3"/>
    <n v="1"/>
  </r>
  <r>
    <x v="0"/>
    <x v="0"/>
    <x v="2"/>
    <x v="15"/>
    <x v="11"/>
    <x v="1"/>
    <x v="4"/>
    <n v="1"/>
  </r>
  <r>
    <x v="0"/>
    <x v="0"/>
    <x v="2"/>
    <x v="15"/>
    <x v="11"/>
    <x v="0"/>
    <x v="3"/>
    <n v="1"/>
  </r>
  <r>
    <x v="0"/>
    <x v="0"/>
    <x v="2"/>
    <x v="15"/>
    <x v="11"/>
    <x v="0"/>
    <x v="4"/>
    <n v="3"/>
  </r>
  <r>
    <x v="0"/>
    <x v="0"/>
    <x v="2"/>
    <x v="15"/>
    <x v="18"/>
    <x v="0"/>
    <x v="3"/>
    <n v="1"/>
  </r>
  <r>
    <x v="0"/>
    <x v="0"/>
    <x v="2"/>
    <x v="16"/>
    <x v="14"/>
    <x v="0"/>
    <x v="14"/>
    <n v="2"/>
  </r>
  <r>
    <x v="0"/>
    <x v="0"/>
    <x v="2"/>
    <x v="16"/>
    <x v="14"/>
    <x v="0"/>
    <x v="19"/>
    <n v="1"/>
  </r>
  <r>
    <x v="0"/>
    <x v="0"/>
    <x v="2"/>
    <x v="16"/>
    <x v="3"/>
    <x v="0"/>
    <x v="5"/>
    <n v="4"/>
  </r>
  <r>
    <x v="0"/>
    <x v="0"/>
    <x v="2"/>
    <x v="16"/>
    <x v="3"/>
    <x v="0"/>
    <x v="2"/>
    <n v="2"/>
  </r>
  <r>
    <x v="0"/>
    <x v="0"/>
    <x v="2"/>
    <x v="16"/>
    <x v="3"/>
    <x v="0"/>
    <x v="11"/>
    <n v="2"/>
  </r>
  <r>
    <x v="0"/>
    <x v="0"/>
    <x v="2"/>
    <x v="16"/>
    <x v="3"/>
    <x v="0"/>
    <x v="14"/>
    <n v="1"/>
  </r>
  <r>
    <x v="0"/>
    <x v="0"/>
    <x v="2"/>
    <x v="16"/>
    <x v="11"/>
    <x v="0"/>
    <x v="14"/>
    <n v="1"/>
  </r>
  <r>
    <x v="0"/>
    <x v="0"/>
    <x v="2"/>
    <x v="16"/>
    <x v="11"/>
    <x v="0"/>
    <x v="19"/>
    <n v="3"/>
  </r>
  <r>
    <x v="0"/>
    <x v="0"/>
    <x v="2"/>
    <x v="16"/>
    <x v="17"/>
    <x v="0"/>
    <x v="5"/>
    <n v="1"/>
  </r>
  <r>
    <x v="0"/>
    <x v="0"/>
    <x v="2"/>
    <x v="16"/>
    <x v="17"/>
    <x v="0"/>
    <x v="2"/>
    <n v="4"/>
  </r>
  <r>
    <x v="0"/>
    <x v="0"/>
    <x v="2"/>
    <x v="16"/>
    <x v="17"/>
    <x v="0"/>
    <x v="0"/>
    <n v="4"/>
  </r>
  <r>
    <x v="0"/>
    <x v="0"/>
    <x v="2"/>
    <x v="17"/>
    <x v="14"/>
    <x v="0"/>
    <x v="0"/>
    <n v="8"/>
  </r>
  <r>
    <x v="0"/>
    <x v="0"/>
    <x v="2"/>
    <x v="17"/>
    <x v="14"/>
    <x v="0"/>
    <x v="18"/>
    <n v="7"/>
  </r>
  <r>
    <x v="0"/>
    <x v="0"/>
    <x v="2"/>
    <x v="17"/>
    <x v="8"/>
    <x v="0"/>
    <x v="18"/>
    <n v="1"/>
  </r>
  <r>
    <x v="0"/>
    <x v="0"/>
    <x v="2"/>
    <x v="17"/>
    <x v="3"/>
    <x v="0"/>
    <x v="0"/>
    <n v="2"/>
  </r>
  <r>
    <x v="0"/>
    <x v="0"/>
    <x v="2"/>
    <x v="17"/>
    <x v="11"/>
    <x v="1"/>
    <x v="3"/>
    <n v="2"/>
  </r>
  <r>
    <x v="0"/>
    <x v="0"/>
    <x v="2"/>
    <x v="17"/>
    <x v="11"/>
    <x v="1"/>
    <x v="4"/>
    <n v="1"/>
  </r>
  <r>
    <x v="0"/>
    <x v="0"/>
    <x v="2"/>
    <x v="17"/>
    <x v="11"/>
    <x v="0"/>
    <x v="9"/>
    <n v="1"/>
  </r>
  <r>
    <x v="0"/>
    <x v="0"/>
    <x v="2"/>
    <x v="17"/>
    <x v="11"/>
    <x v="0"/>
    <x v="3"/>
    <n v="3"/>
  </r>
  <r>
    <x v="0"/>
    <x v="0"/>
    <x v="2"/>
    <x v="17"/>
    <x v="11"/>
    <x v="0"/>
    <x v="4"/>
    <n v="12"/>
  </r>
  <r>
    <x v="0"/>
    <x v="0"/>
    <x v="2"/>
    <x v="17"/>
    <x v="11"/>
    <x v="0"/>
    <x v="5"/>
    <n v="10"/>
  </r>
  <r>
    <x v="0"/>
    <x v="0"/>
    <x v="2"/>
    <x v="17"/>
    <x v="11"/>
    <x v="0"/>
    <x v="2"/>
    <n v="8"/>
  </r>
  <r>
    <x v="0"/>
    <x v="0"/>
    <x v="2"/>
    <x v="17"/>
    <x v="11"/>
    <x v="0"/>
    <x v="0"/>
    <n v="4"/>
  </r>
  <r>
    <x v="0"/>
    <x v="0"/>
    <x v="2"/>
    <x v="17"/>
    <x v="11"/>
    <x v="0"/>
    <x v="18"/>
    <n v="2"/>
  </r>
  <r>
    <x v="0"/>
    <x v="0"/>
    <x v="2"/>
    <x v="19"/>
    <x v="2"/>
    <x v="0"/>
    <x v="19"/>
    <n v="12"/>
  </r>
  <r>
    <x v="0"/>
    <x v="0"/>
    <x v="2"/>
    <x v="19"/>
    <x v="4"/>
    <x v="0"/>
    <x v="14"/>
    <n v="1"/>
  </r>
  <r>
    <x v="0"/>
    <x v="0"/>
    <x v="2"/>
    <x v="19"/>
    <x v="16"/>
    <x v="0"/>
    <x v="11"/>
    <n v="1"/>
  </r>
  <r>
    <x v="0"/>
    <x v="0"/>
    <x v="2"/>
    <x v="19"/>
    <x v="5"/>
    <x v="0"/>
    <x v="9"/>
    <n v="1"/>
  </r>
  <r>
    <x v="0"/>
    <x v="0"/>
    <x v="2"/>
    <x v="19"/>
    <x v="5"/>
    <x v="0"/>
    <x v="4"/>
    <n v="7"/>
  </r>
  <r>
    <x v="0"/>
    <x v="0"/>
    <x v="2"/>
    <x v="19"/>
    <x v="13"/>
    <x v="0"/>
    <x v="11"/>
    <n v="3"/>
  </r>
  <r>
    <x v="0"/>
    <x v="0"/>
    <x v="2"/>
    <x v="19"/>
    <x v="13"/>
    <x v="0"/>
    <x v="14"/>
    <n v="1"/>
  </r>
  <r>
    <x v="0"/>
    <x v="0"/>
    <x v="2"/>
    <x v="19"/>
    <x v="13"/>
    <x v="0"/>
    <x v="17"/>
    <n v="1"/>
  </r>
  <r>
    <x v="0"/>
    <x v="0"/>
    <x v="2"/>
    <x v="19"/>
    <x v="13"/>
    <x v="0"/>
    <x v="19"/>
    <n v="10"/>
  </r>
  <r>
    <x v="0"/>
    <x v="0"/>
    <x v="2"/>
    <x v="19"/>
    <x v="8"/>
    <x v="0"/>
    <x v="11"/>
    <n v="1"/>
  </r>
  <r>
    <x v="0"/>
    <x v="0"/>
    <x v="4"/>
    <x v="14"/>
    <x v="16"/>
    <x v="3"/>
    <x v="10"/>
    <n v="22"/>
  </r>
  <r>
    <x v="0"/>
    <x v="0"/>
    <x v="4"/>
    <x v="14"/>
    <x v="16"/>
    <x v="3"/>
    <x v="1"/>
    <n v="17"/>
  </r>
  <r>
    <x v="0"/>
    <x v="0"/>
    <x v="4"/>
    <x v="14"/>
    <x v="16"/>
    <x v="4"/>
    <x v="6"/>
    <n v="40"/>
  </r>
  <r>
    <x v="0"/>
    <x v="0"/>
    <x v="4"/>
    <x v="14"/>
    <x v="16"/>
    <x v="4"/>
    <x v="10"/>
    <n v="35"/>
  </r>
  <r>
    <x v="0"/>
    <x v="0"/>
    <x v="4"/>
    <x v="14"/>
    <x v="16"/>
    <x v="4"/>
    <x v="1"/>
    <n v="19"/>
  </r>
  <r>
    <x v="0"/>
    <x v="0"/>
    <x v="4"/>
    <x v="14"/>
    <x v="16"/>
    <x v="5"/>
    <x v="7"/>
    <n v="67"/>
  </r>
  <r>
    <x v="0"/>
    <x v="0"/>
    <x v="4"/>
    <x v="14"/>
    <x v="16"/>
    <x v="5"/>
    <x v="6"/>
    <n v="51"/>
  </r>
  <r>
    <x v="0"/>
    <x v="0"/>
    <x v="4"/>
    <x v="14"/>
    <x v="16"/>
    <x v="5"/>
    <x v="10"/>
    <n v="36"/>
  </r>
  <r>
    <x v="0"/>
    <x v="0"/>
    <x v="4"/>
    <x v="14"/>
    <x v="16"/>
    <x v="5"/>
    <x v="1"/>
    <n v="23"/>
  </r>
  <r>
    <x v="0"/>
    <x v="0"/>
    <x v="4"/>
    <x v="14"/>
    <x v="16"/>
    <x v="11"/>
    <x v="7"/>
    <n v="88"/>
  </r>
  <r>
    <x v="0"/>
    <x v="0"/>
    <x v="4"/>
    <x v="14"/>
    <x v="16"/>
    <x v="11"/>
    <x v="6"/>
    <n v="59"/>
  </r>
  <r>
    <x v="0"/>
    <x v="0"/>
    <x v="4"/>
    <x v="14"/>
    <x v="16"/>
    <x v="11"/>
    <x v="10"/>
    <n v="32"/>
  </r>
  <r>
    <x v="0"/>
    <x v="0"/>
    <x v="4"/>
    <x v="14"/>
    <x v="16"/>
    <x v="6"/>
    <x v="7"/>
    <n v="64"/>
  </r>
  <r>
    <x v="0"/>
    <x v="0"/>
    <x v="4"/>
    <x v="14"/>
    <x v="16"/>
    <x v="6"/>
    <x v="6"/>
    <n v="57"/>
  </r>
  <r>
    <x v="0"/>
    <x v="0"/>
    <x v="4"/>
    <x v="14"/>
    <x v="16"/>
    <x v="6"/>
    <x v="10"/>
    <n v="40"/>
  </r>
  <r>
    <x v="0"/>
    <x v="0"/>
    <x v="4"/>
    <x v="14"/>
    <x v="16"/>
    <x v="9"/>
    <x v="7"/>
    <n v="104"/>
  </r>
  <r>
    <x v="0"/>
    <x v="0"/>
    <x v="4"/>
    <x v="14"/>
    <x v="16"/>
    <x v="9"/>
    <x v="6"/>
    <n v="57"/>
  </r>
  <r>
    <x v="0"/>
    <x v="0"/>
    <x v="4"/>
    <x v="14"/>
    <x v="16"/>
    <x v="12"/>
    <x v="8"/>
    <n v="217"/>
  </r>
  <r>
    <x v="0"/>
    <x v="0"/>
    <x v="4"/>
    <x v="14"/>
    <x v="16"/>
    <x v="12"/>
    <x v="7"/>
    <n v="86"/>
  </r>
  <r>
    <x v="0"/>
    <x v="0"/>
    <x v="4"/>
    <x v="14"/>
    <x v="16"/>
    <x v="12"/>
    <x v="6"/>
    <n v="62"/>
  </r>
  <r>
    <x v="0"/>
    <x v="0"/>
    <x v="4"/>
    <x v="14"/>
    <x v="16"/>
    <x v="12"/>
    <x v="14"/>
    <n v="1"/>
  </r>
  <r>
    <x v="0"/>
    <x v="0"/>
    <x v="4"/>
    <x v="14"/>
    <x v="16"/>
    <x v="7"/>
    <x v="12"/>
    <n v="8"/>
  </r>
  <r>
    <x v="0"/>
    <x v="0"/>
    <x v="4"/>
    <x v="14"/>
    <x v="16"/>
    <x v="7"/>
    <x v="9"/>
    <n v="3"/>
  </r>
  <r>
    <x v="0"/>
    <x v="0"/>
    <x v="4"/>
    <x v="14"/>
    <x v="16"/>
    <x v="7"/>
    <x v="3"/>
    <n v="3"/>
  </r>
  <r>
    <x v="0"/>
    <x v="0"/>
    <x v="4"/>
    <x v="14"/>
    <x v="16"/>
    <x v="7"/>
    <x v="0"/>
    <n v="1"/>
  </r>
  <r>
    <x v="0"/>
    <x v="0"/>
    <x v="4"/>
    <x v="14"/>
    <x v="16"/>
    <x v="1"/>
    <x v="8"/>
    <n v="3"/>
  </r>
  <r>
    <x v="0"/>
    <x v="0"/>
    <x v="4"/>
    <x v="14"/>
    <x v="16"/>
    <x v="1"/>
    <x v="7"/>
    <n v="97"/>
  </r>
  <r>
    <x v="0"/>
    <x v="0"/>
    <x v="4"/>
    <x v="14"/>
    <x v="16"/>
    <x v="1"/>
    <x v="13"/>
    <n v="1"/>
  </r>
  <r>
    <x v="0"/>
    <x v="0"/>
    <x v="4"/>
    <x v="14"/>
    <x v="16"/>
    <x v="8"/>
    <x v="12"/>
    <n v="6"/>
  </r>
  <r>
    <x v="0"/>
    <x v="0"/>
    <x v="4"/>
    <x v="14"/>
    <x v="16"/>
    <x v="8"/>
    <x v="9"/>
    <n v="3"/>
  </r>
  <r>
    <x v="0"/>
    <x v="0"/>
    <x v="4"/>
    <x v="14"/>
    <x v="16"/>
    <x v="0"/>
    <x v="7"/>
    <n v="9"/>
  </r>
  <r>
    <x v="0"/>
    <x v="0"/>
    <x v="4"/>
    <x v="14"/>
    <x v="16"/>
    <x v="0"/>
    <x v="13"/>
    <n v="1"/>
  </r>
  <r>
    <x v="0"/>
    <x v="0"/>
    <x v="4"/>
    <x v="14"/>
    <x v="16"/>
    <x v="0"/>
    <x v="11"/>
    <n v="1"/>
  </r>
  <r>
    <x v="0"/>
    <x v="0"/>
    <x v="4"/>
    <x v="14"/>
    <x v="16"/>
    <x v="0"/>
    <x v="14"/>
    <n v="1"/>
  </r>
  <r>
    <x v="0"/>
    <x v="0"/>
    <x v="4"/>
    <x v="14"/>
    <x v="5"/>
    <x v="9"/>
    <x v="13"/>
    <n v="1"/>
  </r>
  <r>
    <x v="0"/>
    <x v="0"/>
    <x v="4"/>
    <x v="14"/>
    <x v="5"/>
    <x v="9"/>
    <x v="11"/>
    <n v="1"/>
  </r>
  <r>
    <x v="0"/>
    <x v="0"/>
    <x v="4"/>
    <x v="14"/>
    <x v="5"/>
    <x v="12"/>
    <x v="4"/>
    <n v="1"/>
  </r>
  <r>
    <x v="0"/>
    <x v="0"/>
    <x v="4"/>
    <x v="14"/>
    <x v="5"/>
    <x v="12"/>
    <x v="5"/>
    <n v="1"/>
  </r>
  <r>
    <x v="0"/>
    <x v="0"/>
    <x v="4"/>
    <x v="14"/>
    <x v="5"/>
    <x v="1"/>
    <x v="2"/>
    <n v="1"/>
  </r>
  <r>
    <x v="0"/>
    <x v="0"/>
    <x v="4"/>
    <x v="14"/>
    <x v="5"/>
    <x v="1"/>
    <x v="11"/>
    <n v="1"/>
  </r>
  <r>
    <x v="0"/>
    <x v="0"/>
    <x v="4"/>
    <x v="14"/>
    <x v="5"/>
    <x v="1"/>
    <x v="14"/>
    <n v="1"/>
  </r>
  <r>
    <x v="0"/>
    <x v="0"/>
    <x v="4"/>
    <x v="14"/>
    <x v="5"/>
    <x v="0"/>
    <x v="3"/>
    <n v="9"/>
  </r>
  <r>
    <x v="0"/>
    <x v="0"/>
    <x v="4"/>
    <x v="14"/>
    <x v="5"/>
    <x v="0"/>
    <x v="4"/>
    <n v="11"/>
  </r>
  <r>
    <x v="0"/>
    <x v="0"/>
    <x v="4"/>
    <x v="14"/>
    <x v="5"/>
    <x v="0"/>
    <x v="5"/>
    <n v="10"/>
  </r>
  <r>
    <x v="0"/>
    <x v="0"/>
    <x v="4"/>
    <x v="14"/>
    <x v="5"/>
    <x v="0"/>
    <x v="2"/>
    <n v="14"/>
  </r>
  <r>
    <x v="0"/>
    <x v="0"/>
    <x v="4"/>
    <x v="14"/>
    <x v="5"/>
    <x v="0"/>
    <x v="13"/>
    <n v="9"/>
  </r>
  <r>
    <x v="0"/>
    <x v="0"/>
    <x v="4"/>
    <x v="14"/>
    <x v="5"/>
    <x v="0"/>
    <x v="11"/>
    <n v="3"/>
  </r>
  <r>
    <x v="0"/>
    <x v="0"/>
    <x v="4"/>
    <x v="18"/>
    <x v="0"/>
    <x v="0"/>
    <x v="2"/>
    <n v="1"/>
  </r>
  <r>
    <x v="0"/>
    <x v="0"/>
    <x v="4"/>
    <x v="18"/>
    <x v="0"/>
    <x v="0"/>
    <x v="13"/>
    <n v="1"/>
  </r>
  <r>
    <x v="0"/>
    <x v="0"/>
    <x v="4"/>
    <x v="18"/>
    <x v="0"/>
    <x v="0"/>
    <x v="11"/>
    <n v="1"/>
  </r>
  <r>
    <x v="0"/>
    <x v="0"/>
    <x v="4"/>
    <x v="18"/>
    <x v="0"/>
    <x v="0"/>
    <x v="14"/>
    <n v="2"/>
  </r>
  <r>
    <x v="0"/>
    <x v="0"/>
    <x v="4"/>
    <x v="18"/>
    <x v="12"/>
    <x v="0"/>
    <x v="0"/>
    <n v="2"/>
  </r>
  <r>
    <x v="0"/>
    <x v="0"/>
    <x v="4"/>
    <x v="18"/>
    <x v="14"/>
    <x v="0"/>
    <x v="1"/>
    <n v="22"/>
  </r>
  <r>
    <x v="0"/>
    <x v="0"/>
    <x v="4"/>
    <x v="18"/>
    <x v="14"/>
    <x v="0"/>
    <x v="12"/>
    <n v="151"/>
  </r>
  <r>
    <x v="0"/>
    <x v="0"/>
    <x v="4"/>
    <x v="18"/>
    <x v="14"/>
    <x v="0"/>
    <x v="9"/>
    <n v="180"/>
  </r>
  <r>
    <x v="0"/>
    <x v="0"/>
    <x v="4"/>
    <x v="15"/>
    <x v="2"/>
    <x v="0"/>
    <x v="4"/>
    <n v="4"/>
  </r>
  <r>
    <x v="0"/>
    <x v="0"/>
    <x v="4"/>
    <x v="15"/>
    <x v="2"/>
    <x v="0"/>
    <x v="5"/>
    <n v="8"/>
  </r>
  <r>
    <x v="0"/>
    <x v="0"/>
    <x v="4"/>
    <x v="15"/>
    <x v="2"/>
    <x v="0"/>
    <x v="2"/>
    <n v="2"/>
  </r>
  <r>
    <x v="0"/>
    <x v="0"/>
    <x v="4"/>
    <x v="15"/>
    <x v="16"/>
    <x v="0"/>
    <x v="0"/>
    <n v="12"/>
  </r>
  <r>
    <x v="0"/>
    <x v="0"/>
    <x v="4"/>
    <x v="15"/>
    <x v="16"/>
    <x v="0"/>
    <x v="18"/>
    <n v="4"/>
  </r>
  <r>
    <x v="0"/>
    <x v="0"/>
    <x v="4"/>
    <x v="16"/>
    <x v="19"/>
    <x v="0"/>
    <x v="13"/>
    <n v="1"/>
  </r>
  <r>
    <x v="0"/>
    <x v="0"/>
    <x v="4"/>
    <x v="16"/>
    <x v="19"/>
    <x v="0"/>
    <x v="17"/>
    <n v="1"/>
  </r>
  <r>
    <x v="0"/>
    <x v="0"/>
    <x v="4"/>
    <x v="17"/>
    <x v="12"/>
    <x v="6"/>
    <x v="19"/>
    <n v="2"/>
  </r>
  <r>
    <x v="0"/>
    <x v="0"/>
    <x v="4"/>
    <x v="17"/>
    <x v="12"/>
    <x v="9"/>
    <x v="17"/>
    <n v="1"/>
  </r>
  <r>
    <x v="0"/>
    <x v="0"/>
    <x v="4"/>
    <x v="17"/>
    <x v="12"/>
    <x v="9"/>
    <x v="19"/>
    <n v="1"/>
  </r>
  <r>
    <x v="0"/>
    <x v="0"/>
    <x v="4"/>
    <x v="17"/>
    <x v="12"/>
    <x v="12"/>
    <x v="19"/>
    <n v="1"/>
  </r>
  <r>
    <x v="0"/>
    <x v="0"/>
    <x v="4"/>
    <x v="17"/>
    <x v="12"/>
    <x v="7"/>
    <x v="0"/>
    <n v="1"/>
  </r>
  <r>
    <x v="0"/>
    <x v="0"/>
    <x v="4"/>
    <x v="17"/>
    <x v="12"/>
    <x v="7"/>
    <x v="18"/>
    <n v="1"/>
  </r>
  <r>
    <x v="0"/>
    <x v="0"/>
    <x v="4"/>
    <x v="17"/>
    <x v="12"/>
    <x v="1"/>
    <x v="11"/>
    <n v="1"/>
  </r>
  <r>
    <x v="0"/>
    <x v="0"/>
    <x v="4"/>
    <x v="17"/>
    <x v="12"/>
    <x v="1"/>
    <x v="17"/>
    <n v="2"/>
  </r>
  <r>
    <x v="0"/>
    <x v="0"/>
    <x v="4"/>
    <x v="17"/>
    <x v="12"/>
    <x v="8"/>
    <x v="0"/>
    <n v="1"/>
  </r>
  <r>
    <x v="0"/>
    <x v="0"/>
    <x v="4"/>
    <x v="17"/>
    <x v="12"/>
    <x v="0"/>
    <x v="13"/>
    <n v="1"/>
  </r>
  <r>
    <x v="0"/>
    <x v="0"/>
    <x v="4"/>
    <x v="17"/>
    <x v="12"/>
    <x v="0"/>
    <x v="11"/>
    <n v="4"/>
  </r>
  <r>
    <x v="0"/>
    <x v="0"/>
    <x v="4"/>
    <x v="17"/>
    <x v="12"/>
    <x v="0"/>
    <x v="14"/>
    <n v="1"/>
  </r>
  <r>
    <x v="0"/>
    <x v="0"/>
    <x v="4"/>
    <x v="17"/>
    <x v="2"/>
    <x v="6"/>
    <x v="11"/>
    <n v="1"/>
  </r>
  <r>
    <x v="0"/>
    <x v="0"/>
    <x v="4"/>
    <x v="17"/>
    <x v="2"/>
    <x v="9"/>
    <x v="13"/>
    <n v="3"/>
  </r>
  <r>
    <x v="0"/>
    <x v="0"/>
    <x v="4"/>
    <x v="17"/>
    <x v="2"/>
    <x v="12"/>
    <x v="13"/>
    <n v="1"/>
  </r>
  <r>
    <x v="0"/>
    <x v="0"/>
    <x v="4"/>
    <x v="17"/>
    <x v="2"/>
    <x v="7"/>
    <x v="19"/>
    <n v="5"/>
  </r>
  <r>
    <x v="0"/>
    <x v="0"/>
    <x v="4"/>
    <x v="17"/>
    <x v="2"/>
    <x v="8"/>
    <x v="19"/>
    <n v="1"/>
  </r>
  <r>
    <x v="0"/>
    <x v="0"/>
    <x v="4"/>
    <x v="17"/>
    <x v="16"/>
    <x v="0"/>
    <x v="1"/>
    <n v="3"/>
  </r>
  <r>
    <x v="0"/>
    <x v="0"/>
    <x v="4"/>
    <x v="4"/>
    <x v="1"/>
    <x v="0"/>
    <x v="6"/>
    <n v="411"/>
  </r>
  <r>
    <x v="0"/>
    <x v="0"/>
    <x v="4"/>
    <x v="4"/>
    <x v="8"/>
    <x v="7"/>
    <x v="6"/>
    <n v="1"/>
  </r>
  <r>
    <x v="0"/>
    <x v="0"/>
    <x v="4"/>
    <x v="4"/>
    <x v="8"/>
    <x v="8"/>
    <x v="10"/>
    <n v="3"/>
  </r>
  <r>
    <x v="0"/>
    <x v="0"/>
    <x v="4"/>
    <x v="4"/>
    <x v="8"/>
    <x v="0"/>
    <x v="3"/>
    <n v="1"/>
  </r>
  <r>
    <x v="0"/>
    <x v="0"/>
    <x v="4"/>
    <x v="4"/>
    <x v="7"/>
    <x v="0"/>
    <x v="12"/>
    <n v="3"/>
  </r>
  <r>
    <x v="0"/>
    <x v="0"/>
    <x v="4"/>
    <x v="4"/>
    <x v="7"/>
    <x v="0"/>
    <x v="9"/>
    <n v="1"/>
  </r>
  <r>
    <x v="0"/>
    <x v="0"/>
    <x v="4"/>
    <x v="4"/>
    <x v="9"/>
    <x v="0"/>
    <x v="12"/>
    <n v="8"/>
  </r>
  <r>
    <x v="0"/>
    <x v="0"/>
    <x v="4"/>
    <x v="5"/>
    <x v="5"/>
    <x v="7"/>
    <x v="10"/>
    <n v="2"/>
  </r>
  <r>
    <x v="0"/>
    <x v="0"/>
    <x v="4"/>
    <x v="5"/>
    <x v="5"/>
    <x v="7"/>
    <x v="1"/>
    <n v="2"/>
  </r>
  <r>
    <x v="0"/>
    <x v="0"/>
    <x v="4"/>
    <x v="5"/>
    <x v="5"/>
    <x v="7"/>
    <x v="12"/>
    <n v="2"/>
  </r>
  <r>
    <x v="0"/>
    <x v="0"/>
    <x v="4"/>
    <x v="5"/>
    <x v="5"/>
    <x v="8"/>
    <x v="10"/>
    <n v="2"/>
  </r>
  <r>
    <x v="0"/>
    <x v="0"/>
    <x v="4"/>
    <x v="5"/>
    <x v="5"/>
    <x v="8"/>
    <x v="1"/>
    <n v="4"/>
  </r>
  <r>
    <x v="0"/>
    <x v="0"/>
    <x v="4"/>
    <x v="5"/>
    <x v="5"/>
    <x v="8"/>
    <x v="12"/>
    <n v="6"/>
  </r>
  <r>
    <x v="0"/>
    <x v="0"/>
    <x v="4"/>
    <x v="5"/>
    <x v="6"/>
    <x v="9"/>
    <x v="0"/>
    <n v="1"/>
  </r>
  <r>
    <x v="0"/>
    <x v="0"/>
    <x v="4"/>
    <x v="5"/>
    <x v="18"/>
    <x v="12"/>
    <x v="4"/>
    <n v="1"/>
  </r>
  <r>
    <x v="0"/>
    <x v="0"/>
    <x v="4"/>
    <x v="6"/>
    <x v="16"/>
    <x v="8"/>
    <x v="1"/>
    <n v="1"/>
  </r>
  <r>
    <x v="0"/>
    <x v="0"/>
    <x v="4"/>
    <x v="6"/>
    <x v="14"/>
    <x v="0"/>
    <x v="0"/>
    <n v="2"/>
  </r>
  <r>
    <x v="0"/>
    <x v="0"/>
    <x v="4"/>
    <x v="6"/>
    <x v="14"/>
    <x v="0"/>
    <x v="18"/>
    <n v="1"/>
  </r>
  <r>
    <x v="0"/>
    <x v="0"/>
    <x v="4"/>
    <x v="6"/>
    <x v="3"/>
    <x v="12"/>
    <x v="12"/>
    <n v="1"/>
  </r>
  <r>
    <x v="0"/>
    <x v="0"/>
    <x v="4"/>
    <x v="9"/>
    <x v="16"/>
    <x v="0"/>
    <x v="2"/>
    <n v="2"/>
  </r>
  <r>
    <x v="0"/>
    <x v="0"/>
    <x v="4"/>
    <x v="9"/>
    <x v="10"/>
    <x v="2"/>
    <x v="9"/>
    <n v="1"/>
  </r>
  <r>
    <x v="0"/>
    <x v="0"/>
    <x v="4"/>
    <x v="9"/>
    <x v="10"/>
    <x v="10"/>
    <x v="9"/>
    <n v="2"/>
  </r>
  <r>
    <x v="0"/>
    <x v="0"/>
    <x v="4"/>
    <x v="9"/>
    <x v="10"/>
    <x v="10"/>
    <x v="3"/>
    <n v="1"/>
  </r>
  <r>
    <x v="0"/>
    <x v="0"/>
    <x v="4"/>
    <x v="9"/>
    <x v="10"/>
    <x v="3"/>
    <x v="9"/>
    <n v="5"/>
  </r>
  <r>
    <x v="0"/>
    <x v="0"/>
    <x v="4"/>
    <x v="9"/>
    <x v="10"/>
    <x v="7"/>
    <x v="5"/>
    <n v="1"/>
  </r>
  <r>
    <x v="0"/>
    <x v="0"/>
    <x v="4"/>
    <x v="7"/>
    <x v="0"/>
    <x v="4"/>
    <x v="19"/>
    <n v="1"/>
  </r>
  <r>
    <x v="0"/>
    <x v="0"/>
    <x v="4"/>
    <x v="7"/>
    <x v="0"/>
    <x v="5"/>
    <x v="17"/>
    <n v="2"/>
  </r>
  <r>
    <x v="0"/>
    <x v="0"/>
    <x v="4"/>
    <x v="7"/>
    <x v="0"/>
    <x v="11"/>
    <x v="17"/>
    <n v="1"/>
  </r>
  <r>
    <x v="0"/>
    <x v="0"/>
    <x v="4"/>
    <x v="7"/>
    <x v="0"/>
    <x v="9"/>
    <x v="13"/>
    <n v="1"/>
  </r>
  <r>
    <x v="0"/>
    <x v="0"/>
    <x v="4"/>
    <x v="7"/>
    <x v="0"/>
    <x v="12"/>
    <x v="11"/>
    <n v="2"/>
  </r>
  <r>
    <x v="0"/>
    <x v="0"/>
    <x v="4"/>
    <x v="7"/>
    <x v="0"/>
    <x v="12"/>
    <x v="17"/>
    <n v="1"/>
  </r>
  <r>
    <x v="0"/>
    <x v="0"/>
    <x v="4"/>
    <x v="7"/>
    <x v="0"/>
    <x v="7"/>
    <x v="0"/>
    <n v="1"/>
  </r>
  <r>
    <x v="0"/>
    <x v="0"/>
    <x v="4"/>
    <x v="7"/>
    <x v="0"/>
    <x v="7"/>
    <x v="18"/>
    <n v="2"/>
  </r>
  <r>
    <x v="0"/>
    <x v="0"/>
    <x v="4"/>
    <x v="7"/>
    <x v="12"/>
    <x v="0"/>
    <x v="10"/>
    <n v="4"/>
  </r>
  <r>
    <x v="0"/>
    <x v="0"/>
    <x v="4"/>
    <x v="7"/>
    <x v="12"/>
    <x v="0"/>
    <x v="1"/>
    <n v="47"/>
  </r>
  <r>
    <x v="0"/>
    <x v="0"/>
    <x v="4"/>
    <x v="7"/>
    <x v="12"/>
    <x v="0"/>
    <x v="12"/>
    <n v="70"/>
  </r>
  <r>
    <x v="0"/>
    <x v="0"/>
    <x v="4"/>
    <x v="7"/>
    <x v="16"/>
    <x v="0"/>
    <x v="5"/>
    <n v="1"/>
  </r>
  <r>
    <x v="0"/>
    <x v="0"/>
    <x v="4"/>
    <x v="7"/>
    <x v="5"/>
    <x v="0"/>
    <x v="3"/>
    <n v="1"/>
  </r>
  <r>
    <x v="0"/>
    <x v="0"/>
    <x v="4"/>
    <x v="7"/>
    <x v="5"/>
    <x v="0"/>
    <x v="0"/>
    <n v="1"/>
  </r>
  <r>
    <x v="0"/>
    <x v="0"/>
    <x v="4"/>
    <x v="7"/>
    <x v="6"/>
    <x v="12"/>
    <x v="6"/>
    <n v="2"/>
  </r>
  <r>
    <x v="0"/>
    <x v="0"/>
    <x v="4"/>
    <x v="7"/>
    <x v="6"/>
    <x v="7"/>
    <x v="12"/>
    <n v="1"/>
  </r>
  <r>
    <x v="0"/>
    <x v="0"/>
    <x v="4"/>
    <x v="7"/>
    <x v="6"/>
    <x v="1"/>
    <x v="6"/>
    <n v="3"/>
  </r>
  <r>
    <x v="0"/>
    <x v="0"/>
    <x v="4"/>
    <x v="8"/>
    <x v="16"/>
    <x v="0"/>
    <x v="5"/>
    <n v="1"/>
  </r>
  <r>
    <x v="0"/>
    <x v="0"/>
    <x v="4"/>
    <x v="8"/>
    <x v="14"/>
    <x v="12"/>
    <x v="1"/>
    <n v="1"/>
  </r>
  <r>
    <x v="0"/>
    <x v="0"/>
    <x v="4"/>
    <x v="8"/>
    <x v="14"/>
    <x v="7"/>
    <x v="8"/>
    <n v="1"/>
  </r>
  <r>
    <x v="0"/>
    <x v="0"/>
    <x v="4"/>
    <x v="8"/>
    <x v="14"/>
    <x v="0"/>
    <x v="10"/>
    <n v="6"/>
  </r>
  <r>
    <x v="0"/>
    <x v="0"/>
    <x v="4"/>
    <x v="8"/>
    <x v="14"/>
    <x v="0"/>
    <x v="1"/>
    <n v="4"/>
  </r>
  <r>
    <x v="0"/>
    <x v="0"/>
    <x v="4"/>
    <x v="8"/>
    <x v="10"/>
    <x v="8"/>
    <x v="12"/>
    <n v="1"/>
  </r>
  <r>
    <x v="0"/>
    <x v="0"/>
    <x v="4"/>
    <x v="11"/>
    <x v="14"/>
    <x v="7"/>
    <x v="13"/>
    <n v="1"/>
  </r>
  <r>
    <x v="0"/>
    <x v="0"/>
    <x v="4"/>
    <x v="11"/>
    <x v="8"/>
    <x v="12"/>
    <x v="6"/>
    <n v="4"/>
  </r>
  <r>
    <x v="0"/>
    <x v="0"/>
    <x v="4"/>
    <x v="11"/>
    <x v="8"/>
    <x v="1"/>
    <x v="6"/>
    <n v="1"/>
  </r>
  <r>
    <x v="0"/>
    <x v="0"/>
    <x v="4"/>
    <x v="11"/>
    <x v="11"/>
    <x v="0"/>
    <x v="6"/>
    <n v="1"/>
  </r>
  <r>
    <x v="0"/>
    <x v="0"/>
    <x v="4"/>
    <x v="11"/>
    <x v="11"/>
    <x v="0"/>
    <x v="10"/>
    <n v="2"/>
  </r>
  <r>
    <x v="0"/>
    <x v="0"/>
    <x v="4"/>
    <x v="11"/>
    <x v="11"/>
    <x v="0"/>
    <x v="1"/>
    <n v="2"/>
  </r>
  <r>
    <x v="0"/>
    <x v="0"/>
    <x v="4"/>
    <x v="11"/>
    <x v="18"/>
    <x v="0"/>
    <x v="10"/>
    <n v="2"/>
  </r>
  <r>
    <x v="0"/>
    <x v="0"/>
    <x v="4"/>
    <x v="11"/>
    <x v="18"/>
    <x v="0"/>
    <x v="1"/>
    <n v="2"/>
  </r>
  <r>
    <x v="0"/>
    <x v="0"/>
    <x v="4"/>
    <x v="12"/>
    <x v="12"/>
    <x v="11"/>
    <x v="10"/>
    <n v="1"/>
  </r>
  <r>
    <x v="0"/>
    <x v="0"/>
    <x v="4"/>
    <x v="12"/>
    <x v="12"/>
    <x v="6"/>
    <x v="10"/>
    <n v="2"/>
  </r>
  <r>
    <x v="0"/>
    <x v="0"/>
    <x v="4"/>
    <x v="12"/>
    <x v="12"/>
    <x v="6"/>
    <x v="12"/>
    <n v="1"/>
  </r>
  <r>
    <x v="0"/>
    <x v="0"/>
    <x v="4"/>
    <x v="12"/>
    <x v="12"/>
    <x v="9"/>
    <x v="6"/>
    <n v="2"/>
  </r>
  <r>
    <x v="0"/>
    <x v="0"/>
    <x v="4"/>
    <x v="12"/>
    <x v="12"/>
    <x v="9"/>
    <x v="10"/>
    <n v="1"/>
  </r>
  <r>
    <x v="0"/>
    <x v="0"/>
    <x v="4"/>
    <x v="12"/>
    <x v="12"/>
    <x v="9"/>
    <x v="1"/>
    <n v="1"/>
  </r>
  <r>
    <x v="0"/>
    <x v="0"/>
    <x v="4"/>
    <x v="12"/>
    <x v="12"/>
    <x v="12"/>
    <x v="6"/>
    <n v="1"/>
  </r>
  <r>
    <x v="0"/>
    <x v="0"/>
    <x v="4"/>
    <x v="12"/>
    <x v="12"/>
    <x v="12"/>
    <x v="10"/>
    <n v="3"/>
  </r>
  <r>
    <x v="0"/>
    <x v="0"/>
    <x v="4"/>
    <x v="12"/>
    <x v="12"/>
    <x v="12"/>
    <x v="1"/>
    <n v="3"/>
  </r>
  <r>
    <x v="0"/>
    <x v="0"/>
    <x v="4"/>
    <x v="12"/>
    <x v="12"/>
    <x v="7"/>
    <x v="4"/>
    <n v="1"/>
  </r>
  <r>
    <x v="0"/>
    <x v="0"/>
    <x v="4"/>
    <x v="12"/>
    <x v="12"/>
    <x v="1"/>
    <x v="7"/>
    <n v="6"/>
  </r>
  <r>
    <x v="0"/>
    <x v="0"/>
    <x v="4"/>
    <x v="12"/>
    <x v="12"/>
    <x v="1"/>
    <x v="6"/>
    <n v="10"/>
  </r>
  <r>
    <x v="0"/>
    <x v="0"/>
    <x v="4"/>
    <x v="12"/>
    <x v="12"/>
    <x v="1"/>
    <x v="10"/>
    <n v="1"/>
  </r>
  <r>
    <x v="0"/>
    <x v="0"/>
    <x v="4"/>
    <x v="12"/>
    <x v="12"/>
    <x v="0"/>
    <x v="7"/>
    <n v="1"/>
  </r>
  <r>
    <x v="0"/>
    <x v="0"/>
    <x v="4"/>
    <x v="12"/>
    <x v="12"/>
    <x v="0"/>
    <x v="6"/>
    <n v="5"/>
  </r>
  <r>
    <x v="0"/>
    <x v="0"/>
    <x v="4"/>
    <x v="12"/>
    <x v="12"/>
    <x v="0"/>
    <x v="10"/>
    <n v="8"/>
  </r>
  <r>
    <x v="0"/>
    <x v="0"/>
    <x v="4"/>
    <x v="12"/>
    <x v="2"/>
    <x v="0"/>
    <x v="13"/>
    <n v="2"/>
  </r>
  <r>
    <x v="0"/>
    <x v="0"/>
    <x v="4"/>
    <x v="12"/>
    <x v="2"/>
    <x v="0"/>
    <x v="11"/>
    <n v="3"/>
  </r>
  <r>
    <x v="0"/>
    <x v="0"/>
    <x v="4"/>
    <x v="12"/>
    <x v="2"/>
    <x v="0"/>
    <x v="14"/>
    <n v="3"/>
  </r>
  <r>
    <x v="0"/>
    <x v="0"/>
    <x v="4"/>
    <x v="12"/>
    <x v="4"/>
    <x v="8"/>
    <x v="7"/>
    <n v="1"/>
  </r>
  <r>
    <x v="0"/>
    <x v="0"/>
    <x v="4"/>
    <x v="12"/>
    <x v="4"/>
    <x v="8"/>
    <x v="6"/>
    <n v="1"/>
  </r>
  <r>
    <x v="0"/>
    <x v="0"/>
    <x v="4"/>
    <x v="12"/>
    <x v="4"/>
    <x v="8"/>
    <x v="10"/>
    <n v="1"/>
  </r>
  <r>
    <x v="0"/>
    <x v="0"/>
    <x v="4"/>
    <x v="12"/>
    <x v="4"/>
    <x v="0"/>
    <x v="3"/>
    <n v="1"/>
  </r>
  <r>
    <x v="0"/>
    <x v="0"/>
    <x v="4"/>
    <x v="13"/>
    <x v="16"/>
    <x v="9"/>
    <x v="4"/>
    <n v="1"/>
  </r>
  <r>
    <x v="0"/>
    <x v="0"/>
    <x v="2"/>
    <x v="19"/>
    <x v="8"/>
    <x v="0"/>
    <x v="14"/>
    <n v="1"/>
  </r>
  <r>
    <x v="0"/>
    <x v="0"/>
    <x v="2"/>
    <x v="19"/>
    <x v="10"/>
    <x v="1"/>
    <x v="12"/>
    <n v="3"/>
  </r>
  <r>
    <x v="0"/>
    <x v="0"/>
    <x v="2"/>
    <x v="19"/>
    <x v="10"/>
    <x v="1"/>
    <x v="9"/>
    <n v="8"/>
  </r>
  <r>
    <x v="0"/>
    <x v="0"/>
    <x v="2"/>
    <x v="19"/>
    <x v="10"/>
    <x v="1"/>
    <x v="3"/>
    <n v="4"/>
  </r>
  <r>
    <x v="0"/>
    <x v="0"/>
    <x v="2"/>
    <x v="19"/>
    <x v="10"/>
    <x v="1"/>
    <x v="2"/>
    <n v="1"/>
  </r>
  <r>
    <x v="0"/>
    <x v="0"/>
    <x v="2"/>
    <x v="19"/>
    <x v="10"/>
    <x v="1"/>
    <x v="13"/>
    <n v="1"/>
  </r>
  <r>
    <x v="0"/>
    <x v="0"/>
    <x v="2"/>
    <x v="19"/>
    <x v="10"/>
    <x v="8"/>
    <x v="11"/>
    <n v="1"/>
  </r>
  <r>
    <x v="0"/>
    <x v="0"/>
    <x v="2"/>
    <x v="19"/>
    <x v="10"/>
    <x v="8"/>
    <x v="14"/>
    <n v="2"/>
  </r>
  <r>
    <x v="0"/>
    <x v="0"/>
    <x v="2"/>
    <x v="19"/>
    <x v="10"/>
    <x v="0"/>
    <x v="12"/>
    <n v="196"/>
  </r>
  <r>
    <x v="0"/>
    <x v="0"/>
    <x v="2"/>
    <x v="19"/>
    <x v="10"/>
    <x v="0"/>
    <x v="9"/>
    <n v="95"/>
  </r>
  <r>
    <x v="0"/>
    <x v="0"/>
    <x v="2"/>
    <x v="19"/>
    <x v="10"/>
    <x v="0"/>
    <x v="3"/>
    <n v="58"/>
  </r>
  <r>
    <x v="0"/>
    <x v="0"/>
    <x v="2"/>
    <x v="19"/>
    <x v="10"/>
    <x v="0"/>
    <x v="4"/>
    <n v="19"/>
  </r>
  <r>
    <x v="0"/>
    <x v="0"/>
    <x v="2"/>
    <x v="19"/>
    <x v="10"/>
    <x v="0"/>
    <x v="5"/>
    <n v="11"/>
  </r>
  <r>
    <x v="0"/>
    <x v="0"/>
    <x v="2"/>
    <x v="19"/>
    <x v="10"/>
    <x v="0"/>
    <x v="2"/>
    <n v="19"/>
  </r>
  <r>
    <x v="0"/>
    <x v="0"/>
    <x v="2"/>
    <x v="19"/>
    <x v="10"/>
    <x v="0"/>
    <x v="0"/>
    <n v="3"/>
  </r>
  <r>
    <x v="0"/>
    <x v="0"/>
    <x v="2"/>
    <x v="19"/>
    <x v="19"/>
    <x v="0"/>
    <x v="0"/>
    <n v="1"/>
  </r>
  <r>
    <x v="0"/>
    <x v="0"/>
    <x v="2"/>
    <x v="19"/>
    <x v="19"/>
    <x v="0"/>
    <x v="18"/>
    <n v="4"/>
  </r>
  <r>
    <x v="0"/>
    <x v="0"/>
    <x v="3"/>
    <x v="0"/>
    <x v="13"/>
    <x v="0"/>
    <x v="12"/>
    <n v="5"/>
  </r>
  <r>
    <x v="0"/>
    <x v="0"/>
    <x v="3"/>
    <x v="0"/>
    <x v="13"/>
    <x v="0"/>
    <x v="9"/>
    <n v="6"/>
  </r>
  <r>
    <x v="0"/>
    <x v="0"/>
    <x v="3"/>
    <x v="0"/>
    <x v="13"/>
    <x v="0"/>
    <x v="3"/>
    <n v="3"/>
  </r>
  <r>
    <x v="0"/>
    <x v="0"/>
    <x v="3"/>
    <x v="0"/>
    <x v="13"/>
    <x v="0"/>
    <x v="4"/>
    <n v="2"/>
  </r>
  <r>
    <x v="0"/>
    <x v="0"/>
    <x v="3"/>
    <x v="0"/>
    <x v="13"/>
    <x v="0"/>
    <x v="5"/>
    <n v="3"/>
  </r>
  <r>
    <x v="0"/>
    <x v="0"/>
    <x v="3"/>
    <x v="0"/>
    <x v="13"/>
    <x v="0"/>
    <x v="2"/>
    <n v="1"/>
  </r>
  <r>
    <x v="0"/>
    <x v="0"/>
    <x v="3"/>
    <x v="0"/>
    <x v="14"/>
    <x v="11"/>
    <x v="1"/>
    <n v="1"/>
  </r>
  <r>
    <x v="0"/>
    <x v="0"/>
    <x v="3"/>
    <x v="0"/>
    <x v="14"/>
    <x v="9"/>
    <x v="10"/>
    <n v="3"/>
  </r>
  <r>
    <x v="0"/>
    <x v="0"/>
    <x v="3"/>
    <x v="0"/>
    <x v="14"/>
    <x v="12"/>
    <x v="10"/>
    <n v="15"/>
  </r>
  <r>
    <x v="0"/>
    <x v="0"/>
    <x v="3"/>
    <x v="0"/>
    <x v="14"/>
    <x v="0"/>
    <x v="12"/>
    <n v="10"/>
  </r>
  <r>
    <x v="0"/>
    <x v="0"/>
    <x v="3"/>
    <x v="0"/>
    <x v="19"/>
    <x v="6"/>
    <x v="8"/>
    <n v="4"/>
  </r>
  <r>
    <x v="0"/>
    <x v="0"/>
    <x v="3"/>
    <x v="1"/>
    <x v="0"/>
    <x v="7"/>
    <x v="6"/>
    <n v="5"/>
  </r>
  <r>
    <x v="0"/>
    <x v="0"/>
    <x v="3"/>
    <x v="1"/>
    <x v="0"/>
    <x v="7"/>
    <x v="10"/>
    <n v="7"/>
  </r>
  <r>
    <x v="0"/>
    <x v="0"/>
    <x v="3"/>
    <x v="1"/>
    <x v="0"/>
    <x v="8"/>
    <x v="6"/>
    <n v="3"/>
  </r>
  <r>
    <x v="0"/>
    <x v="0"/>
    <x v="3"/>
    <x v="1"/>
    <x v="0"/>
    <x v="8"/>
    <x v="10"/>
    <n v="4"/>
  </r>
  <r>
    <x v="0"/>
    <x v="0"/>
    <x v="3"/>
    <x v="1"/>
    <x v="0"/>
    <x v="0"/>
    <x v="1"/>
    <n v="8"/>
  </r>
  <r>
    <x v="0"/>
    <x v="0"/>
    <x v="3"/>
    <x v="1"/>
    <x v="16"/>
    <x v="5"/>
    <x v="1"/>
    <n v="2"/>
  </r>
  <r>
    <x v="0"/>
    <x v="0"/>
    <x v="3"/>
    <x v="1"/>
    <x v="16"/>
    <x v="9"/>
    <x v="12"/>
    <n v="1"/>
  </r>
  <r>
    <x v="0"/>
    <x v="0"/>
    <x v="3"/>
    <x v="1"/>
    <x v="16"/>
    <x v="9"/>
    <x v="9"/>
    <n v="1"/>
  </r>
  <r>
    <x v="0"/>
    <x v="0"/>
    <x v="3"/>
    <x v="1"/>
    <x v="16"/>
    <x v="12"/>
    <x v="12"/>
    <n v="1"/>
  </r>
  <r>
    <x v="0"/>
    <x v="0"/>
    <x v="3"/>
    <x v="1"/>
    <x v="16"/>
    <x v="1"/>
    <x v="3"/>
    <n v="1"/>
  </r>
  <r>
    <x v="0"/>
    <x v="0"/>
    <x v="3"/>
    <x v="1"/>
    <x v="16"/>
    <x v="0"/>
    <x v="12"/>
    <n v="7"/>
  </r>
  <r>
    <x v="0"/>
    <x v="0"/>
    <x v="3"/>
    <x v="1"/>
    <x v="16"/>
    <x v="0"/>
    <x v="9"/>
    <n v="4"/>
  </r>
  <r>
    <x v="0"/>
    <x v="0"/>
    <x v="3"/>
    <x v="1"/>
    <x v="16"/>
    <x v="0"/>
    <x v="4"/>
    <n v="1"/>
  </r>
  <r>
    <x v="0"/>
    <x v="0"/>
    <x v="3"/>
    <x v="1"/>
    <x v="3"/>
    <x v="13"/>
    <x v="6"/>
    <n v="1"/>
  </r>
  <r>
    <x v="0"/>
    <x v="0"/>
    <x v="3"/>
    <x v="1"/>
    <x v="3"/>
    <x v="13"/>
    <x v="12"/>
    <n v="1"/>
  </r>
  <r>
    <x v="0"/>
    <x v="0"/>
    <x v="3"/>
    <x v="1"/>
    <x v="3"/>
    <x v="2"/>
    <x v="1"/>
    <n v="1"/>
  </r>
  <r>
    <x v="0"/>
    <x v="0"/>
    <x v="3"/>
    <x v="1"/>
    <x v="3"/>
    <x v="10"/>
    <x v="1"/>
    <n v="3"/>
  </r>
  <r>
    <x v="0"/>
    <x v="0"/>
    <x v="3"/>
    <x v="1"/>
    <x v="3"/>
    <x v="3"/>
    <x v="10"/>
    <n v="2"/>
  </r>
  <r>
    <x v="0"/>
    <x v="0"/>
    <x v="3"/>
    <x v="1"/>
    <x v="3"/>
    <x v="3"/>
    <x v="1"/>
    <n v="1"/>
  </r>
  <r>
    <x v="0"/>
    <x v="0"/>
    <x v="3"/>
    <x v="1"/>
    <x v="3"/>
    <x v="4"/>
    <x v="6"/>
    <n v="5"/>
  </r>
  <r>
    <x v="0"/>
    <x v="0"/>
    <x v="3"/>
    <x v="1"/>
    <x v="3"/>
    <x v="4"/>
    <x v="10"/>
    <n v="2"/>
  </r>
  <r>
    <x v="0"/>
    <x v="0"/>
    <x v="3"/>
    <x v="1"/>
    <x v="3"/>
    <x v="5"/>
    <x v="6"/>
    <n v="2"/>
  </r>
  <r>
    <x v="0"/>
    <x v="0"/>
    <x v="3"/>
    <x v="1"/>
    <x v="3"/>
    <x v="5"/>
    <x v="10"/>
    <n v="2"/>
  </r>
  <r>
    <x v="0"/>
    <x v="0"/>
    <x v="3"/>
    <x v="1"/>
    <x v="3"/>
    <x v="11"/>
    <x v="7"/>
    <n v="4"/>
  </r>
  <r>
    <x v="0"/>
    <x v="0"/>
    <x v="3"/>
    <x v="1"/>
    <x v="3"/>
    <x v="11"/>
    <x v="6"/>
    <n v="2"/>
  </r>
  <r>
    <x v="0"/>
    <x v="0"/>
    <x v="3"/>
    <x v="1"/>
    <x v="3"/>
    <x v="11"/>
    <x v="10"/>
    <n v="1"/>
  </r>
  <r>
    <x v="0"/>
    <x v="0"/>
    <x v="3"/>
    <x v="1"/>
    <x v="3"/>
    <x v="11"/>
    <x v="1"/>
    <n v="2"/>
  </r>
  <r>
    <x v="0"/>
    <x v="0"/>
    <x v="3"/>
    <x v="1"/>
    <x v="3"/>
    <x v="6"/>
    <x v="7"/>
    <n v="2"/>
  </r>
  <r>
    <x v="0"/>
    <x v="0"/>
    <x v="3"/>
    <x v="1"/>
    <x v="3"/>
    <x v="6"/>
    <x v="6"/>
    <n v="1"/>
  </r>
  <r>
    <x v="0"/>
    <x v="0"/>
    <x v="3"/>
    <x v="1"/>
    <x v="3"/>
    <x v="6"/>
    <x v="10"/>
    <n v="1"/>
  </r>
  <r>
    <x v="0"/>
    <x v="0"/>
    <x v="3"/>
    <x v="1"/>
    <x v="3"/>
    <x v="9"/>
    <x v="7"/>
    <n v="1"/>
  </r>
  <r>
    <x v="0"/>
    <x v="0"/>
    <x v="3"/>
    <x v="1"/>
    <x v="3"/>
    <x v="9"/>
    <x v="6"/>
    <n v="1"/>
  </r>
  <r>
    <x v="0"/>
    <x v="0"/>
    <x v="3"/>
    <x v="1"/>
    <x v="3"/>
    <x v="12"/>
    <x v="6"/>
    <n v="1"/>
  </r>
  <r>
    <x v="0"/>
    <x v="0"/>
    <x v="3"/>
    <x v="1"/>
    <x v="3"/>
    <x v="1"/>
    <x v="6"/>
    <n v="1"/>
  </r>
  <r>
    <x v="0"/>
    <x v="0"/>
    <x v="3"/>
    <x v="1"/>
    <x v="18"/>
    <x v="0"/>
    <x v="9"/>
    <n v="2"/>
  </r>
  <r>
    <x v="0"/>
    <x v="0"/>
    <x v="3"/>
    <x v="2"/>
    <x v="8"/>
    <x v="0"/>
    <x v="18"/>
    <n v="1"/>
  </r>
  <r>
    <x v="0"/>
    <x v="0"/>
    <x v="3"/>
    <x v="3"/>
    <x v="16"/>
    <x v="4"/>
    <x v="7"/>
    <n v="1"/>
  </r>
  <r>
    <x v="0"/>
    <x v="0"/>
    <x v="3"/>
    <x v="3"/>
    <x v="16"/>
    <x v="7"/>
    <x v="6"/>
    <n v="3"/>
  </r>
  <r>
    <x v="0"/>
    <x v="0"/>
    <x v="3"/>
    <x v="3"/>
    <x v="16"/>
    <x v="8"/>
    <x v="6"/>
    <n v="2"/>
  </r>
  <r>
    <x v="0"/>
    <x v="0"/>
    <x v="3"/>
    <x v="3"/>
    <x v="16"/>
    <x v="8"/>
    <x v="10"/>
    <n v="2"/>
  </r>
  <r>
    <x v="0"/>
    <x v="0"/>
    <x v="3"/>
    <x v="3"/>
    <x v="3"/>
    <x v="0"/>
    <x v="14"/>
    <n v="2"/>
  </r>
  <r>
    <x v="0"/>
    <x v="0"/>
    <x v="3"/>
    <x v="3"/>
    <x v="6"/>
    <x v="9"/>
    <x v="17"/>
    <n v="1"/>
  </r>
  <r>
    <x v="0"/>
    <x v="0"/>
    <x v="3"/>
    <x v="3"/>
    <x v="6"/>
    <x v="8"/>
    <x v="0"/>
    <n v="1"/>
  </r>
  <r>
    <x v="0"/>
    <x v="0"/>
    <x v="3"/>
    <x v="3"/>
    <x v="6"/>
    <x v="0"/>
    <x v="1"/>
    <n v="1"/>
  </r>
  <r>
    <x v="0"/>
    <x v="0"/>
    <x v="3"/>
    <x v="3"/>
    <x v="6"/>
    <x v="0"/>
    <x v="14"/>
    <n v="1"/>
  </r>
  <r>
    <x v="0"/>
    <x v="0"/>
    <x v="3"/>
    <x v="3"/>
    <x v="11"/>
    <x v="5"/>
    <x v="6"/>
    <n v="1"/>
  </r>
  <r>
    <x v="0"/>
    <x v="0"/>
    <x v="3"/>
    <x v="3"/>
    <x v="11"/>
    <x v="5"/>
    <x v="2"/>
    <n v="1"/>
  </r>
  <r>
    <x v="0"/>
    <x v="0"/>
    <x v="3"/>
    <x v="3"/>
    <x v="11"/>
    <x v="11"/>
    <x v="12"/>
    <n v="1"/>
  </r>
  <r>
    <x v="0"/>
    <x v="0"/>
    <x v="3"/>
    <x v="3"/>
    <x v="11"/>
    <x v="6"/>
    <x v="7"/>
    <n v="12"/>
  </r>
  <r>
    <x v="0"/>
    <x v="0"/>
    <x v="3"/>
    <x v="3"/>
    <x v="11"/>
    <x v="8"/>
    <x v="10"/>
    <n v="7"/>
  </r>
  <r>
    <x v="0"/>
    <x v="0"/>
    <x v="3"/>
    <x v="3"/>
    <x v="11"/>
    <x v="0"/>
    <x v="12"/>
    <n v="1"/>
  </r>
  <r>
    <x v="0"/>
    <x v="0"/>
    <x v="3"/>
    <x v="4"/>
    <x v="4"/>
    <x v="16"/>
    <x v="3"/>
    <n v="1"/>
  </r>
  <r>
    <x v="0"/>
    <x v="0"/>
    <x v="3"/>
    <x v="4"/>
    <x v="4"/>
    <x v="16"/>
    <x v="4"/>
    <n v="1"/>
  </r>
  <r>
    <x v="0"/>
    <x v="0"/>
    <x v="3"/>
    <x v="4"/>
    <x v="4"/>
    <x v="15"/>
    <x v="12"/>
    <n v="1"/>
  </r>
  <r>
    <x v="0"/>
    <x v="0"/>
    <x v="3"/>
    <x v="4"/>
    <x v="4"/>
    <x v="2"/>
    <x v="12"/>
    <n v="1"/>
  </r>
  <r>
    <x v="0"/>
    <x v="0"/>
    <x v="3"/>
    <x v="4"/>
    <x v="4"/>
    <x v="2"/>
    <x v="9"/>
    <n v="1"/>
  </r>
  <r>
    <x v="0"/>
    <x v="0"/>
    <x v="3"/>
    <x v="4"/>
    <x v="4"/>
    <x v="2"/>
    <x v="3"/>
    <n v="1"/>
  </r>
  <r>
    <x v="0"/>
    <x v="0"/>
    <x v="3"/>
    <x v="4"/>
    <x v="4"/>
    <x v="10"/>
    <x v="12"/>
    <n v="1"/>
  </r>
  <r>
    <x v="0"/>
    <x v="0"/>
    <x v="3"/>
    <x v="4"/>
    <x v="4"/>
    <x v="10"/>
    <x v="5"/>
    <n v="1"/>
  </r>
  <r>
    <x v="0"/>
    <x v="0"/>
    <x v="3"/>
    <x v="4"/>
    <x v="4"/>
    <x v="4"/>
    <x v="12"/>
    <n v="1"/>
  </r>
  <r>
    <x v="0"/>
    <x v="0"/>
    <x v="3"/>
    <x v="4"/>
    <x v="16"/>
    <x v="0"/>
    <x v="19"/>
    <n v="10"/>
  </r>
  <r>
    <x v="0"/>
    <x v="0"/>
    <x v="3"/>
    <x v="4"/>
    <x v="5"/>
    <x v="0"/>
    <x v="5"/>
    <n v="6"/>
  </r>
  <r>
    <x v="0"/>
    <x v="0"/>
    <x v="3"/>
    <x v="4"/>
    <x v="5"/>
    <x v="0"/>
    <x v="2"/>
    <n v="2"/>
  </r>
  <r>
    <x v="0"/>
    <x v="0"/>
    <x v="3"/>
    <x v="4"/>
    <x v="5"/>
    <x v="0"/>
    <x v="13"/>
    <n v="1"/>
  </r>
  <r>
    <x v="0"/>
    <x v="0"/>
    <x v="3"/>
    <x v="4"/>
    <x v="5"/>
    <x v="0"/>
    <x v="14"/>
    <n v="2"/>
  </r>
  <r>
    <x v="0"/>
    <x v="0"/>
    <x v="3"/>
    <x v="4"/>
    <x v="3"/>
    <x v="0"/>
    <x v="11"/>
    <n v="2"/>
  </r>
  <r>
    <x v="0"/>
    <x v="0"/>
    <x v="3"/>
    <x v="4"/>
    <x v="3"/>
    <x v="0"/>
    <x v="14"/>
    <n v="2"/>
  </r>
  <r>
    <x v="0"/>
    <x v="0"/>
    <x v="3"/>
    <x v="4"/>
    <x v="3"/>
    <x v="0"/>
    <x v="17"/>
    <n v="1"/>
  </r>
  <r>
    <x v="0"/>
    <x v="0"/>
    <x v="3"/>
    <x v="4"/>
    <x v="9"/>
    <x v="1"/>
    <x v="10"/>
    <n v="1"/>
  </r>
  <r>
    <x v="0"/>
    <x v="0"/>
    <x v="3"/>
    <x v="4"/>
    <x v="9"/>
    <x v="1"/>
    <x v="1"/>
    <n v="1"/>
  </r>
  <r>
    <x v="0"/>
    <x v="0"/>
    <x v="3"/>
    <x v="4"/>
    <x v="9"/>
    <x v="0"/>
    <x v="1"/>
    <n v="9"/>
  </r>
  <r>
    <x v="0"/>
    <x v="0"/>
    <x v="3"/>
    <x v="4"/>
    <x v="9"/>
    <x v="0"/>
    <x v="4"/>
    <n v="1"/>
  </r>
  <r>
    <x v="0"/>
    <x v="0"/>
    <x v="3"/>
    <x v="4"/>
    <x v="17"/>
    <x v="1"/>
    <x v="6"/>
    <n v="1"/>
  </r>
  <r>
    <x v="0"/>
    <x v="0"/>
    <x v="3"/>
    <x v="4"/>
    <x v="17"/>
    <x v="0"/>
    <x v="1"/>
    <n v="1"/>
  </r>
  <r>
    <x v="0"/>
    <x v="0"/>
    <x v="3"/>
    <x v="5"/>
    <x v="15"/>
    <x v="0"/>
    <x v="1"/>
    <n v="1"/>
  </r>
  <r>
    <x v="0"/>
    <x v="0"/>
    <x v="3"/>
    <x v="5"/>
    <x v="15"/>
    <x v="0"/>
    <x v="13"/>
    <n v="1"/>
  </r>
  <r>
    <x v="0"/>
    <x v="0"/>
    <x v="3"/>
    <x v="5"/>
    <x v="10"/>
    <x v="6"/>
    <x v="10"/>
    <n v="1"/>
  </r>
  <r>
    <x v="0"/>
    <x v="0"/>
    <x v="3"/>
    <x v="5"/>
    <x v="10"/>
    <x v="6"/>
    <x v="1"/>
    <n v="1"/>
  </r>
  <r>
    <x v="0"/>
    <x v="0"/>
    <x v="3"/>
    <x v="5"/>
    <x v="10"/>
    <x v="9"/>
    <x v="10"/>
    <n v="2"/>
  </r>
  <r>
    <x v="0"/>
    <x v="0"/>
    <x v="3"/>
    <x v="5"/>
    <x v="10"/>
    <x v="9"/>
    <x v="2"/>
    <n v="1"/>
  </r>
  <r>
    <x v="0"/>
    <x v="0"/>
    <x v="3"/>
    <x v="5"/>
    <x v="10"/>
    <x v="12"/>
    <x v="10"/>
    <n v="2"/>
  </r>
  <r>
    <x v="0"/>
    <x v="0"/>
    <x v="3"/>
    <x v="5"/>
    <x v="10"/>
    <x v="1"/>
    <x v="10"/>
    <n v="1"/>
  </r>
  <r>
    <x v="0"/>
    <x v="0"/>
    <x v="3"/>
    <x v="5"/>
    <x v="10"/>
    <x v="1"/>
    <x v="1"/>
    <n v="1"/>
  </r>
  <r>
    <x v="0"/>
    <x v="0"/>
    <x v="3"/>
    <x v="5"/>
    <x v="11"/>
    <x v="4"/>
    <x v="4"/>
    <n v="1"/>
  </r>
  <r>
    <x v="0"/>
    <x v="0"/>
    <x v="3"/>
    <x v="5"/>
    <x v="11"/>
    <x v="7"/>
    <x v="6"/>
    <n v="1"/>
  </r>
  <r>
    <x v="0"/>
    <x v="0"/>
    <x v="3"/>
    <x v="5"/>
    <x v="11"/>
    <x v="7"/>
    <x v="10"/>
    <n v="3"/>
  </r>
  <r>
    <x v="0"/>
    <x v="0"/>
    <x v="3"/>
    <x v="5"/>
    <x v="11"/>
    <x v="7"/>
    <x v="1"/>
    <n v="2"/>
  </r>
  <r>
    <x v="0"/>
    <x v="0"/>
    <x v="3"/>
    <x v="5"/>
    <x v="11"/>
    <x v="8"/>
    <x v="10"/>
    <n v="2"/>
  </r>
  <r>
    <x v="0"/>
    <x v="0"/>
    <x v="3"/>
    <x v="5"/>
    <x v="11"/>
    <x v="8"/>
    <x v="1"/>
    <n v="1"/>
  </r>
  <r>
    <x v="0"/>
    <x v="0"/>
    <x v="3"/>
    <x v="5"/>
    <x v="18"/>
    <x v="3"/>
    <x v="4"/>
    <n v="1"/>
  </r>
  <r>
    <x v="0"/>
    <x v="0"/>
    <x v="3"/>
    <x v="5"/>
    <x v="18"/>
    <x v="5"/>
    <x v="9"/>
    <n v="1"/>
  </r>
  <r>
    <x v="0"/>
    <x v="0"/>
    <x v="3"/>
    <x v="6"/>
    <x v="2"/>
    <x v="15"/>
    <x v="0"/>
    <n v="1"/>
  </r>
  <r>
    <x v="0"/>
    <x v="0"/>
    <x v="3"/>
    <x v="6"/>
    <x v="2"/>
    <x v="2"/>
    <x v="4"/>
    <n v="1"/>
  </r>
  <r>
    <x v="0"/>
    <x v="0"/>
    <x v="3"/>
    <x v="6"/>
    <x v="4"/>
    <x v="0"/>
    <x v="13"/>
    <n v="4"/>
  </r>
  <r>
    <x v="0"/>
    <x v="0"/>
    <x v="3"/>
    <x v="6"/>
    <x v="4"/>
    <x v="0"/>
    <x v="11"/>
    <n v="3"/>
  </r>
  <r>
    <x v="0"/>
    <x v="0"/>
    <x v="3"/>
    <x v="6"/>
    <x v="4"/>
    <x v="0"/>
    <x v="14"/>
    <n v="5"/>
  </r>
  <r>
    <x v="0"/>
    <x v="0"/>
    <x v="3"/>
    <x v="6"/>
    <x v="4"/>
    <x v="0"/>
    <x v="17"/>
    <n v="1"/>
  </r>
  <r>
    <x v="0"/>
    <x v="0"/>
    <x v="3"/>
    <x v="6"/>
    <x v="14"/>
    <x v="0"/>
    <x v="2"/>
    <n v="1"/>
  </r>
  <r>
    <x v="0"/>
    <x v="0"/>
    <x v="3"/>
    <x v="6"/>
    <x v="14"/>
    <x v="0"/>
    <x v="13"/>
    <n v="1"/>
  </r>
  <r>
    <x v="0"/>
    <x v="0"/>
    <x v="3"/>
    <x v="6"/>
    <x v="3"/>
    <x v="19"/>
    <x v="12"/>
    <n v="1"/>
  </r>
  <r>
    <x v="0"/>
    <x v="0"/>
    <x v="3"/>
    <x v="6"/>
    <x v="3"/>
    <x v="13"/>
    <x v="1"/>
    <n v="1"/>
  </r>
  <r>
    <x v="0"/>
    <x v="0"/>
    <x v="3"/>
    <x v="6"/>
    <x v="3"/>
    <x v="6"/>
    <x v="1"/>
    <n v="2"/>
  </r>
  <r>
    <x v="0"/>
    <x v="0"/>
    <x v="3"/>
    <x v="6"/>
    <x v="3"/>
    <x v="9"/>
    <x v="1"/>
    <n v="1"/>
  </r>
  <r>
    <x v="0"/>
    <x v="0"/>
    <x v="3"/>
    <x v="6"/>
    <x v="3"/>
    <x v="1"/>
    <x v="1"/>
    <n v="1"/>
  </r>
  <r>
    <x v="0"/>
    <x v="0"/>
    <x v="3"/>
    <x v="6"/>
    <x v="3"/>
    <x v="0"/>
    <x v="1"/>
    <n v="1"/>
  </r>
  <r>
    <x v="0"/>
    <x v="0"/>
    <x v="3"/>
    <x v="6"/>
    <x v="11"/>
    <x v="1"/>
    <x v="19"/>
    <n v="1"/>
  </r>
  <r>
    <x v="0"/>
    <x v="0"/>
    <x v="3"/>
    <x v="6"/>
    <x v="11"/>
    <x v="0"/>
    <x v="19"/>
    <n v="10"/>
  </r>
  <r>
    <x v="0"/>
    <x v="0"/>
    <x v="3"/>
    <x v="9"/>
    <x v="1"/>
    <x v="0"/>
    <x v="19"/>
    <n v="1"/>
  </r>
  <r>
    <x v="0"/>
    <x v="0"/>
    <x v="3"/>
    <x v="9"/>
    <x v="5"/>
    <x v="0"/>
    <x v="1"/>
    <n v="1"/>
  </r>
  <r>
    <x v="0"/>
    <x v="0"/>
    <x v="3"/>
    <x v="9"/>
    <x v="7"/>
    <x v="0"/>
    <x v="19"/>
    <n v="14"/>
  </r>
  <r>
    <x v="0"/>
    <x v="0"/>
    <x v="3"/>
    <x v="9"/>
    <x v="17"/>
    <x v="0"/>
    <x v="5"/>
    <n v="2"/>
  </r>
  <r>
    <x v="0"/>
    <x v="0"/>
    <x v="3"/>
    <x v="9"/>
    <x v="17"/>
    <x v="0"/>
    <x v="2"/>
    <n v="4"/>
  </r>
  <r>
    <x v="0"/>
    <x v="0"/>
    <x v="3"/>
    <x v="9"/>
    <x v="17"/>
    <x v="0"/>
    <x v="13"/>
    <n v="5"/>
  </r>
  <r>
    <x v="0"/>
    <x v="0"/>
    <x v="3"/>
    <x v="9"/>
    <x v="17"/>
    <x v="0"/>
    <x v="11"/>
    <n v="2"/>
  </r>
  <r>
    <x v="0"/>
    <x v="0"/>
    <x v="3"/>
    <x v="9"/>
    <x v="17"/>
    <x v="0"/>
    <x v="14"/>
    <n v="2"/>
  </r>
  <r>
    <x v="0"/>
    <x v="0"/>
    <x v="3"/>
    <x v="9"/>
    <x v="17"/>
    <x v="0"/>
    <x v="19"/>
    <n v="3"/>
  </r>
  <r>
    <x v="0"/>
    <x v="0"/>
    <x v="3"/>
    <x v="7"/>
    <x v="14"/>
    <x v="8"/>
    <x v="1"/>
    <n v="1"/>
  </r>
  <r>
    <x v="0"/>
    <x v="0"/>
    <x v="3"/>
    <x v="7"/>
    <x v="15"/>
    <x v="0"/>
    <x v="19"/>
    <n v="2"/>
  </r>
  <r>
    <x v="0"/>
    <x v="0"/>
    <x v="3"/>
    <x v="7"/>
    <x v="7"/>
    <x v="0"/>
    <x v="19"/>
    <n v="2"/>
  </r>
  <r>
    <x v="0"/>
    <x v="0"/>
    <x v="3"/>
    <x v="7"/>
    <x v="17"/>
    <x v="0"/>
    <x v="4"/>
    <n v="1"/>
  </r>
  <r>
    <x v="0"/>
    <x v="0"/>
    <x v="3"/>
    <x v="7"/>
    <x v="19"/>
    <x v="0"/>
    <x v="3"/>
    <n v="2"/>
  </r>
  <r>
    <x v="0"/>
    <x v="0"/>
    <x v="3"/>
    <x v="7"/>
    <x v="19"/>
    <x v="0"/>
    <x v="5"/>
    <n v="4"/>
  </r>
  <r>
    <x v="0"/>
    <x v="0"/>
    <x v="3"/>
    <x v="7"/>
    <x v="19"/>
    <x v="0"/>
    <x v="13"/>
    <n v="1"/>
  </r>
  <r>
    <x v="0"/>
    <x v="0"/>
    <x v="3"/>
    <x v="8"/>
    <x v="12"/>
    <x v="0"/>
    <x v="0"/>
    <n v="1"/>
  </r>
  <r>
    <x v="0"/>
    <x v="0"/>
    <x v="3"/>
    <x v="8"/>
    <x v="13"/>
    <x v="14"/>
    <x v="0"/>
    <n v="2"/>
  </r>
  <r>
    <x v="0"/>
    <x v="0"/>
    <x v="3"/>
    <x v="8"/>
    <x v="13"/>
    <x v="13"/>
    <x v="0"/>
    <n v="1"/>
  </r>
  <r>
    <x v="0"/>
    <x v="0"/>
    <x v="3"/>
    <x v="8"/>
    <x v="13"/>
    <x v="2"/>
    <x v="4"/>
    <n v="1"/>
  </r>
  <r>
    <x v="0"/>
    <x v="0"/>
    <x v="3"/>
    <x v="8"/>
    <x v="13"/>
    <x v="2"/>
    <x v="2"/>
    <n v="3"/>
  </r>
  <r>
    <x v="0"/>
    <x v="0"/>
    <x v="3"/>
    <x v="8"/>
    <x v="13"/>
    <x v="2"/>
    <x v="13"/>
    <n v="1"/>
  </r>
  <r>
    <x v="0"/>
    <x v="0"/>
    <x v="3"/>
    <x v="8"/>
    <x v="13"/>
    <x v="10"/>
    <x v="5"/>
    <n v="1"/>
  </r>
  <r>
    <x v="0"/>
    <x v="0"/>
    <x v="3"/>
    <x v="8"/>
    <x v="13"/>
    <x v="10"/>
    <x v="2"/>
    <n v="2"/>
  </r>
  <r>
    <x v="0"/>
    <x v="0"/>
    <x v="3"/>
    <x v="8"/>
    <x v="13"/>
    <x v="10"/>
    <x v="13"/>
    <n v="2"/>
  </r>
  <r>
    <x v="0"/>
    <x v="0"/>
    <x v="3"/>
    <x v="8"/>
    <x v="13"/>
    <x v="3"/>
    <x v="3"/>
    <n v="1"/>
  </r>
  <r>
    <x v="0"/>
    <x v="0"/>
    <x v="3"/>
    <x v="8"/>
    <x v="13"/>
    <x v="3"/>
    <x v="5"/>
    <n v="1"/>
  </r>
  <r>
    <x v="0"/>
    <x v="0"/>
    <x v="3"/>
    <x v="8"/>
    <x v="13"/>
    <x v="3"/>
    <x v="2"/>
    <n v="1"/>
  </r>
  <r>
    <x v="0"/>
    <x v="0"/>
    <x v="3"/>
    <x v="8"/>
    <x v="13"/>
    <x v="4"/>
    <x v="18"/>
    <n v="1"/>
  </r>
  <r>
    <x v="0"/>
    <x v="0"/>
    <x v="3"/>
    <x v="8"/>
    <x v="13"/>
    <x v="11"/>
    <x v="3"/>
    <n v="1"/>
  </r>
  <r>
    <x v="0"/>
    <x v="0"/>
    <x v="3"/>
    <x v="8"/>
    <x v="14"/>
    <x v="8"/>
    <x v="10"/>
    <n v="1"/>
  </r>
  <r>
    <x v="0"/>
    <x v="0"/>
    <x v="3"/>
    <x v="8"/>
    <x v="8"/>
    <x v="8"/>
    <x v="6"/>
    <n v="1"/>
  </r>
  <r>
    <x v="0"/>
    <x v="0"/>
    <x v="3"/>
    <x v="8"/>
    <x v="11"/>
    <x v="6"/>
    <x v="6"/>
    <n v="1"/>
  </r>
  <r>
    <x v="0"/>
    <x v="0"/>
    <x v="3"/>
    <x v="8"/>
    <x v="11"/>
    <x v="9"/>
    <x v="7"/>
    <n v="1"/>
  </r>
  <r>
    <x v="0"/>
    <x v="0"/>
    <x v="3"/>
    <x v="8"/>
    <x v="11"/>
    <x v="7"/>
    <x v="10"/>
    <n v="1"/>
  </r>
  <r>
    <x v="0"/>
    <x v="0"/>
    <x v="3"/>
    <x v="8"/>
    <x v="11"/>
    <x v="8"/>
    <x v="10"/>
    <n v="1"/>
  </r>
  <r>
    <x v="0"/>
    <x v="0"/>
    <x v="3"/>
    <x v="8"/>
    <x v="19"/>
    <x v="6"/>
    <x v="10"/>
    <n v="4"/>
  </r>
  <r>
    <x v="0"/>
    <x v="0"/>
    <x v="3"/>
    <x v="8"/>
    <x v="19"/>
    <x v="9"/>
    <x v="10"/>
    <n v="6"/>
  </r>
  <r>
    <x v="0"/>
    <x v="0"/>
    <x v="3"/>
    <x v="8"/>
    <x v="19"/>
    <x v="12"/>
    <x v="10"/>
    <n v="5"/>
  </r>
  <r>
    <x v="0"/>
    <x v="0"/>
    <x v="3"/>
    <x v="10"/>
    <x v="12"/>
    <x v="0"/>
    <x v="0"/>
    <n v="2"/>
  </r>
  <r>
    <x v="0"/>
    <x v="0"/>
    <x v="3"/>
    <x v="10"/>
    <x v="12"/>
    <x v="0"/>
    <x v="18"/>
    <n v="1"/>
  </r>
  <r>
    <x v="0"/>
    <x v="0"/>
    <x v="3"/>
    <x v="10"/>
    <x v="2"/>
    <x v="0"/>
    <x v="0"/>
    <n v="1"/>
  </r>
  <r>
    <x v="0"/>
    <x v="0"/>
    <x v="3"/>
    <x v="10"/>
    <x v="5"/>
    <x v="0"/>
    <x v="5"/>
    <n v="1"/>
  </r>
  <r>
    <x v="0"/>
    <x v="0"/>
    <x v="3"/>
    <x v="10"/>
    <x v="5"/>
    <x v="0"/>
    <x v="13"/>
    <n v="1"/>
  </r>
  <r>
    <x v="0"/>
    <x v="0"/>
    <x v="3"/>
    <x v="10"/>
    <x v="13"/>
    <x v="0"/>
    <x v="19"/>
    <n v="6"/>
  </r>
  <r>
    <x v="0"/>
    <x v="0"/>
    <x v="3"/>
    <x v="10"/>
    <x v="14"/>
    <x v="0"/>
    <x v="19"/>
    <n v="1"/>
  </r>
  <r>
    <x v="0"/>
    <x v="0"/>
    <x v="3"/>
    <x v="10"/>
    <x v="7"/>
    <x v="1"/>
    <x v="1"/>
    <n v="1"/>
  </r>
  <r>
    <x v="0"/>
    <x v="0"/>
    <x v="3"/>
    <x v="10"/>
    <x v="7"/>
    <x v="0"/>
    <x v="1"/>
    <n v="6"/>
  </r>
  <r>
    <x v="0"/>
    <x v="0"/>
    <x v="3"/>
    <x v="10"/>
    <x v="6"/>
    <x v="0"/>
    <x v="17"/>
    <n v="1"/>
  </r>
  <r>
    <x v="0"/>
    <x v="0"/>
    <x v="3"/>
    <x v="10"/>
    <x v="6"/>
    <x v="0"/>
    <x v="19"/>
    <n v="11"/>
  </r>
  <r>
    <x v="0"/>
    <x v="0"/>
    <x v="3"/>
    <x v="10"/>
    <x v="17"/>
    <x v="0"/>
    <x v="9"/>
    <n v="2"/>
  </r>
  <r>
    <x v="0"/>
    <x v="0"/>
    <x v="3"/>
    <x v="10"/>
    <x v="17"/>
    <x v="0"/>
    <x v="3"/>
    <n v="5"/>
  </r>
  <r>
    <x v="0"/>
    <x v="0"/>
    <x v="3"/>
    <x v="10"/>
    <x v="17"/>
    <x v="0"/>
    <x v="4"/>
    <n v="2"/>
  </r>
  <r>
    <x v="0"/>
    <x v="0"/>
    <x v="3"/>
    <x v="10"/>
    <x v="17"/>
    <x v="0"/>
    <x v="13"/>
    <n v="1"/>
  </r>
  <r>
    <x v="0"/>
    <x v="0"/>
    <x v="3"/>
    <x v="10"/>
    <x v="18"/>
    <x v="0"/>
    <x v="19"/>
    <n v="31"/>
  </r>
  <r>
    <x v="0"/>
    <x v="0"/>
    <x v="3"/>
    <x v="10"/>
    <x v="19"/>
    <x v="13"/>
    <x v="10"/>
    <n v="6"/>
  </r>
  <r>
    <x v="0"/>
    <x v="0"/>
    <x v="3"/>
    <x v="10"/>
    <x v="19"/>
    <x v="13"/>
    <x v="1"/>
    <n v="6"/>
  </r>
  <r>
    <x v="0"/>
    <x v="0"/>
    <x v="3"/>
    <x v="10"/>
    <x v="19"/>
    <x v="13"/>
    <x v="4"/>
    <n v="3"/>
  </r>
  <r>
    <x v="0"/>
    <x v="0"/>
    <x v="3"/>
    <x v="10"/>
    <x v="19"/>
    <x v="4"/>
    <x v="1"/>
    <n v="2"/>
  </r>
  <r>
    <x v="0"/>
    <x v="0"/>
    <x v="3"/>
    <x v="10"/>
    <x v="19"/>
    <x v="5"/>
    <x v="1"/>
    <n v="2"/>
  </r>
  <r>
    <x v="0"/>
    <x v="0"/>
    <x v="3"/>
    <x v="10"/>
    <x v="19"/>
    <x v="11"/>
    <x v="10"/>
    <n v="8"/>
  </r>
  <r>
    <x v="0"/>
    <x v="0"/>
    <x v="3"/>
    <x v="10"/>
    <x v="19"/>
    <x v="11"/>
    <x v="1"/>
    <n v="2"/>
  </r>
  <r>
    <x v="0"/>
    <x v="0"/>
    <x v="3"/>
    <x v="10"/>
    <x v="19"/>
    <x v="11"/>
    <x v="2"/>
    <n v="1"/>
  </r>
  <r>
    <x v="0"/>
    <x v="0"/>
    <x v="3"/>
    <x v="10"/>
    <x v="19"/>
    <x v="6"/>
    <x v="10"/>
    <n v="6"/>
  </r>
  <r>
    <x v="0"/>
    <x v="0"/>
    <x v="3"/>
    <x v="10"/>
    <x v="19"/>
    <x v="6"/>
    <x v="1"/>
    <n v="4"/>
  </r>
  <r>
    <x v="0"/>
    <x v="0"/>
    <x v="3"/>
    <x v="10"/>
    <x v="19"/>
    <x v="6"/>
    <x v="5"/>
    <n v="1"/>
  </r>
  <r>
    <x v="0"/>
    <x v="0"/>
    <x v="3"/>
    <x v="10"/>
    <x v="19"/>
    <x v="9"/>
    <x v="6"/>
    <n v="51"/>
  </r>
  <r>
    <x v="0"/>
    <x v="0"/>
    <x v="3"/>
    <x v="10"/>
    <x v="19"/>
    <x v="9"/>
    <x v="10"/>
    <n v="1"/>
  </r>
  <r>
    <x v="0"/>
    <x v="0"/>
    <x v="3"/>
    <x v="10"/>
    <x v="19"/>
    <x v="12"/>
    <x v="6"/>
    <n v="39"/>
  </r>
  <r>
    <x v="0"/>
    <x v="0"/>
    <x v="3"/>
    <x v="10"/>
    <x v="19"/>
    <x v="12"/>
    <x v="10"/>
    <n v="8"/>
  </r>
  <r>
    <x v="0"/>
    <x v="0"/>
    <x v="3"/>
    <x v="10"/>
    <x v="19"/>
    <x v="12"/>
    <x v="4"/>
    <n v="1"/>
  </r>
  <r>
    <x v="0"/>
    <x v="0"/>
    <x v="3"/>
    <x v="10"/>
    <x v="19"/>
    <x v="12"/>
    <x v="2"/>
    <n v="1"/>
  </r>
  <r>
    <x v="0"/>
    <x v="0"/>
    <x v="3"/>
    <x v="10"/>
    <x v="19"/>
    <x v="12"/>
    <x v="13"/>
    <n v="1"/>
  </r>
  <r>
    <x v="0"/>
    <x v="0"/>
    <x v="3"/>
    <x v="10"/>
    <x v="19"/>
    <x v="1"/>
    <x v="6"/>
    <n v="10"/>
  </r>
  <r>
    <x v="0"/>
    <x v="0"/>
    <x v="3"/>
    <x v="10"/>
    <x v="19"/>
    <x v="1"/>
    <x v="9"/>
    <n v="2"/>
  </r>
  <r>
    <x v="0"/>
    <x v="0"/>
    <x v="3"/>
    <x v="10"/>
    <x v="19"/>
    <x v="0"/>
    <x v="6"/>
    <n v="1"/>
  </r>
  <r>
    <x v="0"/>
    <x v="0"/>
    <x v="3"/>
    <x v="10"/>
    <x v="19"/>
    <x v="0"/>
    <x v="12"/>
    <n v="1"/>
  </r>
  <r>
    <x v="0"/>
    <x v="0"/>
    <x v="3"/>
    <x v="10"/>
    <x v="19"/>
    <x v="0"/>
    <x v="9"/>
    <n v="1"/>
  </r>
  <r>
    <x v="0"/>
    <x v="0"/>
    <x v="3"/>
    <x v="10"/>
    <x v="19"/>
    <x v="0"/>
    <x v="3"/>
    <n v="1"/>
  </r>
  <r>
    <x v="0"/>
    <x v="0"/>
    <x v="3"/>
    <x v="11"/>
    <x v="0"/>
    <x v="9"/>
    <x v="6"/>
    <n v="1"/>
  </r>
  <r>
    <x v="0"/>
    <x v="0"/>
    <x v="3"/>
    <x v="11"/>
    <x v="0"/>
    <x v="1"/>
    <x v="7"/>
    <n v="11"/>
  </r>
  <r>
    <x v="0"/>
    <x v="0"/>
    <x v="3"/>
    <x v="11"/>
    <x v="0"/>
    <x v="1"/>
    <x v="12"/>
    <n v="1"/>
  </r>
  <r>
    <x v="0"/>
    <x v="0"/>
    <x v="3"/>
    <x v="11"/>
    <x v="0"/>
    <x v="8"/>
    <x v="1"/>
    <n v="3"/>
  </r>
  <r>
    <x v="0"/>
    <x v="0"/>
    <x v="3"/>
    <x v="11"/>
    <x v="0"/>
    <x v="0"/>
    <x v="12"/>
    <n v="5"/>
  </r>
  <r>
    <x v="0"/>
    <x v="0"/>
    <x v="3"/>
    <x v="11"/>
    <x v="0"/>
    <x v="0"/>
    <x v="0"/>
    <n v="1"/>
  </r>
  <r>
    <x v="0"/>
    <x v="0"/>
    <x v="3"/>
    <x v="11"/>
    <x v="5"/>
    <x v="12"/>
    <x v="1"/>
    <n v="4"/>
  </r>
  <r>
    <x v="0"/>
    <x v="0"/>
    <x v="3"/>
    <x v="11"/>
    <x v="5"/>
    <x v="7"/>
    <x v="12"/>
    <n v="1"/>
  </r>
  <r>
    <x v="0"/>
    <x v="0"/>
    <x v="3"/>
    <x v="11"/>
    <x v="5"/>
    <x v="1"/>
    <x v="1"/>
    <n v="1"/>
  </r>
  <r>
    <x v="0"/>
    <x v="0"/>
    <x v="3"/>
    <x v="11"/>
    <x v="13"/>
    <x v="0"/>
    <x v="19"/>
    <n v="1"/>
  </r>
  <r>
    <x v="0"/>
    <x v="0"/>
    <x v="3"/>
    <x v="11"/>
    <x v="8"/>
    <x v="2"/>
    <x v="12"/>
    <n v="2"/>
  </r>
  <r>
    <x v="0"/>
    <x v="0"/>
    <x v="3"/>
    <x v="11"/>
    <x v="8"/>
    <x v="2"/>
    <x v="9"/>
    <n v="1"/>
  </r>
  <r>
    <x v="0"/>
    <x v="0"/>
    <x v="3"/>
    <x v="11"/>
    <x v="8"/>
    <x v="2"/>
    <x v="3"/>
    <n v="1"/>
  </r>
  <r>
    <x v="0"/>
    <x v="0"/>
    <x v="3"/>
    <x v="11"/>
    <x v="8"/>
    <x v="10"/>
    <x v="9"/>
    <n v="4"/>
  </r>
  <r>
    <x v="0"/>
    <x v="0"/>
    <x v="3"/>
    <x v="11"/>
    <x v="8"/>
    <x v="3"/>
    <x v="12"/>
    <n v="1"/>
  </r>
  <r>
    <x v="0"/>
    <x v="0"/>
    <x v="3"/>
    <x v="11"/>
    <x v="8"/>
    <x v="7"/>
    <x v="7"/>
    <n v="1"/>
  </r>
  <r>
    <x v="0"/>
    <x v="0"/>
    <x v="3"/>
    <x v="11"/>
    <x v="8"/>
    <x v="7"/>
    <x v="6"/>
    <n v="11"/>
  </r>
  <r>
    <x v="0"/>
    <x v="0"/>
    <x v="3"/>
    <x v="11"/>
    <x v="8"/>
    <x v="1"/>
    <x v="1"/>
    <n v="1"/>
  </r>
  <r>
    <x v="0"/>
    <x v="0"/>
    <x v="3"/>
    <x v="11"/>
    <x v="8"/>
    <x v="8"/>
    <x v="6"/>
    <n v="3"/>
  </r>
  <r>
    <x v="0"/>
    <x v="0"/>
    <x v="3"/>
    <x v="11"/>
    <x v="8"/>
    <x v="0"/>
    <x v="1"/>
    <n v="1"/>
  </r>
  <r>
    <x v="0"/>
    <x v="0"/>
    <x v="3"/>
    <x v="11"/>
    <x v="6"/>
    <x v="0"/>
    <x v="4"/>
    <n v="5"/>
  </r>
  <r>
    <x v="0"/>
    <x v="0"/>
    <x v="3"/>
    <x v="11"/>
    <x v="6"/>
    <x v="0"/>
    <x v="5"/>
    <n v="4"/>
  </r>
  <r>
    <x v="0"/>
    <x v="0"/>
    <x v="3"/>
    <x v="11"/>
    <x v="6"/>
    <x v="0"/>
    <x v="2"/>
    <n v="8"/>
  </r>
  <r>
    <x v="0"/>
    <x v="0"/>
    <x v="3"/>
    <x v="11"/>
    <x v="6"/>
    <x v="0"/>
    <x v="13"/>
    <n v="2"/>
  </r>
  <r>
    <x v="0"/>
    <x v="0"/>
    <x v="3"/>
    <x v="11"/>
    <x v="6"/>
    <x v="0"/>
    <x v="11"/>
    <n v="7"/>
  </r>
  <r>
    <x v="0"/>
    <x v="0"/>
    <x v="3"/>
    <x v="11"/>
    <x v="6"/>
    <x v="0"/>
    <x v="14"/>
    <n v="4"/>
  </r>
  <r>
    <x v="0"/>
    <x v="0"/>
    <x v="3"/>
    <x v="11"/>
    <x v="6"/>
    <x v="0"/>
    <x v="17"/>
    <n v="2"/>
  </r>
  <r>
    <x v="0"/>
    <x v="0"/>
    <x v="3"/>
    <x v="12"/>
    <x v="14"/>
    <x v="0"/>
    <x v="19"/>
    <n v="55"/>
  </r>
  <r>
    <x v="0"/>
    <x v="0"/>
    <x v="3"/>
    <x v="12"/>
    <x v="6"/>
    <x v="13"/>
    <x v="1"/>
    <n v="2"/>
  </r>
  <r>
    <x v="0"/>
    <x v="0"/>
    <x v="3"/>
    <x v="12"/>
    <x v="6"/>
    <x v="11"/>
    <x v="1"/>
    <n v="1"/>
  </r>
  <r>
    <x v="0"/>
    <x v="0"/>
    <x v="3"/>
    <x v="12"/>
    <x v="6"/>
    <x v="6"/>
    <x v="1"/>
    <n v="2"/>
  </r>
  <r>
    <x v="0"/>
    <x v="0"/>
    <x v="3"/>
    <x v="12"/>
    <x v="6"/>
    <x v="6"/>
    <x v="14"/>
    <n v="1"/>
  </r>
  <r>
    <x v="0"/>
    <x v="0"/>
    <x v="3"/>
    <x v="12"/>
    <x v="6"/>
    <x v="9"/>
    <x v="10"/>
    <n v="3"/>
  </r>
  <r>
    <x v="0"/>
    <x v="0"/>
    <x v="3"/>
    <x v="12"/>
    <x v="6"/>
    <x v="9"/>
    <x v="1"/>
    <n v="4"/>
  </r>
  <r>
    <x v="0"/>
    <x v="0"/>
    <x v="3"/>
    <x v="12"/>
    <x v="6"/>
    <x v="12"/>
    <x v="10"/>
    <n v="1"/>
  </r>
  <r>
    <x v="0"/>
    <x v="0"/>
    <x v="3"/>
    <x v="12"/>
    <x v="6"/>
    <x v="0"/>
    <x v="4"/>
    <n v="1"/>
  </r>
  <r>
    <x v="0"/>
    <x v="0"/>
    <x v="3"/>
    <x v="12"/>
    <x v="10"/>
    <x v="0"/>
    <x v="3"/>
    <n v="1"/>
  </r>
  <r>
    <x v="0"/>
    <x v="0"/>
    <x v="3"/>
    <x v="12"/>
    <x v="18"/>
    <x v="0"/>
    <x v="11"/>
    <n v="1"/>
  </r>
  <r>
    <x v="0"/>
    <x v="0"/>
    <x v="3"/>
    <x v="12"/>
    <x v="18"/>
    <x v="0"/>
    <x v="19"/>
    <n v="1"/>
  </r>
  <r>
    <x v="0"/>
    <x v="0"/>
    <x v="3"/>
    <x v="12"/>
    <x v="19"/>
    <x v="8"/>
    <x v="19"/>
    <n v="5"/>
  </r>
  <r>
    <x v="0"/>
    <x v="0"/>
    <x v="3"/>
    <x v="12"/>
    <x v="19"/>
    <x v="0"/>
    <x v="18"/>
    <n v="1"/>
  </r>
  <r>
    <x v="0"/>
    <x v="0"/>
    <x v="3"/>
    <x v="13"/>
    <x v="15"/>
    <x v="12"/>
    <x v="1"/>
    <n v="2"/>
  </r>
  <r>
    <x v="0"/>
    <x v="0"/>
    <x v="3"/>
    <x v="13"/>
    <x v="15"/>
    <x v="1"/>
    <x v="1"/>
    <n v="5"/>
  </r>
  <r>
    <x v="0"/>
    <x v="0"/>
    <x v="3"/>
    <x v="13"/>
    <x v="15"/>
    <x v="0"/>
    <x v="1"/>
    <n v="5"/>
  </r>
  <r>
    <x v="0"/>
    <x v="0"/>
    <x v="3"/>
    <x v="13"/>
    <x v="7"/>
    <x v="11"/>
    <x v="1"/>
    <n v="1"/>
  </r>
  <r>
    <x v="0"/>
    <x v="0"/>
    <x v="3"/>
    <x v="13"/>
    <x v="7"/>
    <x v="6"/>
    <x v="1"/>
    <n v="1"/>
  </r>
  <r>
    <x v="0"/>
    <x v="0"/>
    <x v="3"/>
    <x v="13"/>
    <x v="7"/>
    <x v="9"/>
    <x v="10"/>
    <n v="2"/>
  </r>
  <r>
    <x v="0"/>
    <x v="0"/>
    <x v="3"/>
    <x v="13"/>
    <x v="7"/>
    <x v="12"/>
    <x v="1"/>
    <n v="1"/>
  </r>
  <r>
    <x v="0"/>
    <x v="0"/>
    <x v="3"/>
    <x v="13"/>
    <x v="19"/>
    <x v="0"/>
    <x v="0"/>
    <n v="1"/>
  </r>
  <r>
    <x v="0"/>
    <x v="0"/>
    <x v="3"/>
    <x v="14"/>
    <x v="2"/>
    <x v="0"/>
    <x v="19"/>
    <n v="5"/>
  </r>
  <r>
    <x v="0"/>
    <x v="0"/>
    <x v="3"/>
    <x v="14"/>
    <x v="1"/>
    <x v="0"/>
    <x v="4"/>
    <n v="1"/>
  </r>
  <r>
    <x v="0"/>
    <x v="0"/>
    <x v="3"/>
    <x v="14"/>
    <x v="9"/>
    <x v="0"/>
    <x v="9"/>
    <n v="3"/>
  </r>
  <r>
    <x v="0"/>
    <x v="0"/>
    <x v="3"/>
    <x v="14"/>
    <x v="9"/>
    <x v="0"/>
    <x v="3"/>
    <n v="1"/>
  </r>
  <r>
    <x v="0"/>
    <x v="0"/>
    <x v="3"/>
    <x v="14"/>
    <x v="9"/>
    <x v="0"/>
    <x v="5"/>
    <n v="1"/>
  </r>
  <r>
    <x v="0"/>
    <x v="0"/>
    <x v="3"/>
    <x v="18"/>
    <x v="2"/>
    <x v="0"/>
    <x v="14"/>
    <n v="3"/>
  </r>
  <r>
    <x v="0"/>
    <x v="0"/>
    <x v="3"/>
    <x v="18"/>
    <x v="2"/>
    <x v="0"/>
    <x v="19"/>
    <n v="1"/>
  </r>
  <r>
    <x v="0"/>
    <x v="0"/>
    <x v="3"/>
    <x v="18"/>
    <x v="16"/>
    <x v="0"/>
    <x v="5"/>
    <n v="1"/>
  </r>
  <r>
    <x v="0"/>
    <x v="0"/>
    <x v="3"/>
    <x v="18"/>
    <x v="5"/>
    <x v="0"/>
    <x v="10"/>
    <n v="3"/>
  </r>
  <r>
    <x v="0"/>
    <x v="0"/>
    <x v="3"/>
    <x v="18"/>
    <x v="5"/>
    <x v="0"/>
    <x v="12"/>
    <n v="7"/>
  </r>
  <r>
    <x v="0"/>
    <x v="0"/>
    <x v="3"/>
    <x v="18"/>
    <x v="13"/>
    <x v="0"/>
    <x v="2"/>
    <n v="3"/>
  </r>
  <r>
    <x v="0"/>
    <x v="0"/>
    <x v="3"/>
    <x v="18"/>
    <x v="13"/>
    <x v="0"/>
    <x v="13"/>
    <n v="1"/>
  </r>
  <r>
    <x v="0"/>
    <x v="0"/>
    <x v="3"/>
    <x v="18"/>
    <x v="13"/>
    <x v="0"/>
    <x v="11"/>
    <n v="3"/>
  </r>
  <r>
    <x v="0"/>
    <x v="0"/>
    <x v="3"/>
    <x v="18"/>
    <x v="3"/>
    <x v="5"/>
    <x v="1"/>
    <n v="1"/>
  </r>
  <r>
    <x v="0"/>
    <x v="0"/>
    <x v="3"/>
    <x v="18"/>
    <x v="3"/>
    <x v="11"/>
    <x v="1"/>
    <n v="1"/>
  </r>
  <r>
    <x v="0"/>
    <x v="0"/>
    <x v="3"/>
    <x v="18"/>
    <x v="3"/>
    <x v="6"/>
    <x v="10"/>
    <n v="1"/>
  </r>
  <r>
    <x v="0"/>
    <x v="0"/>
    <x v="3"/>
    <x v="18"/>
    <x v="3"/>
    <x v="9"/>
    <x v="10"/>
    <n v="2"/>
  </r>
  <r>
    <x v="0"/>
    <x v="0"/>
    <x v="3"/>
    <x v="18"/>
    <x v="3"/>
    <x v="9"/>
    <x v="1"/>
    <n v="1"/>
  </r>
  <r>
    <x v="0"/>
    <x v="0"/>
    <x v="3"/>
    <x v="18"/>
    <x v="3"/>
    <x v="12"/>
    <x v="6"/>
    <n v="3"/>
  </r>
  <r>
    <x v="0"/>
    <x v="0"/>
    <x v="3"/>
    <x v="18"/>
    <x v="3"/>
    <x v="12"/>
    <x v="10"/>
    <n v="6"/>
  </r>
  <r>
    <x v="0"/>
    <x v="0"/>
    <x v="3"/>
    <x v="18"/>
    <x v="3"/>
    <x v="1"/>
    <x v="10"/>
    <n v="2"/>
  </r>
  <r>
    <x v="0"/>
    <x v="0"/>
    <x v="3"/>
    <x v="18"/>
    <x v="3"/>
    <x v="1"/>
    <x v="5"/>
    <n v="1"/>
  </r>
  <r>
    <x v="0"/>
    <x v="0"/>
    <x v="3"/>
    <x v="18"/>
    <x v="3"/>
    <x v="0"/>
    <x v="9"/>
    <n v="1"/>
  </r>
  <r>
    <x v="0"/>
    <x v="0"/>
    <x v="3"/>
    <x v="18"/>
    <x v="6"/>
    <x v="0"/>
    <x v="4"/>
    <n v="1"/>
  </r>
  <r>
    <x v="0"/>
    <x v="0"/>
    <x v="3"/>
    <x v="18"/>
    <x v="6"/>
    <x v="0"/>
    <x v="2"/>
    <n v="1"/>
  </r>
  <r>
    <x v="0"/>
    <x v="0"/>
    <x v="3"/>
    <x v="18"/>
    <x v="9"/>
    <x v="0"/>
    <x v="9"/>
    <n v="7"/>
  </r>
  <r>
    <x v="0"/>
    <x v="0"/>
    <x v="3"/>
    <x v="18"/>
    <x v="9"/>
    <x v="0"/>
    <x v="3"/>
    <n v="2"/>
  </r>
  <r>
    <x v="0"/>
    <x v="0"/>
    <x v="3"/>
    <x v="18"/>
    <x v="9"/>
    <x v="0"/>
    <x v="4"/>
    <n v="2"/>
  </r>
  <r>
    <x v="0"/>
    <x v="0"/>
    <x v="3"/>
    <x v="18"/>
    <x v="9"/>
    <x v="0"/>
    <x v="5"/>
    <n v="2"/>
  </r>
  <r>
    <x v="0"/>
    <x v="0"/>
    <x v="3"/>
    <x v="18"/>
    <x v="9"/>
    <x v="0"/>
    <x v="0"/>
    <n v="2"/>
  </r>
  <r>
    <x v="0"/>
    <x v="0"/>
    <x v="3"/>
    <x v="18"/>
    <x v="17"/>
    <x v="0"/>
    <x v="9"/>
    <n v="2"/>
  </r>
  <r>
    <x v="0"/>
    <x v="0"/>
    <x v="3"/>
    <x v="18"/>
    <x v="17"/>
    <x v="0"/>
    <x v="3"/>
    <n v="1"/>
  </r>
  <r>
    <x v="0"/>
    <x v="0"/>
    <x v="3"/>
    <x v="18"/>
    <x v="19"/>
    <x v="0"/>
    <x v="9"/>
    <n v="1"/>
  </r>
  <r>
    <x v="0"/>
    <x v="0"/>
    <x v="3"/>
    <x v="15"/>
    <x v="1"/>
    <x v="7"/>
    <x v="10"/>
    <n v="1"/>
  </r>
  <r>
    <x v="0"/>
    <x v="0"/>
    <x v="3"/>
    <x v="15"/>
    <x v="1"/>
    <x v="7"/>
    <x v="1"/>
    <n v="1"/>
  </r>
  <r>
    <x v="0"/>
    <x v="0"/>
    <x v="3"/>
    <x v="15"/>
    <x v="15"/>
    <x v="0"/>
    <x v="19"/>
    <n v="17"/>
  </r>
  <r>
    <x v="0"/>
    <x v="0"/>
    <x v="3"/>
    <x v="15"/>
    <x v="9"/>
    <x v="0"/>
    <x v="2"/>
    <n v="2"/>
  </r>
  <r>
    <x v="0"/>
    <x v="0"/>
    <x v="3"/>
    <x v="15"/>
    <x v="9"/>
    <x v="0"/>
    <x v="13"/>
    <n v="3"/>
  </r>
  <r>
    <x v="0"/>
    <x v="0"/>
    <x v="3"/>
    <x v="15"/>
    <x v="9"/>
    <x v="0"/>
    <x v="11"/>
    <n v="1"/>
  </r>
  <r>
    <x v="0"/>
    <x v="0"/>
    <x v="3"/>
    <x v="15"/>
    <x v="9"/>
    <x v="0"/>
    <x v="14"/>
    <n v="1"/>
  </r>
  <r>
    <x v="0"/>
    <x v="0"/>
    <x v="3"/>
    <x v="15"/>
    <x v="9"/>
    <x v="0"/>
    <x v="19"/>
    <n v="1"/>
  </r>
  <r>
    <x v="0"/>
    <x v="0"/>
    <x v="3"/>
    <x v="15"/>
    <x v="10"/>
    <x v="0"/>
    <x v="19"/>
    <n v="6"/>
  </r>
  <r>
    <x v="0"/>
    <x v="0"/>
    <x v="3"/>
    <x v="15"/>
    <x v="18"/>
    <x v="8"/>
    <x v="1"/>
    <n v="2"/>
  </r>
  <r>
    <x v="0"/>
    <x v="0"/>
    <x v="3"/>
    <x v="15"/>
    <x v="18"/>
    <x v="0"/>
    <x v="12"/>
    <n v="4"/>
  </r>
  <r>
    <x v="0"/>
    <x v="0"/>
    <x v="3"/>
    <x v="15"/>
    <x v="18"/>
    <x v="0"/>
    <x v="9"/>
    <n v="2"/>
  </r>
  <r>
    <x v="0"/>
    <x v="0"/>
    <x v="3"/>
    <x v="16"/>
    <x v="2"/>
    <x v="0"/>
    <x v="11"/>
    <n v="1"/>
  </r>
  <r>
    <x v="0"/>
    <x v="0"/>
    <x v="3"/>
    <x v="16"/>
    <x v="2"/>
    <x v="0"/>
    <x v="17"/>
    <n v="3"/>
  </r>
  <r>
    <x v="0"/>
    <x v="0"/>
    <x v="3"/>
    <x v="16"/>
    <x v="2"/>
    <x v="0"/>
    <x v="19"/>
    <n v="2"/>
  </r>
  <r>
    <x v="0"/>
    <x v="0"/>
    <x v="3"/>
    <x v="16"/>
    <x v="4"/>
    <x v="0"/>
    <x v="10"/>
    <n v="5"/>
  </r>
  <r>
    <x v="0"/>
    <x v="0"/>
    <x v="3"/>
    <x v="16"/>
    <x v="4"/>
    <x v="0"/>
    <x v="1"/>
    <n v="5"/>
  </r>
  <r>
    <x v="0"/>
    <x v="0"/>
    <x v="3"/>
    <x v="16"/>
    <x v="4"/>
    <x v="0"/>
    <x v="4"/>
    <n v="3"/>
  </r>
  <r>
    <x v="0"/>
    <x v="0"/>
    <x v="3"/>
    <x v="16"/>
    <x v="4"/>
    <x v="0"/>
    <x v="5"/>
    <n v="1"/>
  </r>
  <r>
    <x v="0"/>
    <x v="0"/>
    <x v="3"/>
    <x v="16"/>
    <x v="16"/>
    <x v="0"/>
    <x v="5"/>
    <n v="3"/>
  </r>
  <r>
    <x v="0"/>
    <x v="0"/>
    <x v="3"/>
    <x v="16"/>
    <x v="1"/>
    <x v="2"/>
    <x v="17"/>
    <n v="1"/>
  </r>
  <r>
    <x v="0"/>
    <x v="0"/>
    <x v="3"/>
    <x v="16"/>
    <x v="1"/>
    <x v="2"/>
    <x v="19"/>
    <n v="1"/>
  </r>
  <r>
    <x v="0"/>
    <x v="0"/>
    <x v="3"/>
    <x v="16"/>
    <x v="1"/>
    <x v="10"/>
    <x v="14"/>
    <n v="2"/>
  </r>
  <r>
    <x v="0"/>
    <x v="0"/>
    <x v="3"/>
    <x v="16"/>
    <x v="1"/>
    <x v="3"/>
    <x v="11"/>
    <n v="1"/>
  </r>
  <r>
    <x v="0"/>
    <x v="0"/>
    <x v="4"/>
    <x v="19"/>
    <x v="4"/>
    <x v="0"/>
    <x v="14"/>
    <n v="1"/>
  </r>
  <r>
    <x v="0"/>
    <x v="0"/>
    <x v="5"/>
    <x v="0"/>
    <x v="1"/>
    <x v="0"/>
    <x v="0"/>
    <n v="1"/>
  </r>
  <r>
    <x v="0"/>
    <x v="0"/>
    <x v="5"/>
    <x v="0"/>
    <x v="19"/>
    <x v="3"/>
    <x v="14"/>
    <n v="1"/>
  </r>
  <r>
    <x v="0"/>
    <x v="0"/>
    <x v="5"/>
    <x v="0"/>
    <x v="19"/>
    <x v="4"/>
    <x v="17"/>
    <n v="1"/>
  </r>
  <r>
    <x v="0"/>
    <x v="0"/>
    <x v="5"/>
    <x v="0"/>
    <x v="19"/>
    <x v="5"/>
    <x v="13"/>
    <n v="1"/>
  </r>
  <r>
    <x v="0"/>
    <x v="0"/>
    <x v="5"/>
    <x v="0"/>
    <x v="19"/>
    <x v="5"/>
    <x v="11"/>
    <n v="1"/>
  </r>
  <r>
    <x v="0"/>
    <x v="0"/>
    <x v="5"/>
    <x v="0"/>
    <x v="19"/>
    <x v="11"/>
    <x v="11"/>
    <n v="1"/>
  </r>
  <r>
    <x v="0"/>
    <x v="0"/>
    <x v="5"/>
    <x v="0"/>
    <x v="19"/>
    <x v="6"/>
    <x v="17"/>
    <n v="1"/>
  </r>
  <r>
    <x v="0"/>
    <x v="0"/>
    <x v="5"/>
    <x v="2"/>
    <x v="0"/>
    <x v="11"/>
    <x v="19"/>
    <n v="1"/>
  </r>
  <r>
    <x v="0"/>
    <x v="0"/>
    <x v="5"/>
    <x v="2"/>
    <x v="0"/>
    <x v="6"/>
    <x v="19"/>
    <n v="1"/>
  </r>
  <r>
    <x v="0"/>
    <x v="0"/>
    <x v="5"/>
    <x v="2"/>
    <x v="0"/>
    <x v="9"/>
    <x v="11"/>
    <n v="2"/>
  </r>
  <r>
    <x v="0"/>
    <x v="0"/>
    <x v="5"/>
    <x v="2"/>
    <x v="0"/>
    <x v="9"/>
    <x v="19"/>
    <n v="1"/>
  </r>
  <r>
    <x v="0"/>
    <x v="0"/>
    <x v="5"/>
    <x v="2"/>
    <x v="0"/>
    <x v="12"/>
    <x v="11"/>
    <n v="1"/>
  </r>
  <r>
    <x v="0"/>
    <x v="0"/>
    <x v="5"/>
    <x v="2"/>
    <x v="0"/>
    <x v="1"/>
    <x v="17"/>
    <n v="2"/>
  </r>
  <r>
    <x v="0"/>
    <x v="0"/>
    <x v="5"/>
    <x v="2"/>
    <x v="0"/>
    <x v="0"/>
    <x v="14"/>
    <n v="1"/>
  </r>
  <r>
    <x v="0"/>
    <x v="0"/>
    <x v="5"/>
    <x v="2"/>
    <x v="6"/>
    <x v="7"/>
    <x v="11"/>
    <n v="1"/>
  </r>
  <r>
    <x v="0"/>
    <x v="0"/>
    <x v="5"/>
    <x v="2"/>
    <x v="10"/>
    <x v="12"/>
    <x v="19"/>
    <n v="3"/>
  </r>
  <r>
    <x v="0"/>
    <x v="0"/>
    <x v="5"/>
    <x v="2"/>
    <x v="10"/>
    <x v="1"/>
    <x v="19"/>
    <n v="26"/>
  </r>
  <r>
    <x v="0"/>
    <x v="0"/>
    <x v="5"/>
    <x v="2"/>
    <x v="10"/>
    <x v="0"/>
    <x v="17"/>
    <n v="1"/>
  </r>
  <r>
    <x v="0"/>
    <x v="0"/>
    <x v="5"/>
    <x v="2"/>
    <x v="10"/>
    <x v="0"/>
    <x v="19"/>
    <n v="79"/>
  </r>
  <r>
    <x v="0"/>
    <x v="0"/>
    <x v="5"/>
    <x v="3"/>
    <x v="2"/>
    <x v="0"/>
    <x v="19"/>
    <n v="23"/>
  </r>
  <r>
    <x v="0"/>
    <x v="0"/>
    <x v="5"/>
    <x v="3"/>
    <x v="6"/>
    <x v="12"/>
    <x v="19"/>
    <n v="1"/>
  </r>
  <r>
    <x v="0"/>
    <x v="0"/>
    <x v="5"/>
    <x v="3"/>
    <x v="6"/>
    <x v="1"/>
    <x v="11"/>
    <n v="1"/>
  </r>
  <r>
    <x v="0"/>
    <x v="0"/>
    <x v="5"/>
    <x v="4"/>
    <x v="8"/>
    <x v="13"/>
    <x v="2"/>
    <n v="1"/>
  </r>
  <r>
    <x v="0"/>
    <x v="0"/>
    <x v="5"/>
    <x v="4"/>
    <x v="18"/>
    <x v="14"/>
    <x v="19"/>
    <n v="1"/>
  </r>
  <r>
    <x v="0"/>
    <x v="0"/>
    <x v="5"/>
    <x v="4"/>
    <x v="18"/>
    <x v="10"/>
    <x v="18"/>
    <n v="1"/>
  </r>
  <r>
    <x v="0"/>
    <x v="0"/>
    <x v="5"/>
    <x v="4"/>
    <x v="18"/>
    <x v="3"/>
    <x v="18"/>
    <n v="1"/>
  </r>
  <r>
    <x v="0"/>
    <x v="0"/>
    <x v="5"/>
    <x v="4"/>
    <x v="18"/>
    <x v="5"/>
    <x v="18"/>
    <n v="1"/>
  </r>
  <r>
    <x v="0"/>
    <x v="0"/>
    <x v="5"/>
    <x v="5"/>
    <x v="8"/>
    <x v="16"/>
    <x v="19"/>
    <n v="3"/>
  </r>
  <r>
    <x v="0"/>
    <x v="0"/>
    <x v="5"/>
    <x v="5"/>
    <x v="8"/>
    <x v="10"/>
    <x v="0"/>
    <n v="1"/>
  </r>
  <r>
    <x v="0"/>
    <x v="0"/>
    <x v="5"/>
    <x v="5"/>
    <x v="8"/>
    <x v="3"/>
    <x v="0"/>
    <n v="1"/>
  </r>
  <r>
    <x v="0"/>
    <x v="0"/>
    <x v="5"/>
    <x v="5"/>
    <x v="8"/>
    <x v="11"/>
    <x v="19"/>
    <n v="35"/>
  </r>
  <r>
    <x v="0"/>
    <x v="0"/>
    <x v="5"/>
    <x v="5"/>
    <x v="8"/>
    <x v="6"/>
    <x v="19"/>
    <n v="49"/>
  </r>
  <r>
    <x v="0"/>
    <x v="0"/>
    <x v="5"/>
    <x v="5"/>
    <x v="8"/>
    <x v="9"/>
    <x v="14"/>
    <n v="1"/>
  </r>
  <r>
    <x v="0"/>
    <x v="0"/>
    <x v="5"/>
    <x v="5"/>
    <x v="8"/>
    <x v="9"/>
    <x v="17"/>
    <n v="1"/>
  </r>
  <r>
    <x v="0"/>
    <x v="0"/>
    <x v="5"/>
    <x v="5"/>
    <x v="8"/>
    <x v="9"/>
    <x v="19"/>
    <n v="41"/>
  </r>
  <r>
    <x v="0"/>
    <x v="0"/>
    <x v="5"/>
    <x v="5"/>
    <x v="8"/>
    <x v="12"/>
    <x v="17"/>
    <n v="1"/>
  </r>
  <r>
    <x v="0"/>
    <x v="0"/>
    <x v="5"/>
    <x v="5"/>
    <x v="8"/>
    <x v="12"/>
    <x v="19"/>
    <n v="49"/>
  </r>
  <r>
    <x v="0"/>
    <x v="0"/>
    <x v="5"/>
    <x v="5"/>
    <x v="8"/>
    <x v="7"/>
    <x v="0"/>
    <n v="1"/>
  </r>
  <r>
    <x v="0"/>
    <x v="0"/>
    <x v="5"/>
    <x v="5"/>
    <x v="8"/>
    <x v="1"/>
    <x v="17"/>
    <n v="1"/>
  </r>
  <r>
    <x v="0"/>
    <x v="0"/>
    <x v="5"/>
    <x v="5"/>
    <x v="8"/>
    <x v="1"/>
    <x v="19"/>
    <n v="22"/>
  </r>
  <r>
    <x v="0"/>
    <x v="0"/>
    <x v="5"/>
    <x v="5"/>
    <x v="8"/>
    <x v="0"/>
    <x v="19"/>
    <n v="21"/>
  </r>
  <r>
    <x v="0"/>
    <x v="0"/>
    <x v="5"/>
    <x v="5"/>
    <x v="6"/>
    <x v="18"/>
    <x v="19"/>
    <n v="41"/>
  </r>
  <r>
    <x v="0"/>
    <x v="0"/>
    <x v="5"/>
    <x v="5"/>
    <x v="6"/>
    <x v="19"/>
    <x v="19"/>
    <n v="82"/>
  </r>
  <r>
    <x v="0"/>
    <x v="0"/>
    <x v="5"/>
    <x v="5"/>
    <x v="6"/>
    <x v="13"/>
    <x v="18"/>
    <n v="2"/>
  </r>
  <r>
    <x v="0"/>
    <x v="0"/>
    <x v="5"/>
    <x v="5"/>
    <x v="6"/>
    <x v="3"/>
    <x v="19"/>
    <n v="6"/>
  </r>
  <r>
    <x v="0"/>
    <x v="0"/>
    <x v="5"/>
    <x v="5"/>
    <x v="6"/>
    <x v="4"/>
    <x v="17"/>
    <n v="1"/>
  </r>
  <r>
    <x v="0"/>
    <x v="0"/>
    <x v="5"/>
    <x v="5"/>
    <x v="6"/>
    <x v="4"/>
    <x v="19"/>
    <n v="3"/>
  </r>
  <r>
    <x v="0"/>
    <x v="0"/>
    <x v="5"/>
    <x v="5"/>
    <x v="6"/>
    <x v="5"/>
    <x v="19"/>
    <n v="1"/>
  </r>
  <r>
    <x v="0"/>
    <x v="0"/>
    <x v="5"/>
    <x v="5"/>
    <x v="6"/>
    <x v="11"/>
    <x v="19"/>
    <n v="1"/>
  </r>
  <r>
    <x v="0"/>
    <x v="0"/>
    <x v="5"/>
    <x v="5"/>
    <x v="11"/>
    <x v="4"/>
    <x v="0"/>
    <n v="1"/>
  </r>
  <r>
    <x v="0"/>
    <x v="0"/>
    <x v="5"/>
    <x v="5"/>
    <x v="11"/>
    <x v="5"/>
    <x v="0"/>
    <n v="1"/>
  </r>
  <r>
    <x v="0"/>
    <x v="0"/>
    <x v="5"/>
    <x v="5"/>
    <x v="11"/>
    <x v="6"/>
    <x v="0"/>
    <n v="1"/>
  </r>
  <r>
    <x v="0"/>
    <x v="0"/>
    <x v="5"/>
    <x v="6"/>
    <x v="15"/>
    <x v="5"/>
    <x v="19"/>
    <n v="1"/>
  </r>
  <r>
    <x v="0"/>
    <x v="0"/>
    <x v="5"/>
    <x v="6"/>
    <x v="15"/>
    <x v="11"/>
    <x v="19"/>
    <n v="1"/>
  </r>
  <r>
    <x v="0"/>
    <x v="0"/>
    <x v="5"/>
    <x v="6"/>
    <x v="15"/>
    <x v="6"/>
    <x v="19"/>
    <n v="2"/>
  </r>
  <r>
    <x v="0"/>
    <x v="0"/>
    <x v="5"/>
    <x v="6"/>
    <x v="15"/>
    <x v="9"/>
    <x v="19"/>
    <n v="3"/>
  </r>
  <r>
    <x v="0"/>
    <x v="0"/>
    <x v="5"/>
    <x v="6"/>
    <x v="15"/>
    <x v="12"/>
    <x v="19"/>
    <n v="1"/>
  </r>
  <r>
    <x v="0"/>
    <x v="0"/>
    <x v="5"/>
    <x v="6"/>
    <x v="15"/>
    <x v="1"/>
    <x v="19"/>
    <n v="7"/>
  </r>
  <r>
    <x v="0"/>
    <x v="0"/>
    <x v="5"/>
    <x v="6"/>
    <x v="15"/>
    <x v="0"/>
    <x v="17"/>
    <n v="1"/>
  </r>
  <r>
    <x v="0"/>
    <x v="0"/>
    <x v="5"/>
    <x v="6"/>
    <x v="15"/>
    <x v="0"/>
    <x v="19"/>
    <n v="74"/>
  </r>
  <r>
    <x v="0"/>
    <x v="0"/>
    <x v="5"/>
    <x v="9"/>
    <x v="1"/>
    <x v="0"/>
    <x v="19"/>
    <n v="2"/>
  </r>
  <r>
    <x v="0"/>
    <x v="0"/>
    <x v="5"/>
    <x v="8"/>
    <x v="13"/>
    <x v="19"/>
    <x v="17"/>
    <n v="1"/>
  </r>
  <r>
    <x v="0"/>
    <x v="0"/>
    <x v="5"/>
    <x v="8"/>
    <x v="13"/>
    <x v="14"/>
    <x v="18"/>
    <n v="2"/>
  </r>
  <r>
    <x v="0"/>
    <x v="0"/>
    <x v="5"/>
    <x v="8"/>
    <x v="13"/>
    <x v="13"/>
    <x v="0"/>
    <n v="4"/>
  </r>
  <r>
    <x v="0"/>
    <x v="0"/>
    <x v="5"/>
    <x v="8"/>
    <x v="13"/>
    <x v="13"/>
    <x v="18"/>
    <n v="4"/>
  </r>
  <r>
    <x v="0"/>
    <x v="0"/>
    <x v="5"/>
    <x v="8"/>
    <x v="13"/>
    <x v="10"/>
    <x v="19"/>
    <n v="18"/>
  </r>
  <r>
    <x v="0"/>
    <x v="0"/>
    <x v="5"/>
    <x v="8"/>
    <x v="13"/>
    <x v="3"/>
    <x v="17"/>
    <n v="3"/>
  </r>
  <r>
    <x v="0"/>
    <x v="0"/>
    <x v="5"/>
    <x v="8"/>
    <x v="13"/>
    <x v="3"/>
    <x v="19"/>
    <n v="11"/>
  </r>
  <r>
    <x v="0"/>
    <x v="0"/>
    <x v="5"/>
    <x v="8"/>
    <x v="13"/>
    <x v="4"/>
    <x v="14"/>
    <n v="2"/>
  </r>
  <r>
    <x v="0"/>
    <x v="0"/>
    <x v="5"/>
    <x v="8"/>
    <x v="13"/>
    <x v="4"/>
    <x v="17"/>
    <n v="1"/>
  </r>
  <r>
    <x v="0"/>
    <x v="0"/>
    <x v="5"/>
    <x v="8"/>
    <x v="13"/>
    <x v="4"/>
    <x v="19"/>
    <n v="8"/>
  </r>
  <r>
    <x v="0"/>
    <x v="0"/>
    <x v="5"/>
    <x v="8"/>
    <x v="13"/>
    <x v="5"/>
    <x v="11"/>
    <n v="1"/>
  </r>
  <r>
    <x v="0"/>
    <x v="0"/>
    <x v="5"/>
    <x v="8"/>
    <x v="13"/>
    <x v="5"/>
    <x v="14"/>
    <n v="1"/>
  </r>
  <r>
    <x v="0"/>
    <x v="0"/>
    <x v="5"/>
    <x v="8"/>
    <x v="13"/>
    <x v="5"/>
    <x v="17"/>
    <n v="1"/>
  </r>
  <r>
    <x v="0"/>
    <x v="0"/>
    <x v="5"/>
    <x v="8"/>
    <x v="13"/>
    <x v="5"/>
    <x v="19"/>
    <n v="15"/>
  </r>
  <r>
    <x v="0"/>
    <x v="0"/>
    <x v="5"/>
    <x v="8"/>
    <x v="13"/>
    <x v="11"/>
    <x v="14"/>
    <n v="1"/>
  </r>
  <r>
    <x v="0"/>
    <x v="0"/>
    <x v="5"/>
    <x v="8"/>
    <x v="13"/>
    <x v="11"/>
    <x v="17"/>
    <n v="2"/>
  </r>
  <r>
    <x v="0"/>
    <x v="0"/>
    <x v="5"/>
    <x v="8"/>
    <x v="13"/>
    <x v="11"/>
    <x v="19"/>
    <n v="12"/>
  </r>
  <r>
    <x v="0"/>
    <x v="0"/>
    <x v="5"/>
    <x v="8"/>
    <x v="13"/>
    <x v="6"/>
    <x v="17"/>
    <n v="1"/>
  </r>
  <r>
    <x v="0"/>
    <x v="0"/>
    <x v="4"/>
    <x v="13"/>
    <x v="16"/>
    <x v="12"/>
    <x v="9"/>
    <n v="2"/>
  </r>
  <r>
    <x v="0"/>
    <x v="0"/>
    <x v="4"/>
    <x v="13"/>
    <x v="16"/>
    <x v="12"/>
    <x v="3"/>
    <n v="2"/>
  </r>
  <r>
    <x v="0"/>
    <x v="0"/>
    <x v="4"/>
    <x v="13"/>
    <x v="16"/>
    <x v="1"/>
    <x v="9"/>
    <n v="1"/>
  </r>
  <r>
    <x v="0"/>
    <x v="0"/>
    <x v="4"/>
    <x v="13"/>
    <x v="16"/>
    <x v="1"/>
    <x v="3"/>
    <n v="2"/>
  </r>
  <r>
    <x v="0"/>
    <x v="0"/>
    <x v="4"/>
    <x v="13"/>
    <x v="16"/>
    <x v="0"/>
    <x v="12"/>
    <n v="26"/>
  </r>
  <r>
    <x v="0"/>
    <x v="0"/>
    <x v="4"/>
    <x v="13"/>
    <x v="16"/>
    <x v="0"/>
    <x v="9"/>
    <n v="19"/>
  </r>
  <r>
    <x v="0"/>
    <x v="0"/>
    <x v="4"/>
    <x v="13"/>
    <x v="1"/>
    <x v="0"/>
    <x v="0"/>
    <n v="2"/>
  </r>
  <r>
    <x v="0"/>
    <x v="0"/>
    <x v="4"/>
    <x v="13"/>
    <x v="1"/>
    <x v="0"/>
    <x v="18"/>
    <n v="1"/>
  </r>
  <r>
    <x v="0"/>
    <x v="0"/>
    <x v="4"/>
    <x v="14"/>
    <x v="16"/>
    <x v="10"/>
    <x v="7"/>
    <n v="5"/>
  </r>
  <r>
    <x v="0"/>
    <x v="0"/>
    <x v="4"/>
    <x v="14"/>
    <x v="16"/>
    <x v="10"/>
    <x v="14"/>
    <n v="1"/>
  </r>
  <r>
    <x v="0"/>
    <x v="0"/>
    <x v="4"/>
    <x v="14"/>
    <x v="16"/>
    <x v="10"/>
    <x v="17"/>
    <n v="1"/>
  </r>
  <r>
    <x v="0"/>
    <x v="0"/>
    <x v="4"/>
    <x v="14"/>
    <x v="16"/>
    <x v="3"/>
    <x v="8"/>
    <n v="3"/>
  </r>
  <r>
    <x v="0"/>
    <x v="0"/>
    <x v="4"/>
    <x v="14"/>
    <x v="16"/>
    <x v="3"/>
    <x v="7"/>
    <n v="22"/>
  </r>
  <r>
    <x v="0"/>
    <x v="0"/>
    <x v="4"/>
    <x v="14"/>
    <x v="16"/>
    <x v="3"/>
    <x v="13"/>
    <n v="1"/>
  </r>
  <r>
    <x v="0"/>
    <x v="0"/>
    <x v="4"/>
    <x v="14"/>
    <x v="16"/>
    <x v="3"/>
    <x v="11"/>
    <n v="3"/>
  </r>
  <r>
    <x v="0"/>
    <x v="0"/>
    <x v="4"/>
    <x v="14"/>
    <x v="16"/>
    <x v="4"/>
    <x v="8"/>
    <n v="34"/>
  </r>
  <r>
    <x v="0"/>
    <x v="0"/>
    <x v="4"/>
    <x v="14"/>
    <x v="16"/>
    <x v="4"/>
    <x v="2"/>
    <n v="1"/>
  </r>
  <r>
    <x v="0"/>
    <x v="0"/>
    <x v="4"/>
    <x v="14"/>
    <x v="16"/>
    <x v="4"/>
    <x v="11"/>
    <n v="1"/>
  </r>
  <r>
    <x v="0"/>
    <x v="0"/>
    <x v="4"/>
    <x v="14"/>
    <x v="16"/>
    <x v="5"/>
    <x v="8"/>
    <n v="72"/>
  </r>
  <r>
    <x v="0"/>
    <x v="0"/>
    <x v="4"/>
    <x v="14"/>
    <x v="16"/>
    <x v="5"/>
    <x v="5"/>
    <n v="3"/>
  </r>
  <r>
    <x v="0"/>
    <x v="0"/>
    <x v="4"/>
    <x v="14"/>
    <x v="16"/>
    <x v="5"/>
    <x v="13"/>
    <n v="1"/>
  </r>
  <r>
    <x v="0"/>
    <x v="0"/>
    <x v="4"/>
    <x v="14"/>
    <x v="16"/>
    <x v="11"/>
    <x v="15"/>
    <n v="183"/>
  </r>
  <r>
    <x v="0"/>
    <x v="0"/>
    <x v="4"/>
    <x v="14"/>
    <x v="16"/>
    <x v="11"/>
    <x v="8"/>
    <n v="157"/>
  </r>
  <r>
    <x v="0"/>
    <x v="0"/>
    <x v="4"/>
    <x v="14"/>
    <x v="16"/>
    <x v="11"/>
    <x v="5"/>
    <n v="1"/>
  </r>
  <r>
    <x v="0"/>
    <x v="0"/>
    <x v="4"/>
    <x v="14"/>
    <x v="16"/>
    <x v="6"/>
    <x v="15"/>
    <n v="35"/>
  </r>
  <r>
    <x v="0"/>
    <x v="0"/>
    <x v="4"/>
    <x v="14"/>
    <x v="16"/>
    <x v="6"/>
    <x v="8"/>
    <n v="338"/>
  </r>
  <r>
    <x v="0"/>
    <x v="0"/>
    <x v="4"/>
    <x v="14"/>
    <x v="16"/>
    <x v="6"/>
    <x v="3"/>
    <n v="6"/>
  </r>
  <r>
    <x v="0"/>
    <x v="0"/>
    <x v="4"/>
    <x v="14"/>
    <x v="16"/>
    <x v="6"/>
    <x v="4"/>
    <n v="1"/>
  </r>
  <r>
    <x v="0"/>
    <x v="0"/>
    <x v="4"/>
    <x v="14"/>
    <x v="16"/>
    <x v="6"/>
    <x v="5"/>
    <n v="2"/>
  </r>
  <r>
    <x v="0"/>
    <x v="0"/>
    <x v="4"/>
    <x v="14"/>
    <x v="16"/>
    <x v="9"/>
    <x v="9"/>
    <n v="5"/>
  </r>
  <r>
    <x v="0"/>
    <x v="0"/>
    <x v="4"/>
    <x v="14"/>
    <x v="16"/>
    <x v="9"/>
    <x v="3"/>
    <n v="3"/>
  </r>
  <r>
    <x v="0"/>
    <x v="0"/>
    <x v="4"/>
    <x v="14"/>
    <x v="16"/>
    <x v="9"/>
    <x v="4"/>
    <n v="2"/>
  </r>
  <r>
    <x v="0"/>
    <x v="0"/>
    <x v="4"/>
    <x v="14"/>
    <x v="16"/>
    <x v="12"/>
    <x v="12"/>
    <n v="7"/>
  </r>
  <r>
    <x v="0"/>
    <x v="0"/>
    <x v="4"/>
    <x v="14"/>
    <x v="16"/>
    <x v="12"/>
    <x v="9"/>
    <n v="7"/>
  </r>
  <r>
    <x v="0"/>
    <x v="0"/>
    <x v="4"/>
    <x v="14"/>
    <x v="16"/>
    <x v="12"/>
    <x v="3"/>
    <n v="3"/>
  </r>
  <r>
    <x v="0"/>
    <x v="0"/>
    <x v="4"/>
    <x v="14"/>
    <x v="16"/>
    <x v="7"/>
    <x v="8"/>
    <n v="116"/>
  </r>
  <r>
    <x v="0"/>
    <x v="0"/>
    <x v="4"/>
    <x v="14"/>
    <x v="16"/>
    <x v="7"/>
    <x v="7"/>
    <n v="121"/>
  </r>
  <r>
    <x v="0"/>
    <x v="0"/>
    <x v="4"/>
    <x v="14"/>
    <x v="16"/>
    <x v="7"/>
    <x v="6"/>
    <n v="55"/>
  </r>
  <r>
    <x v="0"/>
    <x v="0"/>
    <x v="4"/>
    <x v="14"/>
    <x v="16"/>
    <x v="1"/>
    <x v="12"/>
    <n v="9"/>
  </r>
  <r>
    <x v="0"/>
    <x v="0"/>
    <x v="4"/>
    <x v="14"/>
    <x v="16"/>
    <x v="1"/>
    <x v="9"/>
    <n v="4"/>
  </r>
  <r>
    <x v="0"/>
    <x v="0"/>
    <x v="4"/>
    <x v="14"/>
    <x v="16"/>
    <x v="1"/>
    <x v="0"/>
    <n v="1"/>
  </r>
  <r>
    <x v="0"/>
    <x v="0"/>
    <x v="4"/>
    <x v="14"/>
    <x v="16"/>
    <x v="8"/>
    <x v="7"/>
    <n v="36"/>
  </r>
  <r>
    <x v="0"/>
    <x v="0"/>
    <x v="4"/>
    <x v="14"/>
    <x v="16"/>
    <x v="8"/>
    <x v="13"/>
    <n v="1"/>
  </r>
  <r>
    <x v="0"/>
    <x v="0"/>
    <x v="4"/>
    <x v="14"/>
    <x v="16"/>
    <x v="0"/>
    <x v="12"/>
    <n v="14"/>
  </r>
  <r>
    <x v="0"/>
    <x v="0"/>
    <x v="4"/>
    <x v="14"/>
    <x v="5"/>
    <x v="7"/>
    <x v="13"/>
    <n v="1"/>
  </r>
  <r>
    <x v="0"/>
    <x v="0"/>
    <x v="4"/>
    <x v="14"/>
    <x v="5"/>
    <x v="7"/>
    <x v="11"/>
    <n v="1"/>
  </r>
  <r>
    <x v="0"/>
    <x v="0"/>
    <x v="4"/>
    <x v="14"/>
    <x v="5"/>
    <x v="8"/>
    <x v="3"/>
    <n v="1"/>
  </r>
  <r>
    <x v="0"/>
    <x v="0"/>
    <x v="4"/>
    <x v="14"/>
    <x v="5"/>
    <x v="8"/>
    <x v="4"/>
    <n v="1"/>
  </r>
  <r>
    <x v="0"/>
    <x v="0"/>
    <x v="4"/>
    <x v="14"/>
    <x v="5"/>
    <x v="8"/>
    <x v="5"/>
    <n v="2"/>
  </r>
  <r>
    <x v="0"/>
    <x v="0"/>
    <x v="4"/>
    <x v="14"/>
    <x v="5"/>
    <x v="8"/>
    <x v="2"/>
    <n v="1"/>
  </r>
  <r>
    <x v="0"/>
    <x v="0"/>
    <x v="4"/>
    <x v="14"/>
    <x v="5"/>
    <x v="8"/>
    <x v="13"/>
    <n v="2"/>
  </r>
  <r>
    <x v="0"/>
    <x v="0"/>
    <x v="4"/>
    <x v="14"/>
    <x v="5"/>
    <x v="8"/>
    <x v="11"/>
    <n v="1"/>
  </r>
  <r>
    <x v="0"/>
    <x v="0"/>
    <x v="4"/>
    <x v="14"/>
    <x v="18"/>
    <x v="0"/>
    <x v="10"/>
    <n v="2"/>
  </r>
  <r>
    <x v="0"/>
    <x v="0"/>
    <x v="4"/>
    <x v="18"/>
    <x v="0"/>
    <x v="0"/>
    <x v="18"/>
    <n v="2"/>
  </r>
  <r>
    <x v="0"/>
    <x v="0"/>
    <x v="4"/>
    <x v="18"/>
    <x v="12"/>
    <x v="0"/>
    <x v="11"/>
    <n v="31"/>
  </r>
  <r>
    <x v="0"/>
    <x v="0"/>
    <x v="4"/>
    <x v="18"/>
    <x v="12"/>
    <x v="0"/>
    <x v="14"/>
    <n v="21"/>
  </r>
  <r>
    <x v="0"/>
    <x v="0"/>
    <x v="4"/>
    <x v="18"/>
    <x v="12"/>
    <x v="0"/>
    <x v="17"/>
    <n v="1"/>
  </r>
  <r>
    <x v="0"/>
    <x v="0"/>
    <x v="4"/>
    <x v="15"/>
    <x v="16"/>
    <x v="0"/>
    <x v="5"/>
    <n v="4"/>
  </r>
  <r>
    <x v="0"/>
    <x v="0"/>
    <x v="4"/>
    <x v="15"/>
    <x v="16"/>
    <x v="0"/>
    <x v="2"/>
    <n v="9"/>
  </r>
  <r>
    <x v="0"/>
    <x v="0"/>
    <x v="4"/>
    <x v="15"/>
    <x v="16"/>
    <x v="0"/>
    <x v="13"/>
    <n v="10"/>
  </r>
  <r>
    <x v="0"/>
    <x v="0"/>
    <x v="4"/>
    <x v="15"/>
    <x v="16"/>
    <x v="0"/>
    <x v="11"/>
    <n v="10"/>
  </r>
  <r>
    <x v="0"/>
    <x v="0"/>
    <x v="4"/>
    <x v="15"/>
    <x v="16"/>
    <x v="0"/>
    <x v="14"/>
    <n v="8"/>
  </r>
  <r>
    <x v="0"/>
    <x v="0"/>
    <x v="4"/>
    <x v="15"/>
    <x v="16"/>
    <x v="0"/>
    <x v="17"/>
    <n v="5"/>
  </r>
  <r>
    <x v="0"/>
    <x v="0"/>
    <x v="4"/>
    <x v="15"/>
    <x v="1"/>
    <x v="0"/>
    <x v="3"/>
    <n v="2"/>
  </r>
  <r>
    <x v="0"/>
    <x v="0"/>
    <x v="4"/>
    <x v="15"/>
    <x v="1"/>
    <x v="0"/>
    <x v="4"/>
    <n v="1"/>
  </r>
  <r>
    <x v="0"/>
    <x v="0"/>
    <x v="4"/>
    <x v="15"/>
    <x v="1"/>
    <x v="0"/>
    <x v="5"/>
    <n v="1"/>
  </r>
  <r>
    <x v="0"/>
    <x v="0"/>
    <x v="4"/>
    <x v="15"/>
    <x v="6"/>
    <x v="0"/>
    <x v="10"/>
    <n v="1"/>
  </r>
  <r>
    <x v="0"/>
    <x v="0"/>
    <x v="4"/>
    <x v="15"/>
    <x v="6"/>
    <x v="0"/>
    <x v="1"/>
    <n v="1"/>
  </r>
  <r>
    <x v="0"/>
    <x v="0"/>
    <x v="4"/>
    <x v="17"/>
    <x v="12"/>
    <x v="9"/>
    <x v="0"/>
    <n v="1"/>
  </r>
  <r>
    <x v="0"/>
    <x v="0"/>
    <x v="4"/>
    <x v="17"/>
    <x v="12"/>
    <x v="12"/>
    <x v="0"/>
    <n v="1"/>
  </r>
  <r>
    <x v="0"/>
    <x v="0"/>
    <x v="4"/>
    <x v="17"/>
    <x v="12"/>
    <x v="7"/>
    <x v="11"/>
    <n v="1"/>
  </r>
  <r>
    <x v="0"/>
    <x v="0"/>
    <x v="4"/>
    <x v="17"/>
    <x v="12"/>
    <x v="1"/>
    <x v="0"/>
    <n v="1"/>
  </r>
  <r>
    <x v="0"/>
    <x v="0"/>
    <x v="4"/>
    <x v="17"/>
    <x v="2"/>
    <x v="1"/>
    <x v="19"/>
    <n v="5"/>
  </r>
  <r>
    <x v="0"/>
    <x v="0"/>
    <x v="4"/>
    <x v="17"/>
    <x v="2"/>
    <x v="0"/>
    <x v="19"/>
    <n v="6"/>
  </r>
  <r>
    <x v="0"/>
    <x v="0"/>
    <x v="4"/>
    <x v="17"/>
    <x v="4"/>
    <x v="0"/>
    <x v="2"/>
    <n v="13"/>
  </r>
  <r>
    <x v="0"/>
    <x v="0"/>
    <x v="4"/>
    <x v="17"/>
    <x v="4"/>
    <x v="0"/>
    <x v="13"/>
    <n v="6"/>
  </r>
  <r>
    <x v="0"/>
    <x v="0"/>
    <x v="4"/>
    <x v="17"/>
    <x v="4"/>
    <x v="0"/>
    <x v="11"/>
    <n v="4"/>
  </r>
  <r>
    <x v="0"/>
    <x v="0"/>
    <x v="4"/>
    <x v="17"/>
    <x v="4"/>
    <x v="0"/>
    <x v="14"/>
    <n v="2"/>
  </r>
  <r>
    <x v="0"/>
    <x v="0"/>
    <x v="4"/>
    <x v="17"/>
    <x v="16"/>
    <x v="0"/>
    <x v="4"/>
    <n v="3"/>
  </r>
  <r>
    <x v="0"/>
    <x v="0"/>
    <x v="4"/>
    <x v="17"/>
    <x v="16"/>
    <x v="0"/>
    <x v="5"/>
    <n v="1"/>
  </r>
  <r>
    <x v="0"/>
    <x v="0"/>
    <x v="3"/>
    <x v="16"/>
    <x v="1"/>
    <x v="4"/>
    <x v="17"/>
    <n v="1"/>
  </r>
  <r>
    <x v="0"/>
    <x v="0"/>
    <x v="3"/>
    <x v="16"/>
    <x v="1"/>
    <x v="5"/>
    <x v="2"/>
    <n v="1"/>
  </r>
  <r>
    <x v="0"/>
    <x v="0"/>
    <x v="3"/>
    <x v="16"/>
    <x v="1"/>
    <x v="11"/>
    <x v="1"/>
    <n v="2"/>
  </r>
  <r>
    <x v="0"/>
    <x v="0"/>
    <x v="3"/>
    <x v="16"/>
    <x v="1"/>
    <x v="11"/>
    <x v="5"/>
    <n v="1"/>
  </r>
  <r>
    <x v="0"/>
    <x v="0"/>
    <x v="3"/>
    <x v="16"/>
    <x v="1"/>
    <x v="6"/>
    <x v="4"/>
    <n v="1"/>
  </r>
  <r>
    <x v="0"/>
    <x v="0"/>
    <x v="3"/>
    <x v="16"/>
    <x v="1"/>
    <x v="6"/>
    <x v="5"/>
    <n v="1"/>
  </r>
  <r>
    <x v="0"/>
    <x v="0"/>
    <x v="3"/>
    <x v="16"/>
    <x v="1"/>
    <x v="9"/>
    <x v="10"/>
    <n v="1"/>
  </r>
  <r>
    <x v="0"/>
    <x v="0"/>
    <x v="3"/>
    <x v="16"/>
    <x v="1"/>
    <x v="9"/>
    <x v="1"/>
    <n v="1"/>
  </r>
  <r>
    <x v="0"/>
    <x v="0"/>
    <x v="3"/>
    <x v="16"/>
    <x v="1"/>
    <x v="12"/>
    <x v="6"/>
    <n v="3"/>
  </r>
  <r>
    <x v="0"/>
    <x v="0"/>
    <x v="3"/>
    <x v="16"/>
    <x v="8"/>
    <x v="0"/>
    <x v="11"/>
    <n v="1"/>
  </r>
  <r>
    <x v="0"/>
    <x v="0"/>
    <x v="3"/>
    <x v="16"/>
    <x v="8"/>
    <x v="0"/>
    <x v="18"/>
    <n v="1"/>
  </r>
  <r>
    <x v="0"/>
    <x v="0"/>
    <x v="3"/>
    <x v="16"/>
    <x v="3"/>
    <x v="0"/>
    <x v="2"/>
    <n v="1"/>
  </r>
  <r>
    <x v="0"/>
    <x v="0"/>
    <x v="3"/>
    <x v="16"/>
    <x v="7"/>
    <x v="0"/>
    <x v="0"/>
    <n v="2"/>
  </r>
  <r>
    <x v="0"/>
    <x v="0"/>
    <x v="3"/>
    <x v="16"/>
    <x v="7"/>
    <x v="0"/>
    <x v="18"/>
    <n v="1"/>
  </r>
  <r>
    <x v="0"/>
    <x v="0"/>
    <x v="3"/>
    <x v="16"/>
    <x v="9"/>
    <x v="0"/>
    <x v="12"/>
    <n v="2"/>
  </r>
  <r>
    <x v="0"/>
    <x v="0"/>
    <x v="3"/>
    <x v="16"/>
    <x v="9"/>
    <x v="0"/>
    <x v="9"/>
    <n v="4"/>
  </r>
  <r>
    <x v="0"/>
    <x v="0"/>
    <x v="3"/>
    <x v="16"/>
    <x v="9"/>
    <x v="0"/>
    <x v="3"/>
    <n v="9"/>
  </r>
  <r>
    <x v="0"/>
    <x v="0"/>
    <x v="3"/>
    <x v="16"/>
    <x v="9"/>
    <x v="0"/>
    <x v="4"/>
    <n v="11"/>
  </r>
  <r>
    <x v="0"/>
    <x v="0"/>
    <x v="3"/>
    <x v="17"/>
    <x v="1"/>
    <x v="0"/>
    <x v="19"/>
    <n v="5"/>
  </r>
  <r>
    <x v="0"/>
    <x v="0"/>
    <x v="3"/>
    <x v="17"/>
    <x v="5"/>
    <x v="0"/>
    <x v="19"/>
    <n v="5"/>
  </r>
  <r>
    <x v="0"/>
    <x v="0"/>
    <x v="3"/>
    <x v="17"/>
    <x v="14"/>
    <x v="0"/>
    <x v="0"/>
    <n v="1"/>
  </r>
  <r>
    <x v="0"/>
    <x v="0"/>
    <x v="3"/>
    <x v="17"/>
    <x v="15"/>
    <x v="0"/>
    <x v="17"/>
    <n v="1"/>
  </r>
  <r>
    <x v="0"/>
    <x v="0"/>
    <x v="3"/>
    <x v="17"/>
    <x v="10"/>
    <x v="0"/>
    <x v="1"/>
    <n v="4"/>
  </r>
  <r>
    <x v="0"/>
    <x v="0"/>
    <x v="3"/>
    <x v="17"/>
    <x v="10"/>
    <x v="0"/>
    <x v="4"/>
    <n v="1"/>
  </r>
  <r>
    <x v="0"/>
    <x v="0"/>
    <x v="3"/>
    <x v="17"/>
    <x v="17"/>
    <x v="0"/>
    <x v="11"/>
    <n v="2"/>
  </r>
  <r>
    <x v="0"/>
    <x v="0"/>
    <x v="3"/>
    <x v="17"/>
    <x v="17"/>
    <x v="0"/>
    <x v="14"/>
    <n v="2"/>
  </r>
  <r>
    <x v="0"/>
    <x v="0"/>
    <x v="3"/>
    <x v="19"/>
    <x v="0"/>
    <x v="0"/>
    <x v="19"/>
    <n v="16"/>
  </r>
  <r>
    <x v="0"/>
    <x v="0"/>
    <x v="3"/>
    <x v="19"/>
    <x v="12"/>
    <x v="7"/>
    <x v="4"/>
    <n v="1"/>
  </r>
  <r>
    <x v="0"/>
    <x v="0"/>
    <x v="3"/>
    <x v="19"/>
    <x v="12"/>
    <x v="8"/>
    <x v="3"/>
    <n v="1"/>
  </r>
  <r>
    <x v="0"/>
    <x v="0"/>
    <x v="3"/>
    <x v="19"/>
    <x v="12"/>
    <x v="8"/>
    <x v="4"/>
    <n v="1"/>
  </r>
  <r>
    <x v="0"/>
    <x v="0"/>
    <x v="3"/>
    <x v="19"/>
    <x v="12"/>
    <x v="8"/>
    <x v="2"/>
    <n v="1"/>
  </r>
  <r>
    <x v="0"/>
    <x v="0"/>
    <x v="3"/>
    <x v="19"/>
    <x v="12"/>
    <x v="0"/>
    <x v="19"/>
    <n v="5"/>
  </r>
  <r>
    <x v="0"/>
    <x v="0"/>
    <x v="3"/>
    <x v="19"/>
    <x v="15"/>
    <x v="0"/>
    <x v="13"/>
    <n v="3"/>
  </r>
  <r>
    <x v="0"/>
    <x v="0"/>
    <x v="3"/>
    <x v="19"/>
    <x v="15"/>
    <x v="0"/>
    <x v="11"/>
    <n v="1"/>
  </r>
  <r>
    <x v="0"/>
    <x v="0"/>
    <x v="3"/>
    <x v="19"/>
    <x v="9"/>
    <x v="0"/>
    <x v="12"/>
    <n v="5"/>
  </r>
  <r>
    <x v="0"/>
    <x v="0"/>
    <x v="3"/>
    <x v="19"/>
    <x v="9"/>
    <x v="0"/>
    <x v="9"/>
    <n v="1"/>
  </r>
  <r>
    <x v="0"/>
    <x v="0"/>
    <x v="3"/>
    <x v="19"/>
    <x v="10"/>
    <x v="11"/>
    <x v="7"/>
    <n v="2"/>
  </r>
  <r>
    <x v="0"/>
    <x v="0"/>
    <x v="3"/>
    <x v="19"/>
    <x v="10"/>
    <x v="6"/>
    <x v="7"/>
    <n v="5"/>
  </r>
  <r>
    <x v="0"/>
    <x v="0"/>
    <x v="3"/>
    <x v="19"/>
    <x v="10"/>
    <x v="6"/>
    <x v="12"/>
    <n v="1"/>
  </r>
  <r>
    <x v="0"/>
    <x v="0"/>
    <x v="3"/>
    <x v="19"/>
    <x v="10"/>
    <x v="9"/>
    <x v="7"/>
    <n v="7"/>
  </r>
  <r>
    <x v="0"/>
    <x v="0"/>
    <x v="3"/>
    <x v="19"/>
    <x v="10"/>
    <x v="12"/>
    <x v="9"/>
    <n v="1"/>
  </r>
  <r>
    <x v="0"/>
    <x v="0"/>
    <x v="3"/>
    <x v="19"/>
    <x v="10"/>
    <x v="1"/>
    <x v="9"/>
    <n v="1"/>
  </r>
  <r>
    <x v="0"/>
    <x v="0"/>
    <x v="3"/>
    <x v="19"/>
    <x v="10"/>
    <x v="0"/>
    <x v="12"/>
    <n v="6"/>
  </r>
  <r>
    <x v="0"/>
    <x v="0"/>
    <x v="3"/>
    <x v="19"/>
    <x v="10"/>
    <x v="0"/>
    <x v="9"/>
    <n v="1"/>
  </r>
  <r>
    <x v="0"/>
    <x v="0"/>
    <x v="3"/>
    <x v="19"/>
    <x v="11"/>
    <x v="0"/>
    <x v="4"/>
    <n v="2"/>
  </r>
  <r>
    <x v="0"/>
    <x v="0"/>
    <x v="3"/>
    <x v="19"/>
    <x v="11"/>
    <x v="0"/>
    <x v="5"/>
    <n v="2"/>
  </r>
  <r>
    <x v="0"/>
    <x v="0"/>
    <x v="3"/>
    <x v="19"/>
    <x v="11"/>
    <x v="0"/>
    <x v="2"/>
    <n v="2"/>
  </r>
  <r>
    <x v="0"/>
    <x v="0"/>
    <x v="3"/>
    <x v="19"/>
    <x v="11"/>
    <x v="0"/>
    <x v="13"/>
    <n v="3"/>
  </r>
  <r>
    <x v="0"/>
    <x v="0"/>
    <x v="3"/>
    <x v="19"/>
    <x v="11"/>
    <x v="0"/>
    <x v="11"/>
    <n v="4"/>
  </r>
  <r>
    <x v="0"/>
    <x v="0"/>
    <x v="3"/>
    <x v="19"/>
    <x v="11"/>
    <x v="0"/>
    <x v="14"/>
    <n v="2"/>
  </r>
  <r>
    <x v="0"/>
    <x v="0"/>
    <x v="3"/>
    <x v="19"/>
    <x v="18"/>
    <x v="0"/>
    <x v="10"/>
    <n v="5"/>
  </r>
  <r>
    <x v="0"/>
    <x v="0"/>
    <x v="3"/>
    <x v="19"/>
    <x v="18"/>
    <x v="0"/>
    <x v="1"/>
    <n v="39"/>
  </r>
  <r>
    <x v="0"/>
    <x v="0"/>
    <x v="3"/>
    <x v="19"/>
    <x v="18"/>
    <x v="0"/>
    <x v="9"/>
    <n v="50"/>
  </r>
  <r>
    <x v="0"/>
    <x v="0"/>
    <x v="3"/>
    <x v="19"/>
    <x v="18"/>
    <x v="0"/>
    <x v="3"/>
    <n v="29"/>
  </r>
  <r>
    <x v="0"/>
    <x v="0"/>
    <x v="3"/>
    <x v="19"/>
    <x v="18"/>
    <x v="0"/>
    <x v="4"/>
    <n v="14"/>
  </r>
  <r>
    <x v="0"/>
    <x v="0"/>
    <x v="3"/>
    <x v="19"/>
    <x v="18"/>
    <x v="0"/>
    <x v="5"/>
    <n v="7"/>
  </r>
  <r>
    <x v="0"/>
    <x v="0"/>
    <x v="3"/>
    <x v="19"/>
    <x v="18"/>
    <x v="0"/>
    <x v="2"/>
    <n v="3"/>
  </r>
  <r>
    <x v="0"/>
    <x v="0"/>
    <x v="3"/>
    <x v="19"/>
    <x v="18"/>
    <x v="0"/>
    <x v="11"/>
    <n v="5"/>
  </r>
  <r>
    <x v="0"/>
    <x v="0"/>
    <x v="4"/>
    <x v="0"/>
    <x v="1"/>
    <x v="11"/>
    <x v="3"/>
    <n v="1"/>
  </r>
  <r>
    <x v="0"/>
    <x v="0"/>
    <x v="4"/>
    <x v="0"/>
    <x v="1"/>
    <x v="6"/>
    <x v="8"/>
    <n v="18"/>
  </r>
  <r>
    <x v="0"/>
    <x v="0"/>
    <x v="4"/>
    <x v="0"/>
    <x v="1"/>
    <x v="6"/>
    <x v="7"/>
    <n v="4"/>
  </r>
  <r>
    <x v="0"/>
    <x v="0"/>
    <x v="4"/>
    <x v="0"/>
    <x v="1"/>
    <x v="6"/>
    <x v="6"/>
    <n v="1"/>
  </r>
  <r>
    <x v="0"/>
    <x v="0"/>
    <x v="4"/>
    <x v="0"/>
    <x v="1"/>
    <x v="6"/>
    <x v="12"/>
    <n v="1"/>
  </r>
  <r>
    <x v="0"/>
    <x v="0"/>
    <x v="4"/>
    <x v="0"/>
    <x v="1"/>
    <x v="6"/>
    <x v="0"/>
    <n v="1"/>
  </r>
  <r>
    <x v="0"/>
    <x v="0"/>
    <x v="4"/>
    <x v="0"/>
    <x v="1"/>
    <x v="9"/>
    <x v="8"/>
    <n v="45"/>
  </r>
  <r>
    <x v="0"/>
    <x v="0"/>
    <x v="4"/>
    <x v="0"/>
    <x v="1"/>
    <x v="9"/>
    <x v="7"/>
    <n v="13"/>
  </r>
  <r>
    <x v="0"/>
    <x v="0"/>
    <x v="4"/>
    <x v="0"/>
    <x v="1"/>
    <x v="9"/>
    <x v="12"/>
    <n v="3"/>
  </r>
  <r>
    <x v="0"/>
    <x v="0"/>
    <x v="4"/>
    <x v="0"/>
    <x v="1"/>
    <x v="12"/>
    <x v="8"/>
    <n v="25"/>
  </r>
  <r>
    <x v="0"/>
    <x v="0"/>
    <x v="4"/>
    <x v="0"/>
    <x v="1"/>
    <x v="12"/>
    <x v="7"/>
    <n v="63"/>
  </r>
  <r>
    <x v="0"/>
    <x v="0"/>
    <x v="4"/>
    <x v="0"/>
    <x v="1"/>
    <x v="8"/>
    <x v="1"/>
    <n v="3"/>
  </r>
  <r>
    <x v="0"/>
    <x v="0"/>
    <x v="4"/>
    <x v="0"/>
    <x v="1"/>
    <x v="8"/>
    <x v="5"/>
    <n v="2"/>
  </r>
  <r>
    <x v="0"/>
    <x v="0"/>
    <x v="4"/>
    <x v="0"/>
    <x v="1"/>
    <x v="8"/>
    <x v="13"/>
    <n v="1"/>
  </r>
  <r>
    <x v="0"/>
    <x v="0"/>
    <x v="4"/>
    <x v="0"/>
    <x v="19"/>
    <x v="5"/>
    <x v="8"/>
    <n v="3"/>
  </r>
  <r>
    <x v="0"/>
    <x v="0"/>
    <x v="4"/>
    <x v="0"/>
    <x v="19"/>
    <x v="11"/>
    <x v="8"/>
    <n v="13"/>
  </r>
  <r>
    <x v="0"/>
    <x v="0"/>
    <x v="4"/>
    <x v="0"/>
    <x v="19"/>
    <x v="7"/>
    <x v="7"/>
    <n v="32"/>
  </r>
  <r>
    <x v="0"/>
    <x v="0"/>
    <x v="4"/>
    <x v="0"/>
    <x v="19"/>
    <x v="7"/>
    <x v="6"/>
    <n v="10"/>
  </r>
  <r>
    <x v="0"/>
    <x v="0"/>
    <x v="4"/>
    <x v="0"/>
    <x v="19"/>
    <x v="7"/>
    <x v="10"/>
    <n v="2"/>
  </r>
  <r>
    <x v="0"/>
    <x v="0"/>
    <x v="4"/>
    <x v="0"/>
    <x v="19"/>
    <x v="8"/>
    <x v="7"/>
    <n v="12"/>
  </r>
  <r>
    <x v="0"/>
    <x v="0"/>
    <x v="4"/>
    <x v="0"/>
    <x v="19"/>
    <x v="8"/>
    <x v="6"/>
    <n v="7"/>
  </r>
  <r>
    <x v="0"/>
    <x v="0"/>
    <x v="4"/>
    <x v="0"/>
    <x v="19"/>
    <x v="8"/>
    <x v="9"/>
    <n v="1"/>
  </r>
  <r>
    <x v="0"/>
    <x v="0"/>
    <x v="4"/>
    <x v="1"/>
    <x v="0"/>
    <x v="8"/>
    <x v="6"/>
    <n v="1"/>
  </r>
  <r>
    <x v="0"/>
    <x v="0"/>
    <x v="4"/>
    <x v="1"/>
    <x v="0"/>
    <x v="0"/>
    <x v="10"/>
    <n v="8"/>
  </r>
  <r>
    <x v="0"/>
    <x v="0"/>
    <x v="4"/>
    <x v="1"/>
    <x v="0"/>
    <x v="0"/>
    <x v="1"/>
    <n v="8"/>
  </r>
  <r>
    <x v="0"/>
    <x v="0"/>
    <x v="4"/>
    <x v="1"/>
    <x v="1"/>
    <x v="1"/>
    <x v="12"/>
    <n v="1"/>
  </r>
  <r>
    <x v="0"/>
    <x v="0"/>
    <x v="4"/>
    <x v="1"/>
    <x v="1"/>
    <x v="8"/>
    <x v="1"/>
    <n v="1"/>
  </r>
  <r>
    <x v="0"/>
    <x v="0"/>
    <x v="4"/>
    <x v="1"/>
    <x v="11"/>
    <x v="0"/>
    <x v="12"/>
    <n v="5"/>
  </r>
  <r>
    <x v="0"/>
    <x v="0"/>
    <x v="4"/>
    <x v="1"/>
    <x v="11"/>
    <x v="0"/>
    <x v="9"/>
    <n v="10"/>
  </r>
  <r>
    <x v="0"/>
    <x v="0"/>
    <x v="4"/>
    <x v="1"/>
    <x v="11"/>
    <x v="0"/>
    <x v="3"/>
    <n v="12"/>
  </r>
  <r>
    <x v="0"/>
    <x v="0"/>
    <x v="4"/>
    <x v="1"/>
    <x v="11"/>
    <x v="0"/>
    <x v="4"/>
    <n v="9"/>
  </r>
  <r>
    <x v="0"/>
    <x v="0"/>
    <x v="4"/>
    <x v="1"/>
    <x v="11"/>
    <x v="0"/>
    <x v="5"/>
    <n v="10"/>
  </r>
  <r>
    <x v="0"/>
    <x v="0"/>
    <x v="4"/>
    <x v="1"/>
    <x v="11"/>
    <x v="0"/>
    <x v="13"/>
    <n v="2"/>
  </r>
  <r>
    <x v="0"/>
    <x v="0"/>
    <x v="4"/>
    <x v="1"/>
    <x v="18"/>
    <x v="0"/>
    <x v="12"/>
    <n v="2"/>
  </r>
  <r>
    <x v="0"/>
    <x v="0"/>
    <x v="4"/>
    <x v="1"/>
    <x v="18"/>
    <x v="0"/>
    <x v="9"/>
    <n v="2"/>
  </r>
  <r>
    <x v="0"/>
    <x v="0"/>
    <x v="4"/>
    <x v="1"/>
    <x v="18"/>
    <x v="0"/>
    <x v="3"/>
    <n v="1"/>
  </r>
  <r>
    <x v="0"/>
    <x v="0"/>
    <x v="4"/>
    <x v="2"/>
    <x v="6"/>
    <x v="7"/>
    <x v="6"/>
    <n v="142"/>
  </r>
  <r>
    <x v="0"/>
    <x v="0"/>
    <x v="4"/>
    <x v="2"/>
    <x v="6"/>
    <x v="7"/>
    <x v="12"/>
    <n v="3"/>
  </r>
  <r>
    <x v="0"/>
    <x v="0"/>
    <x v="4"/>
    <x v="2"/>
    <x v="6"/>
    <x v="7"/>
    <x v="9"/>
    <n v="3"/>
  </r>
  <r>
    <x v="0"/>
    <x v="0"/>
    <x v="4"/>
    <x v="2"/>
    <x v="6"/>
    <x v="7"/>
    <x v="3"/>
    <n v="3"/>
  </r>
  <r>
    <x v="0"/>
    <x v="0"/>
    <x v="4"/>
    <x v="2"/>
    <x v="6"/>
    <x v="8"/>
    <x v="12"/>
    <n v="10"/>
  </r>
  <r>
    <x v="0"/>
    <x v="0"/>
    <x v="4"/>
    <x v="2"/>
    <x v="6"/>
    <x v="8"/>
    <x v="9"/>
    <n v="6"/>
  </r>
  <r>
    <x v="0"/>
    <x v="0"/>
    <x v="4"/>
    <x v="2"/>
    <x v="6"/>
    <x v="8"/>
    <x v="3"/>
    <n v="4"/>
  </r>
  <r>
    <x v="0"/>
    <x v="0"/>
    <x v="4"/>
    <x v="2"/>
    <x v="6"/>
    <x v="8"/>
    <x v="4"/>
    <n v="4"/>
  </r>
  <r>
    <x v="0"/>
    <x v="0"/>
    <x v="4"/>
    <x v="2"/>
    <x v="6"/>
    <x v="8"/>
    <x v="5"/>
    <n v="2"/>
  </r>
  <r>
    <x v="0"/>
    <x v="0"/>
    <x v="4"/>
    <x v="2"/>
    <x v="6"/>
    <x v="8"/>
    <x v="2"/>
    <n v="1"/>
  </r>
  <r>
    <x v="0"/>
    <x v="0"/>
    <x v="4"/>
    <x v="2"/>
    <x v="6"/>
    <x v="8"/>
    <x v="0"/>
    <n v="1"/>
  </r>
  <r>
    <x v="0"/>
    <x v="0"/>
    <x v="4"/>
    <x v="2"/>
    <x v="6"/>
    <x v="0"/>
    <x v="14"/>
    <n v="2"/>
  </r>
  <r>
    <x v="0"/>
    <x v="0"/>
    <x v="4"/>
    <x v="3"/>
    <x v="0"/>
    <x v="0"/>
    <x v="9"/>
    <n v="2"/>
  </r>
  <r>
    <x v="0"/>
    <x v="0"/>
    <x v="4"/>
    <x v="3"/>
    <x v="0"/>
    <x v="0"/>
    <x v="0"/>
    <n v="2"/>
  </r>
  <r>
    <x v="0"/>
    <x v="0"/>
    <x v="4"/>
    <x v="3"/>
    <x v="3"/>
    <x v="0"/>
    <x v="11"/>
    <n v="1"/>
  </r>
  <r>
    <x v="0"/>
    <x v="0"/>
    <x v="4"/>
    <x v="3"/>
    <x v="10"/>
    <x v="0"/>
    <x v="4"/>
    <n v="2"/>
  </r>
  <r>
    <x v="0"/>
    <x v="0"/>
    <x v="4"/>
    <x v="3"/>
    <x v="10"/>
    <x v="0"/>
    <x v="2"/>
    <n v="1"/>
  </r>
  <r>
    <x v="0"/>
    <x v="0"/>
    <x v="4"/>
    <x v="3"/>
    <x v="19"/>
    <x v="0"/>
    <x v="12"/>
    <n v="8"/>
  </r>
  <r>
    <x v="0"/>
    <x v="0"/>
    <x v="4"/>
    <x v="3"/>
    <x v="19"/>
    <x v="0"/>
    <x v="9"/>
    <n v="22"/>
  </r>
  <r>
    <x v="0"/>
    <x v="0"/>
    <x v="4"/>
    <x v="3"/>
    <x v="19"/>
    <x v="0"/>
    <x v="3"/>
    <n v="24"/>
  </r>
  <r>
    <x v="0"/>
    <x v="0"/>
    <x v="4"/>
    <x v="3"/>
    <x v="19"/>
    <x v="0"/>
    <x v="4"/>
    <n v="27"/>
  </r>
  <r>
    <x v="0"/>
    <x v="0"/>
    <x v="4"/>
    <x v="4"/>
    <x v="1"/>
    <x v="7"/>
    <x v="8"/>
    <n v="69"/>
  </r>
  <r>
    <x v="0"/>
    <x v="0"/>
    <x v="4"/>
    <x v="4"/>
    <x v="1"/>
    <x v="7"/>
    <x v="7"/>
    <n v="12"/>
  </r>
  <r>
    <x v="0"/>
    <x v="0"/>
    <x v="4"/>
    <x v="4"/>
    <x v="1"/>
    <x v="8"/>
    <x v="8"/>
    <n v="11"/>
  </r>
  <r>
    <x v="0"/>
    <x v="0"/>
    <x v="4"/>
    <x v="4"/>
    <x v="1"/>
    <x v="0"/>
    <x v="10"/>
    <n v="220"/>
  </r>
  <r>
    <x v="0"/>
    <x v="0"/>
    <x v="4"/>
    <x v="4"/>
    <x v="1"/>
    <x v="0"/>
    <x v="1"/>
    <n v="105"/>
  </r>
  <r>
    <x v="0"/>
    <x v="0"/>
    <x v="4"/>
    <x v="4"/>
    <x v="1"/>
    <x v="0"/>
    <x v="5"/>
    <n v="7"/>
  </r>
  <r>
    <x v="0"/>
    <x v="0"/>
    <x v="4"/>
    <x v="4"/>
    <x v="1"/>
    <x v="0"/>
    <x v="2"/>
    <n v="1"/>
  </r>
  <r>
    <x v="0"/>
    <x v="0"/>
    <x v="4"/>
    <x v="4"/>
    <x v="1"/>
    <x v="0"/>
    <x v="11"/>
    <n v="1"/>
  </r>
  <r>
    <x v="0"/>
    <x v="0"/>
    <x v="4"/>
    <x v="4"/>
    <x v="1"/>
    <x v="0"/>
    <x v="14"/>
    <n v="1"/>
  </r>
  <r>
    <x v="0"/>
    <x v="0"/>
    <x v="4"/>
    <x v="4"/>
    <x v="15"/>
    <x v="0"/>
    <x v="1"/>
    <n v="6"/>
  </r>
  <r>
    <x v="0"/>
    <x v="0"/>
    <x v="4"/>
    <x v="4"/>
    <x v="8"/>
    <x v="7"/>
    <x v="9"/>
    <n v="1"/>
  </r>
  <r>
    <x v="0"/>
    <x v="0"/>
    <x v="4"/>
    <x v="4"/>
    <x v="8"/>
    <x v="0"/>
    <x v="1"/>
    <n v="2"/>
  </r>
  <r>
    <x v="0"/>
    <x v="0"/>
    <x v="4"/>
    <x v="4"/>
    <x v="7"/>
    <x v="0"/>
    <x v="10"/>
    <n v="1"/>
  </r>
  <r>
    <x v="0"/>
    <x v="0"/>
    <x v="4"/>
    <x v="4"/>
    <x v="7"/>
    <x v="0"/>
    <x v="1"/>
    <n v="4"/>
  </r>
  <r>
    <x v="0"/>
    <x v="0"/>
    <x v="4"/>
    <x v="4"/>
    <x v="9"/>
    <x v="0"/>
    <x v="9"/>
    <n v="16"/>
  </r>
  <r>
    <x v="0"/>
    <x v="0"/>
    <x v="4"/>
    <x v="4"/>
    <x v="9"/>
    <x v="0"/>
    <x v="3"/>
    <n v="1"/>
  </r>
  <r>
    <x v="0"/>
    <x v="0"/>
    <x v="4"/>
    <x v="4"/>
    <x v="9"/>
    <x v="0"/>
    <x v="4"/>
    <n v="2"/>
  </r>
  <r>
    <x v="0"/>
    <x v="0"/>
    <x v="4"/>
    <x v="4"/>
    <x v="17"/>
    <x v="12"/>
    <x v="1"/>
    <n v="1"/>
  </r>
  <r>
    <x v="0"/>
    <x v="0"/>
    <x v="4"/>
    <x v="4"/>
    <x v="17"/>
    <x v="0"/>
    <x v="10"/>
    <n v="1"/>
  </r>
  <r>
    <x v="0"/>
    <x v="0"/>
    <x v="4"/>
    <x v="4"/>
    <x v="19"/>
    <x v="9"/>
    <x v="3"/>
    <n v="1"/>
  </r>
  <r>
    <x v="0"/>
    <x v="0"/>
    <x v="4"/>
    <x v="4"/>
    <x v="19"/>
    <x v="12"/>
    <x v="3"/>
    <n v="1"/>
  </r>
  <r>
    <x v="0"/>
    <x v="0"/>
    <x v="4"/>
    <x v="4"/>
    <x v="19"/>
    <x v="1"/>
    <x v="3"/>
    <n v="1"/>
  </r>
  <r>
    <x v="0"/>
    <x v="0"/>
    <x v="4"/>
    <x v="4"/>
    <x v="19"/>
    <x v="0"/>
    <x v="9"/>
    <n v="3"/>
  </r>
  <r>
    <x v="0"/>
    <x v="0"/>
    <x v="4"/>
    <x v="5"/>
    <x v="0"/>
    <x v="0"/>
    <x v="0"/>
    <n v="1"/>
  </r>
  <r>
    <x v="0"/>
    <x v="0"/>
    <x v="4"/>
    <x v="5"/>
    <x v="16"/>
    <x v="0"/>
    <x v="5"/>
    <n v="1"/>
  </r>
  <r>
    <x v="0"/>
    <x v="0"/>
    <x v="4"/>
    <x v="5"/>
    <x v="16"/>
    <x v="0"/>
    <x v="13"/>
    <n v="1"/>
  </r>
  <r>
    <x v="0"/>
    <x v="0"/>
    <x v="4"/>
    <x v="5"/>
    <x v="16"/>
    <x v="0"/>
    <x v="11"/>
    <n v="1"/>
  </r>
  <r>
    <x v="0"/>
    <x v="0"/>
    <x v="4"/>
    <x v="5"/>
    <x v="5"/>
    <x v="5"/>
    <x v="13"/>
    <n v="1"/>
  </r>
  <r>
    <x v="0"/>
    <x v="0"/>
    <x v="4"/>
    <x v="5"/>
    <x v="5"/>
    <x v="6"/>
    <x v="1"/>
    <n v="1"/>
  </r>
  <r>
    <x v="0"/>
    <x v="0"/>
    <x v="4"/>
    <x v="5"/>
    <x v="5"/>
    <x v="9"/>
    <x v="4"/>
    <n v="1"/>
  </r>
  <r>
    <x v="0"/>
    <x v="0"/>
    <x v="4"/>
    <x v="5"/>
    <x v="5"/>
    <x v="12"/>
    <x v="10"/>
    <n v="2"/>
  </r>
  <r>
    <x v="0"/>
    <x v="0"/>
    <x v="4"/>
    <x v="5"/>
    <x v="5"/>
    <x v="12"/>
    <x v="4"/>
    <n v="1"/>
  </r>
  <r>
    <x v="0"/>
    <x v="0"/>
    <x v="4"/>
    <x v="5"/>
    <x v="5"/>
    <x v="1"/>
    <x v="9"/>
    <n v="1"/>
  </r>
  <r>
    <x v="0"/>
    <x v="0"/>
    <x v="4"/>
    <x v="5"/>
    <x v="5"/>
    <x v="1"/>
    <x v="4"/>
    <n v="1"/>
  </r>
  <r>
    <x v="0"/>
    <x v="0"/>
    <x v="4"/>
    <x v="5"/>
    <x v="5"/>
    <x v="0"/>
    <x v="12"/>
    <n v="1"/>
  </r>
  <r>
    <x v="0"/>
    <x v="0"/>
    <x v="4"/>
    <x v="5"/>
    <x v="5"/>
    <x v="0"/>
    <x v="9"/>
    <n v="6"/>
  </r>
  <r>
    <x v="0"/>
    <x v="0"/>
    <x v="4"/>
    <x v="5"/>
    <x v="5"/>
    <x v="0"/>
    <x v="3"/>
    <n v="5"/>
  </r>
  <r>
    <x v="0"/>
    <x v="0"/>
    <x v="4"/>
    <x v="5"/>
    <x v="5"/>
    <x v="0"/>
    <x v="4"/>
    <n v="1"/>
  </r>
  <r>
    <x v="0"/>
    <x v="0"/>
    <x v="4"/>
    <x v="5"/>
    <x v="5"/>
    <x v="0"/>
    <x v="5"/>
    <n v="1"/>
  </r>
  <r>
    <x v="0"/>
    <x v="0"/>
    <x v="4"/>
    <x v="5"/>
    <x v="13"/>
    <x v="0"/>
    <x v="11"/>
    <n v="2"/>
  </r>
  <r>
    <x v="0"/>
    <x v="0"/>
    <x v="4"/>
    <x v="5"/>
    <x v="13"/>
    <x v="0"/>
    <x v="14"/>
    <n v="1"/>
  </r>
  <r>
    <x v="0"/>
    <x v="0"/>
    <x v="4"/>
    <x v="5"/>
    <x v="13"/>
    <x v="0"/>
    <x v="17"/>
    <n v="1"/>
  </r>
  <r>
    <x v="0"/>
    <x v="0"/>
    <x v="4"/>
    <x v="5"/>
    <x v="9"/>
    <x v="9"/>
    <x v="3"/>
    <n v="1"/>
  </r>
  <r>
    <x v="0"/>
    <x v="0"/>
    <x v="4"/>
    <x v="5"/>
    <x v="9"/>
    <x v="12"/>
    <x v="3"/>
    <n v="1"/>
  </r>
  <r>
    <x v="0"/>
    <x v="0"/>
    <x v="4"/>
    <x v="5"/>
    <x v="9"/>
    <x v="1"/>
    <x v="4"/>
    <n v="1"/>
  </r>
  <r>
    <x v="0"/>
    <x v="0"/>
    <x v="4"/>
    <x v="5"/>
    <x v="10"/>
    <x v="0"/>
    <x v="12"/>
    <n v="1"/>
  </r>
  <r>
    <x v="0"/>
    <x v="0"/>
    <x v="4"/>
    <x v="6"/>
    <x v="14"/>
    <x v="0"/>
    <x v="2"/>
    <n v="1"/>
  </r>
  <r>
    <x v="0"/>
    <x v="0"/>
    <x v="4"/>
    <x v="6"/>
    <x v="3"/>
    <x v="11"/>
    <x v="1"/>
    <n v="1"/>
  </r>
  <r>
    <x v="0"/>
    <x v="0"/>
    <x v="4"/>
    <x v="6"/>
    <x v="3"/>
    <x v="6"/>
    <x v="10"/>
    <n v="1"/>
  </r>
  <r>
    <x v="0"/>
    <x v="0"/>
    <x v="4"/>
    <x v="6"/>
    <x v="3"/>
    <x v="9"/>
    <x v="10"/>
    <n v="1"/>
  </r>
  <r>
    <x v="0"/>
    <x v="0"/>
    <x v="4"/>
    <x v="6"/>
    <x v="3"/>
    <x v="12"/>
    <x v="10"/>
    <n v="1"/>
  </r>
  <r>
    <x v="0"/>
    <x v="0"/>
    <x v="4"/>
    <x v="6"/>
    <x v="3"/>
    <x v="12"/>
    <x v="1"/>
    <n v="1"/>
  </r>
  <r>
    <x v="0"/>
    <x v="0"/>
    <x v="4"/>
    <x v="6"/>
    <x v="9"/>
    <x v="0"/>
    <x v="18"/>
    <n v="3"/>
  </r>
  <r>
    <x v="0"/>
    <x v="0"/>
    <x v="4"/>
    <x v="9"/>
    <x v="0"/>
    <x v="0"/>
    <x v="3"/>
    <n v="1"/>
  </r>
  <r>
    <x v="0"/>
    <x v="0"/>
    <x v="4"/>
    <x v="9"/>
    <x v="0"/>
    <x v="0"/>
    <x v="4"/>
    <n v="1"/>
  </r>
  <r>
    <x v="0"/>
    <x v="0"/>
    <x v="4"/>
    <x v="9"/>
    <x v="1"/>
    <x v="0"/>
    <x v="11"/>
    <n v="1"/>
  </r>
  <r>
    <x v="0"/>
    <x v="0"/>
    <x v="4"/>
    <x v="7"/>
    <x v="0"/>
    <x v="3"/>
    <x v="13"/>
    <n v="2"/>
  </r>
  <r>
    <x v="0"/>
    <x v="0"/>
    <x v="4"/>
    <x v="7"/>
    <x v="0"/>
    <x v="4"/>
    <x v="11"/>
    <n v="1"/>
  </r>
  <r>
    <x v="0"/>
    <x v="0"/>
    <x v="4"/>
    <x v="7"/>
    <x v="0"/>
    <x v="4"/>
    <x v="14"/>
    <n v="1"/>
  </r>
  <r>
    <x v="0"/>
    <x v="0"/>
    <x v="4"/>
    <x v="7"/>
    <x v="0"/>
    <x v="5"/>
    <x v="13"/>
    <n v="1"/>
  </r>
  <r>
    <x v="0"/>
    <x v="0"/>
    <x v="4"/>
    <x v="7"/>
    <x v="0"/>
    <x v="5"/>
    <x v="14"/>
    <n v="1"/>
  </r>
  <r>
    <x v="0"/>
    <x v="0"/>
    <x v="4"/>
    <x v="7"/>
    <x v="0"/>
    <x v="11"/>
    <x v="2"/>
    <n v="1"/>
  </r>
  <r>
    <x v="0"/>
    <x v="0"/>
    <x v="4"/>
    <x v="7"/>
    <x v="0"/>
    <x v="11"/>
    <x v="13"/>
    <n v="1"/>
  </r>
  <r>
    <x v="0"/>
    <x v="0"/>
    <x v="4"/>
    <x v="7"/>
    <x v="0"/>
    <x v="6"/>
    <x v="9"/>
    <n v="1"/>
  </r>
  <r>
    <x v="0"/>
    <x v="0"/>
    <x v="4"/>
    <x v="7"/>
    <x v="0"/>
    <x v="6"/>
    <x v="4"/>
    <n v="1"/>
  </r>
  <r>
    <x v="0"/>
    <x v="0"/>
    <x v="4"/>
    <x v="7"/>
    <x v="0"/>
    <x v="9"/>
    <x v="3"/>
    <n v="1"/>
  </r>
  <r>
    <x v="0"/>
    <x v="0"/>
    <x v="4"/>
    <x v="7"/>
    <x v="5"/>
    <x v="0"/>
    <x v="4"/>
    <n v="1"/>
  </r>
  <r>
    <x v="0"/>
    <x v="0"/>
    <x v="4"/>
    <x v="7"/>
    <x v="5"/>
    <x v="0"/>
    <x v="2"/>
    <n v="3"/>
  </r>
  <r>
    <x v="0"/>
    <x v="0"/>
    <x v="4"/>
    <x v="7"/>
    <x v="8"/>
    <x v="0"/>
    <x v="11"/>
    <n v="1"/>
  </r>
  <r>
    <x v="0"/>
    <x v="0"/>
    <x v="4"/>
    <x v="7"/>
    <x v="6"/>
    <x v="9"/>
    <x v="1"/>
    <n v="1"/>
  </r>
  <r>
    <x v="0"/>
    <x v="0"/>
    <x v="4"/>
    <x v="7"/>
    <x v="6"/>
    <x v="1"/>
    <x v="10"/>
    <n v="2"/>
  </r>
  <r>
    <x v="0"/>
    <x v="0"/>
    <x v="4"/>
    <x v="7"/>
    <x v="6"/>
    <x v="0"/>
    <x v="10"/>
    <n v="9"/>
  </r>
  <r>
    <x v="0"/>
    <x v="0"/>
    <x v="4"/>
    <x v="7"/>
    <x v="6"/>
    <x v="0"/>
    <x v="1"/>
    <n v="8"/>
  </r>
  <r>
    <x v="0"/>
    <x v="0"/>
    <x v="4"/>
    <x v="8"/>
    <x v="12"/>
    <x v="0"/>
    <x v="0"/>
    <n v="1"/>
  </r>
  <r>
    <x v="0"/>
    <x v="0"/>
    <x v="4"/>
    <x v="8"/>
    <x v="1"/>
    <x v="0"/>
    <x v="5"/>
    <n v="1"/>
  </r>
  <r>
    <x v="0"/>
    <x v="0"/>
    <x v="4"/>
    <x v="8"/>
    <x v="1"/>
    <x v="0"/>
    <x v="2"/>
    <n v="2"/>
  </r>
  <r>
    <x v="0"/>
    <x v="0"/>
    <x v="4"/>
    <x v="8"/>
    <x v="1"/>
    <x v="0"/>
    <x v="13"/>
    <n v="3"/>
  </r>
  <r>
    <x v="0"/>
    <x v="0"/>
    <x v="4"/>
    <x v="8"/>
    <x v="1"/>
    <x v="0"/>
    <x v="11"/>
    <n v="2"/>
  </r>
  <r>
    <x v="0"/>
    <x v="0"/>
    <x v="4"/>
    <x v="8"/>
    <x v="14"/>
    <x v="7"/>
    <x v="7"/>
    <n v="1"/>
  </r>
  <r>
    <x v="0"/>
    <x v="0"/>
    <x v="4"/>
    <x v="8"/>
    <x v="14"/>
    <x v="8"/>
    <x v="7"/>
    <n v="1"/>
  </r>
  <r>
    <x v="0"/>
    <x v="0"/>
    <x v="4"/>
    <x v="8"/>
    <x v="14"/>
    <x v="8"/>
    <x v="6"/>
    <n v="1"/>
  </r>
  <r>
    <x v="0"/>
    <x v="0"/>
    <x v="4"/>
    <x v="8"/>
    <x v="8"/>
    <x v="0"/>
    <x v="1"/>
    <n v="1"/>
  </r>
  <r>
    <x v="0"/>
    <x v="0"/>
    <x v="4"/>
    <x v="8"/>
    <x v="10"/>
    <x v="0"/>
    <x v="3"/>
    <n v="2"/>
  </r>
  <r>
    <x v="0"/>
    <x v="0"/>
    <x v="4"/>
    <x v="8"/>
    <x v="10"/>
    <x v="0"/>
    <x v="4"/>
    <n v="1"/>
  </r>
  <r>
    <x v="0"/>
    <x v="0"/>
    <x v="4"/>
    <x v="11"/>
    <x v="12"/>
    <x v="0"/>
    <x v="0"/>
    <n v="2"/>
  </r>
  <r>
    <x v="0"/>
    <x v="0"/>
    <x v="4"/>
    <x v="11"/>
    <x v="8"/>
    <x v="12"/>
    <x v="1"/>
    <n v="1"/>
  </r>
  <r>
    <x v="0"/>
    <x v="0"/>
    <x v="4"/>
    <x v="11"/>
    <x v="8"/>
    <x v="7"/>
    <x v="7"/>
    <n v="1"/>
  </r>
  <r>
    <x v="0"/>
    <x v="0"/>
    <x v="4"/>
    <x v="11"/>
    <x v="8"/>
    <x v="1"/>
    <x v="10"/>
    <n v="3"/>
  </r>
  <r>
    <x v="0"/>
    <x v="0"/>
    <x v="4"/>
    <x v="11"/>
    <x v="8"/>
    <x v="1"/>
    <x v="1"/>
    <n v="1"/>
  </r>
  <r>
    <x v="0"/>
    <x v="0"/>
    <x v="4"/>
    <x v="11"/>
    <x v="8"/>
    <x v="1"/>
    <x v="13"/>
    <n v="1"/>
  </r>
  <r>
    <x v="0"/>
    <x v="0"/>
    <x v="4"/>
    <x v="11"/>
    <x v="8"/>
    <x v="0"/>
    <x v="10"/>
    <n v="3"/>
  </r>
  <r>
    <x v="0"/>
    <x v="0"/>
    <x v="4"/>
    <x v="11"/>
    <x v="8"/>
    <x v="0"/>
    <x v="1"/>
    <n v="2"/>
  </r>
  <r>
    <x v="0"/>
    <x v="0"/>
    <x v="4"/>
    <x v="11"/>
    <x v="7"/>
    <x v="0"/>
    <x v="5"/>
    <n v="2"/>
  </r>
  <r>
    <x v="0"/>
    <x v="0"/>
    <x v="4"/>
    <x v="11"/>
    <x v="7"/>
    <x v="0"/>
    <x v="2"/>
    <n v="2"/>
  </r>
  <r>
    <x v="0"/>
    <x v="0"/>
    <x v="4"/>
    <x v="11"/>
    <x v="7"/>
    <x v="0"/>
    <x v="13"/>
    <n v="4"/>
  </r>
  <r>
    <x v="0"/>
    <x v="0"/>
    <x v="4"/>
    <x v="11"/>
    <x v="7"/>
    <x v="0"/>
    <x v="14"/>
    <n v="1"/>
  </r>
  <r>
    <x v="0"/>
    <x v="0"/>
    <x v="4"/>
    <x v="11"/>
    <x v="10"/>
    <x v="0"/>
    <x v="4"/>
    <n v="2"/>
  </r>
  <r>
    <x v="0"/>
    <x v="0"/>
    <x v="4"/>
    <x v="11"/>
    <x v="10"/>
    <x v="0"/>
    <x v="5"/>
    <n v="3"/>
  </r>
  <r>
    <x v="0"/>
    <x v="0"/>
    <x v="4"/>
    <x v="11"/>
    <x v="10"/>
    <x v="0"/>
    <x v="2"/>
    <n v="1"/>
  </r>
  <r>
    <x v="0"/>
    <x v="0"/>
    <x v="4"/>
    <x v="11"/>
    <x v="10"/>
    <x v="0"/>
    <x v="0"/>
    <n v="4"/>
  </r>
  <r>
    <x v="0"/>
    <x v="0"/>
    <x v="4"/>
    <x v="11"/>
    <x v="10"/>
    <x v="0"/>
    <x v="18"/>
    <n v="2"/>
  </r>
  <r>
    <x v="0"/>
    <x v="0"/>
    <x v="4"/>
    <x v="11"/>
    <x v="11"/>
    <x v="0"/>
    <x v="11"/>
    <n v="1"/>
  </r>
  <r>
    <x v="0"/>
    <x v="0"/>
    <x v="4"/>
    <x v="11"/>
    <x v="18"/>
    <x v="0"/>
    <x v="2"/>
    <n v="1"/>
  </r>
  <r>
    <x v="0"/>
    <x v="0"/>
    <x v="4"/>
    <x v="11"/>
    <x v="18"/>
    <x v="0"/>
    <x v="14"/>
    <n v="1"/>
  </r>
  <r>
    <x v="0"/>
    <x v="0"/>
    <x v="4"/>
    <x v="12"/>
    <x v="12"/>
    <x v="11"/>
    <x v="7"/>
    <n v="3"/>
  </r>
  <r>
    <x v="0"/>
    <x v="0"/>
    <x v="4"/>
    <x v="12"/>
    <x v="12"/>
    <x v="9"/>
    <x v="7"/>
    <n v="6"/>
  </r>
  <r>
    <x v="0"/>
    <x v="0"/>
    <x v="4"/>
    <x v="12"/>
    <x v="12"/>
    <x v="12"/>
    <x v="8"/>
    <n v="1"/>
  </r>
  <r>
    <x v="0"/>
    <x v="0"/>
    <x v="4"/>
    <x v="12"/>
    <x v="12"/>
    <x v="12"/>
    <x v="7"/>
    <n v="5"/>
  </r>
  <r>
    <x v="0"/>
    <x v="0"/>
    <x v="4"/>
    <x v="12"/>
    <x v="12"/>
    <x v="8"/>
    <x v="1"/>
    <n v="1"/>
  </r>
  <r>
    <x v="0"/>
    <x v="0"/>
    <x v="4"/>
    <x v="12"/>
    <x v="4"/>
    <x v="0"/>
    <x v="1"/>
    <n v="5"/>
  </r>
  <r>
    <x v="0"/>
    <x v="0"/>
    <x v="4"/>
    <x v="12"/>
    <x v="17"/>
    <x v="0"/>
    <x v="12"/>
    <n v="1"/>
  </r>
  <r>
    <x v="0"/>
    <x v="0"/>
    <x v="4"/>
    <x v="12"/>
    <x v="17"/>
    <x v="0"/>
    <x v="9"/>
    <n v="1"/>
  </r>
  <r>
    <x v="0"/>
    <x v="0"/>
    <x v="4"/>
    <x v="13"/>
    <x v="16"/>
    <x v="12"/>
    <x v="5"/>
    <n v="1"/>
  </r>
  <r>
    <x v="0"/>
    <x v="0"/>
    <x v="4"/>
    <x v="13"/>
    <x v="16"/>
    <x v="12"/>
    <x v="13"/>
    <n v="1"/>
  </r>
  <r>
    <x v="0"/>
    <x v="0"/>
    <x v="4"/>
    <x v="13"/>
    <x v="16"/>
    <x v="7"/>
    <x v="12"/>
    <n v="2"/>
  </r>
  <r>
    <x v="0"/>
    <x v="0"/>
    <x v="4"/>
    <x v="13"/>
    <x v="16"/>
    <x v="1"/>
    <x v="1"/>
    <n v="1"/>
  </r>
  <r>
    <x v="0"/>
    <x v="0"/>
    <x v="4"/>
    <x v="13"/>
    <x v="16"/>
    <x v="1"/>
    <x v="4"/>
    <n v="1"/>
  </r>
  <r>
    <x v="0"/>
    <x v="0"/>
    <x v="4"/>
    <x v="13"/>
    <x v="16"/>
    <x v="0"/>
    <x v="10"/>
    <n v="35"/>
  </r>
  <r>
    <x v="0"/>
    <x v="0"/>
    <x v="4"/>
    <x v="13"/>
    <x v="16"/>
    <x v="0"/>
    <x v="1"/>
    <n v="55"/>
  </r>
  <r>
    <x v="0"/>
    <x v="0"/>
    <x v="4"/>
    <x v="13"/>
    <x v="16"/>
    <x v="0"/>
    <x v="3"/>
    <n v="8"/>
  </r>
  <r>
    <x v="0"/>
    <x v="0"/>
    <x v="4"/>
    <x v="13"/>
    <x v="16"/>
    <x v="0"/>
    <x v="4"/>
    <n v="4"/>
  </r>
  <r>
    <x v="0"/>
    <x v="0"/>
    <x v="4"/>
    <x v="13"/>
    <x v="16"/>
    <x v="0"/>
    <x v="5"/>
    <n v="4"/>
  </r>
  <r>
    <x v="0"/>
    <x v="0"/>
    <x v="4"/>
    <x v="13"/>
    <x v="16"/>
    <x v="0"/>
    <x v="2"/>
    <n v="2"/>
  </r>
  <r>
    <x v="0"/>
    <x v="0"/>
    <x v="4"/>
    <x v="13"/>
    <x v="1"/>
    <x v="0"/>
    <x v="9"/>
    <n v="12"/>
  </r>
  <r>
    <x v="0"/>
    <x v="0"/>
    <x v="4"/>
    <x v="13"/>
    <x v="1"/>
    <x v="0"/>
    <x v="3"/>
    <n v="152"/>
  </r>
  <r>
    <x v="0"/>
    <x v="0"/>
    <x v="4"/>
    <x v="17"/>
    <x v="7"/>
    <x v="0"/>
    <x v="10"/>
    <n v="2"/>
  </r>
  <r>
    <x v="0"/>
    <x v="0"/>
    <x v="5"/>
    <x v="2"/>
    <x v="0"/>
    <x v="4"/>
    <x v="11"/>
    <n v="1"/>
  </r>
  <r>
    <x v="0"/>
    <x v="0"/>
    <x v="5"/>
    <x v="2"/>
    <x v="0"/>
    <x v="4"/>
    <x v="14"/>
    <n v="1"/>
  </r>
  <r>
    <x v="0"/>
    <x v="0"/>
    <x v="5"/>
    <x v="2"/>
    <x v="0"/>
    <x v="5"/>
    <x v="11"/>
    <n v="1"/>
  </r>
  <r>
    <x v="0"/>
    <x v="0"/>
    <x v="5"/>
    <x v="2"/>
    <x v="0"/>
    <x v="8"/>
    <x v="17"/>
    <n v="1"/>
  </r>
  <r>
    <x v="0"/>
    <x v="0"/>
    <x v="5"/>
    <x v="2"/>
    <x v="12"/>
    <x v="0"/>
    <x v="19"/>
    <n v="2"/>
  </r>
  <r>
    <x v="0"/>
    <x v="0"/>
    <x v="5"/>
    <x v="2"/>
    <x v="6"/>
    <x v="12"/>
    <x v="13"/>
    <n v="1"/>
  </r>
  <r>
    <x v="0"/>
    <x v="0"/>
    <x v="5"/>
    <x v="2"/>
    <x v="6"/>
    <x v="12"/>
    <x v="11"/>
    <n v="1"/>
  </r>
  <r>
    <x v="0"/>
    <x v="0"/>
    <x v="5"/>
    <x v="2"/>
    <x v="10"/>
    <x v="7"/>
    <x v="19"/>
    <n v="22"/>
  </r>
  <r>
    <x v="0"/>
    <x v="0"/>
    <x v="5"/>
    <x v="2"/>
    <x v="10"/>
    <x v="1"/>
    <x v="18"/>
    <n v="2"/>
  </r>
  <r>
    <x v="0"/>
    <x v="0"/>
    <x v="5"/>
    <x v="2"/>
    <x v="10"/>
    <x v="8"/>
    <x v="17"/>
    <n v="1"/>
  </r>
  <r>
    <x v="0"/>
    <x v="0"/>
    <x v="5"/>
    <x v="2"/>
    <x v="10"/>
    <x v="8"/>
    <x v="19"/>
    <n v="24"/>
  </r>
  <r>
    <x v="0"/>
    <x v="0"/>
    <x v="5"/>
    <x v="2"/>
    <x v="10"/>
    <x v="0"/>
    <x v="18"/>
    <n v="2"/>
  </r>
  <r>
    <x v="0"/>
    <x v="0"/>
    <x v="5"/>
    <x v="3"/>
    <x v="6"/>
    <x v="1"/>
    <x v="18"/>
    <n v="1"/>
  </r>
  <r>
    <x v="0"/>
    <x v="0"/>
    <x v="5"/>
    <x v="4"/>
    <x v="18"/>
    <x v="10"/>
    <x v="19"/>
    <n v="5"/>
  </r>
  <r>
    <x v="0"/>
    <x v="0"/>
    <x v="5"/>
    <x v="4"/>
    <x v="18"/>
    <x v="3"/>
    <x v="19"/>
    <n v="3"/>
  </r>
  <r>
    <x v="0"/>
    <x v="0"/>
    <x v="5"/>
    <x v="4"/>
    <x v="18"/>
    <x v="4"/>
    <x v="17"/>
    <n v="1"/>
  </r>
  <r>
    <x v="0"/>
    <x v="0"/>
    <x v="5"/>
    <x v="4"/>
    <x v="18"/>
    <x v="4"/>
    <x v="19"/>
    <n v="2"/>
  </r>
  <r>
    <x v="0"/>
    <x v="0"/>
    <x v="5"/>
    <x v="4"/>
    <x v="18"/>
    <x v="5"/>
    <x v="19"/>
    <n v="5"/>
  </r>
  <r>
    <x v="0"/>
    <x v="0"/>
    <x v="5"/>
    <x v="4"/>
    <x v="18"/>
    <x v="11"/>
    <x v="19"/>
    <n v="2"/>
  </r>
  <r>
    <x v="0"/>
    <x v="0"/>
    <x v="5"/>
    <x v="4"/>
    <x v="18"/>
    <x v="6"/>
    <x v="19"/>
    <n v="2"/>
  </r>
  <r>
    <x v="0"/>
    <x v="0"/>
    <x v="5"/>
    <x v="4"/>
    <x v="18"/>
    <x v="9"/>
    <x v="19"/>
    <n v="4"/>
  </r>
  <r>
    <x v="0"/>
    <x v="0"/>
    <x v="5"/>
    <x v="4"/>
    <x v="18"/>
    <x v="12"/>
    <x v="13"/>
    <n v="1"/>
  </r>
  <r>
    <x v="0"/>
    <x v="0"/>
    <x v="5"/>
    <x v="5"/>
    <x v="8"/>
    <x v="2"/>
    <x v="19"/>
    <n v="18"/>
  </r>
  <r>
    <x v="0"/>
    <x v="0"/>
    <x v="5"/>
    <x v="5"/>
    <x v="8"/>
    <x v="10"/>
    <x v="17"/>
    <n v="1"/>
  </r>
  <r>
    <x v="0"/>
    <x v="0"/>
    <x v="5"/>
    <x v="5"/>
    <x v="8"/>
    <x v="3"/>
    <x v="14"/>
    <n v="1"/>
  </r>
  <r>
    <x v="0"/>
    <x v="0"/>
    <x v="5"/>
    <x v="5"/>
    <x v="8"/>
    <x v="9"/>
    <x v="0"/>
    <n v="2"/>
  </r>
  <r>
    <x v="0"/>
    <x v="0"/>
    <x v="5"/>
    <x v="5"/>
    <x v="8"/>
    <x v="9"/>
    <x v="18"/>
    <n v="1"/>
  </r>
  <r>
    <x v="0"/>
    <x v="0"/>
    <x v="5"/>
    <x v="5"/>
    <x v="8"/>
    <x v="12"/>
    <x v="0"/>
    <n v="1"/>
  </r>
  <r>
    <x v="0"/>
    <x v="0"/>
    <x v="5"/>
    <x v="5"/>
    <x v="8"/>
    <x v="12"/>
    <x v="18"/>
    <n v="2"/>
  </r>
  <r>
    <x v="0"/>
    <x v="0"/>
    <x v="5"/>
    <x v="5"/>
    <x v="8"/>
    <x v="7"/>
    <x v="17"/>
    <n v="1"/>
  </r>
  <r>
    <x v="0"/>
    <x v="0"/>
    <x v="5"/>
    <x v="5"/>
    <x v="8"/>
    <x v="7"/>
    <x v="19"/>
    <n v="25"/>
  </r>
  <r>
    <x v="0"/>
    <x v="0"/>
    <x v="5"/>
    <x v="5"/>
    <x v="8"/>
    <x v="1"/>
    <x v="18"/>
    <n v="1"/>
  </r>
  <r>
    <x v="0"/>
    <x v="0"/>
    <x v="5"/>
    <x v="5"/>
    <x v="8"/>
    <x v="8"/>
    <x v="17"/>
    <n v="1"/>
  </r>
  <r>
    <x v="0"/>
    <x v="0"/>
    <x v="5"/>
    <x v="5"/>
    <x v="8"/>
    <x v="8"/>
    <x v="19"/>
    <n v="17"/>
  </r>
  <r>
    <x v="0"/>
    <x v="0"/>
    <x v="5"/>
    <x v="5"/>
    <x v="8"/>
    <x v="0"/>
    <x v="0"/>
    <n v="1"/>
  </r>
  <r>
    <x v="0"/>
    <x v="0"/>
    <x v="5"/>
    <x v="5"/>
    <x v="8"/>
    <x v="0"/>
    <x v="18"/>
    <n v="2"/>
  </r>
  <r>
    <x v="0"/>
    <x v="0"/>
    <x v="5"/>
    <x v="5"/>
    <x v="6"/>
    <x v="19"/>
    <x v="18"/>
    <n v="4"/>
  </r>
  <r>
    <x v="0"/>
    <x v="0"/>
    <x v="5"/>
    <x v="5"/>
    <x v="6"/>
    <x v="13"/>
    <x v="17"/>
    <n v="4"/>
  </r>
  <r>
    <x v="0"/>
    <x v="0"/>
    <x v="5"/>
    <x v="5"/>
    <x v="11"/>
    <x v="3"/>
    <x v="19"/>
    <n v="1"/>
  </r>
  <r>
    <x v="0"/>
    <x v="0"/>
    <x v="5"/>
    <x v="5"/>
    <x v="11"/>
    <x v="4"/>
    <x v="17"/>
    <n v="1"/>
  </r>
  <r>
    <x v="0"/>
    <x v="0"/>
    <x v="5"/>
    <x v="5"/>
    <x v="11"/>
    <x v="5"/>
    <x v="14"/>
    <n v="1"/>
  </r>
  <r>
    <x v="0"/>
    <x v="0"/>
    <x v="5"/>
    <x v="6"/>
    <x v="15"/>
    <x v="7"/>
    <x v="19"/>
    <n v="1"/>
  </r>
  <r>
    <x v="0"/>
    <x v="0"/>
    <x v="5"/>
    <x v="6"/>
    <x v="15"/>
    <x v="8"/>
    <x v="19"/>
    <n v="3"/>
  </r>
  <r>
    <x v="0"/>
    <x v="0"/>
    <x v="5"/>
    <x v="6"/>
    <x v="15"/>
    <x v="0"/>
    <x v="18"/>
    <n v="2"/>
  </r>
  <r>
    <x v="0"/>
    <x v="0"/>
    <x v="5"/>
    <x v="9"/>
    <x v="1"/>
    <x v="8"/>
    <x v="19"/>
    <n v="1"/>
  </r>
  <r>
    <x v="0"/>
    <x v="0"/>
    <x v="5"/>
    <x v="9"/>
    <x v="1"/>
    <x v="0"/>
    <x v="0"/>
    <n v="1"/>
  </r>
  <r>
    <x v="0"/>
    <x v="0"/>
    <x v="5"/>
    <x v="9"/>
    <x v="1"/>
    <x v="0"/>
    <x v="18"/>
    <n v="1"/>
  </r>
  <r>
    <x v="0"/>
    <x v="0"/>
    <x v="5"/>
    <x v="8"/>
    <x v="13"/>
    <x v="19"/>
    <x v="18"/>
    <n v="1"/>
  </r>
  <r>
    <x v="0"/>
    <x v="0"/>
    <x v="5"/>
    <x v="8"/>
    <x v="13"/>
    <x v="14"/>
    <x v="17"/>
    <n v="3"/>
  </r>
  <r>
    <x v="0"/>
    <x v="0"/>
    <x v="5"/>
    <x v="8"/>
    <x v="13"/>
    <x v="14"/>
    <x v="19"/>
    <n v="21"/>
  </r>
  <r>
    <x v="0"/>
    <x v="0"/>
    <x v="5"/>
    <x v="8"/>
    <x v="13"/>
    <x v="13"/>
    <x v="11"/>
    <n v="6"/>
  </r>
  <r>
    <x v="0"/>
    <x v="0"/>
    <x v="5"/>
    <x v="8"/>
    <x v="13"/>
    <x v="13"/>
    <x v="14"/>
    <n v="2"/>
  </r>
  <r>
    <x v="0"/>
    <x v="0"/>
    <x v="5"/>
    <x v="8"/>
    <x v="13"/>
    <x v="13"/>
    <x v="17"/>
    <n v="5"/>
  </r>
  <r>
    <x v="0"/>
    <x v="0"/>
    <x v="5"/>
    <x v="8"/>
    <x v="13"/>
    <x v="2"/>
    <x v="13"/>
    <n v="3"/>
  </r>
  <r>
    <x v="0"/>
    <x v="0"/>
    <x v="5"/>
    <x v="8"/>
    <x v="13"/>
    <x v="2"/>
    <x v="11"/>
    <n v="1"/>
  </r>
  <r>
    <x v="0"/>
    <x v="0"/>
    <x v="5"/>
    <x v="8"/>
    <x v="13"/>
    <x v="10"/>
    <x v="2"/>
    <n v="1"/>
  </r>
  <r>
    <x v="0"/>
    <x v="0"/>
    <x v="5"/>
    <x v="8"/>
    <x v="13"/>
    <x v="10"/>
    <x v="18"/>
    <n v="1"/>
  </r>
  <r>
    <x v="0"/>
    <x v="0"/>
    <x v="5"/>
    <x v="8"/>
    <x v="13"/>
    <x v="3"/>
    <x v="2"/>
    <n v="2"/>
  </r>
  <r>
    <x v="0"/>
    <x v="0"/>
    <x v="5"/>
    <x v="8"/>
    <x v="13"/>
    <x v="3"/>
    <x v="0"/>
    <n v="1"/>
  </r>
  <r>
    <x v="0"/>
    <x v="0"/>
    <x v="5"/>
    <x v="8"/>
    <x v="13"/>
    <x v="3"/>
    <x v="18"/>
    <n v="2"/>
  </r>
  <r>
    <x v="0"/>
    <x v="0"/>
    <x v="5"/>
    <x v="8"/>
    <x v="13"/>
    <x v="4"/>
    <x v="0"/>
    <n v="1"/>
  </r>
  <r>
    <x v="0"/>
    <x v="0"/>
    <x v="5"/>
    <x v="8"/>
    <x v="13"/>
    <x v="4"/>
    <x v="18"/>
    <n v="3"/>
  </r>
  <r>
    <x v="0"/>
    <x v="0"/>
    <x v="5"/>
    <x v="8"/>
    <x v="13"/>
    <x v="5"/>
    <x v="0"/>
    <n v="1"/>
  </r>
  <r>
    <x v="0"/>
    <x v="0"/>
    <x v="5"/>
    <x v="8"/>
    <x v="13"/>
    <x v="5"/>
    <x v="18"/>
    <n v="1"/>
  </r>
  <r>
    <x v="0"/>
    <x v="0"/>
    <x v="5"/>
    <x v="8"/>
    <x v="13"/>
    <x v="11"/>
    <x v="0"/>
    <n v="2"/>
  </r>
  <r>
    <x v="0"/>
    <x v="0"/>
    <x v="5"/>
    <x v="8"/>
    <x v="13"/>
    <x v="12"/>
    <x v="0"/>
    <n v="1"/>
  </r>
  <r>
    <x v="0"/>
    <x v="0"/>
    <x v="5"/>
    <x v="8"/>
    <x v="13"/>
    <x v="7"/>
    <x v="11"/>
    <n v="1"/>
  </r>
  <r>
    <x v="0"/>
    <x v="0"/>
    <x v="5"/>
    <x v="8"/>
    <x v="7"/>
    <x v="17"/>
    <x v="19"/>
    <n v="81"/>
  </r>
  <r>
    <x v="0"/>
    <x v="0"/>
    <x v="5"/>
    <x v="8"/>
    <x v="7"/>
    <x v="16"/>
    <x v="19"/>
    <n v="55"/>
  </r>
  <r>
    <x v="0"/>
    <x v="0"/>
    <x v="5"/>
    <x v="8"/>
    <x v="18"/>
    <x v="15"/>
    <x v="19"/>
    <n v="513"/>
  </r>
  <r>
    <x v="0"/>
    <x v="0"/>
    <x v="5"/>
    <x v="8"/>
    <x v="18"/>
    <x v="14"/>
    <x v="19"/>
    <n v="393"/>
  </r>
  <r>
    <x v="0"/>
    <x v="0"/>
    <x v="5"/>
    <x v="8"/>
    <x v="18"/>
    <x v="13"/>
    <x v="19"/>
    <n v="338"/>
  </r>
  <r>
    <x v="0"/>
    <x v="0"/>
    <x v="5"/>
    <x v="10"/>
    <x v="16"/>
    <x v="4"/>
    <x v="11"/>
    <n v="1"/>
  </r>
  <r>
    <x v="0"/>
    <x v="0"/>
    <x v="5"/>
    <x v="10"/>
    <x v="16"/>
    <x v="4"/>
    <x v="14"/>
    <n v="1"/>
  </r>
  <r>
    <x v="0"/>
    <x v="0"/>
    <x v="5"/>
    <x v="11"/>
    <x v="0"/>
    <x v="7"/>
    <x v="11"/>
    <n v="1"/>
  </r>
  <r>
    <x v="0"/>
    <x v="0"/>
    <x v="5"/>
    <x v="12"/>
    <x v="5"/>
    <x v="5"/>
    <x v="0"/>
    <n v="1"/>
  </r>
  <r>
    <x v="0"/>
    <x v="0"/>
    <x v="5"/>
    <x v="12"/>
    <x v="5"/>
    <x v="11"/>
    <x v="18"/>
    <n v="1"/>
  </r>
  <r>
    <x v="0"/>
    <x v="0"/>
    <x v="5"/>
    <x v="12"/>
    <x v="5"/>
    <x v="6"/>
    <x v="18"/>
    <n v="1"/>
  </r>
  <r>
    <x v="0"/>
    <x v="0"/>
    <x v="5"/>
    <x v="12"/>
    <x v="19"/>
    <x v="7"/>
    <x v="19"/>
    <n v="6"/>
  </r>
  <r>
    <x v="0"/>
    <x v="0"/>
    <x v="4"/>
    <x v="13"/>
    <x v="1"/>
    <x v="0"/>
    <x v="4"/>
    <n v="228"/>
  </r>
  <r>
    <x v="0"/>
    <x v="0"/>
    <x v="4"/>
    <x v="13"/>
    <x v="13"/>
    <x v="0"/>
    <x v="10"/>
    <n v="6"/>
  </r>
  <r>
    <x v="0"/>
    <x v="0"/>
    <x v="4"/>
    <x v="13"/>
    <x v="13"/>
    <x v="0"/>
    <x v="1"/>
    <n v="3"/>
  </r>
  <r>
    <x v="0"/>
    <x v="0"/>
    <x v="4"/>
    <x v="13"/>
    <x v="13"/>
    <x v="0"/>
    <x v="2"/>
    <n v="1"/>
  </r>
  <r>
    <x v="0"/>
    <x v="0"/>
    <x v="4"/>
    <x v="13"/>
    <x v="13"/>
    <x v="0"/>
    <x v="14"/>
    <n v="1"/>
  </r>
  <r>
    <x v="0"/>
    <x v="0"/>
    <x v="4"/>
    <x v="13"/>
    <x v="14"/>
    <x v="0"/>
    <x v="5"/>
    <n v="2"/>
  </r>
  <r>
    <x v="0"/>
    <x v="0"/>
    <x v="4"/>
    <x v="13"/>
    <x v="14"/>
    <x v="0"/>
    <x v="14"/>
    <n v="1"/>
  </r>
  <r>
    <x v="0"/>
    <x v="0"/>
    <x v="4"/>
    <x v="13"/>
    <x v="6"/>
    <x v="6"/>
    <x v="2"/>
    <n v="1"/>
  </r>
  <r>
    <x v="0"/>
    <x v="0"/>
    <x v="4"/>
    <x v="13"/>
    <x v="9"/>
    <x v="0"/>
    <x v="12"/>
    <n v="1"/>
  </r>
  <r>
    <x v="0"/>
    <x v="0"/>
    <x v="4"/>
    <x v="13"/>
    <x v="9"/>
    <x v="0"/>
    <x v="9"/>
    <n v="2"/>
  </r>
  <r>
    <x v="0"/>
    <x v="0"/>
    <x v="4"/>
    <x v="13"/>
    <x v="9"/>
    <x v="0"/>
    <x v="3"/>
    <n v="3"/>
  </r>
  <r>
    <x v="0"/>
    <x v="0"/>
    <x v="4"/>
    <x v="13"/>
    <x v="17"/>
    <x v="3"/>
    <x v="2"/>
    <n v="1"/>
  </r>
  <r>
    <x v="0"/>
    <x v="0"/>
    <x v="4"/>
    <x v="13"/>
    <x v="17"/>
    <x v="4"/>
    <x v="10"/>
    <n v="1"/>
  </r>
  <r>
    <x v="0"/>
    <x v="0"/>
    <x v="4"/>
    <x v="13"/>
    <x v="17"/>
    <x v="4"/>
    <x v="4"/>
    <n v="3"/>
  </r>
  <r>
    <x v="0"/>
    <x v="0"/>
    <x v="4"/>
    <x v="13"/>
    <x v="17"/>
    <x v="4"/>
    <x v="5"/>
    <n v="2"/>
  </r>
  <r>
    <x v="0"/>
    <x v="0"/>
    <x v="4"/>
    <x v="13"/>
    <x v="17"/>
    <x v="4"/>
    <x v="2"/>
    <n v="2"/>
  </r>
  <r>
    <x v="0"/>
    <x v="0"/>
    <x v="4"/>
    <x v="13"/>
    <x v="17"/>
    <x v="4"/>
    <x v="13"/>
    <n v="2"/>
  </r>
  <r>
    <x v="0"/>
    <x v="0"/>
    <x v="4"/>
    <x v="13"/>
    <x v="17"/>
    <x v="4"/>
    <x v="11"/>
    <n v="2"/>
  </r>
  <r>
    <x v="0"/>
    <x v="0"/>
    <x v="4"/>
    <x v="13"/>
    <x v="17"/>
    <x v="5"/>
    <x v="6"/>
    <n v="1"/>
  </r>
  <r>
    <x v="0"/>
    <x v="0"/>
    <x v="4"/>
    <x v="13"/>
    <x v="17"/>
    <x v="5"/>
    <x v="4"/>
    <n v="1"/>
  </r>
  <r>
    <x v="0"/>
    <x v="0"/>
    <x v="4"/>
    <x v="13"/>
    <x v="17"/>
    <x v="5"/>
    <x v="5"/>
    <n v="4"/>
  </r>
  <r>
    <x v="0"/>
    <x v="0"/>
    <x v="4"/>
    <x v="13"/>
    <x v="17"/>
    <x v="5"/>
    <x v="2"/>
    <n v="3"/>
  </r>
  <r>
    <x v="0"/>
    <x v="0"/>
    <x v="4"/>
    <x v="13"/>
    <x v="17"/>
    <x v="5"/>
    <x v="13"/>
    <n v="2"/>
  </r>
  <r>
    <x v="0"/>
    <x v="0"/>
    <x v="4"/>
    <x v="13"/>
    <x v="17"/>
    <x v="5"/>
    <x v="11"/>
    <n v="3"/>
  </r>
  <r>
    <x v="0"/>
    <x v="0"/>
    <x v="4"/>
    <x v="13"/>
    <x v="17"/>
    <x v="11"/>
    <x v="3"/>
    <n v="2"/>
  </r>
  <r>
    <x v="0"/>
    <x v="0"/>
    <x v="4"/>
    <x v="13"/>
    <x v="17"/>
    <x v="11"/>
    <x v="4"/>
    <n v="4"/>
  </r>
  <r>
    <x v="0"/>
    <x v="0"/>
    <x v="4"/>
    <x v="13"/>
    <x v="17"/>
    <x v="11"/>
    <x v="5"/>
    <n v="2"/>
  </r>
  <r>
    <x v="0"/>
    <x v="0"/>
    <x v="4"/>
    <x v="13"/>
    <x v="17"/>
    <x v="11"/>
    <x v="2"/>
    <n v="4"/>
  </r>
  <r>
    <x v="0"/>
    <x v="0"/>
    <x v="4"/>
    <x v="13"/>
    <x v="17"/>
    <x v="11"/>
    <x v="13"/>
    <n v="3"/>
  </r>
  <r>
    <x v="0"/>
    <x v="0"/>
    <x v="4"/>
    <x v="13"/>
    <x v="17"/>
    <x v="11"/>
    <x v="11"/>
    <n v="2"/>
  </r>
  <r>
    <x v="0"/>
    <x v="0"/>
    <x v="4"/>
    <x v="13"/>
    <x v="17"/>
    <x v="6"/>
    <x v="9"/>
    <n v="2"/>
  </r>
  <r>
    <x v="0"/>
    <x v="0"/>
    <x v="4"/>
    <x v="13"/>
    <x v="17"/>
    <x v="6"/>
    <x v="4"/>
    <n v="1"/>
  </r>
  <r>
    <x v="0"/>
    <x v="0"/>
    <x v="4"/>
    <x v="13"/>
    <x v="17"/>
    <x v="6"/>
    <x v="5"/>
    <n v="3"/>
  </r>
  <r>
    <x v="0"/>
    <x v="0"/>
    <x v="4"/>
    <x v="13"/>
    <x v="17"/>
    <x v="6"/>
    <x v="2"/>
    <n v="4"/>
  </r>
  <r>
    <x v="0"/>
    <x v="0"/>
    <x v="4"/>
    <x v="13"/>
    <x v="17"/>
    <x v="6"/>
    <x v="13"/>
    <n v="3"/>
  </r>
  <r>
    <x v="0"/>
    <x v="0"/>
    <x v="4"/>
    <x v="13"/>
    <x v="17"/>
    <x v="9"/>
    <x v="12"/>
    <n v="1"/>
  </r>
  <r>
    <x v="0"/>
    <x v="0"/>
    <x v="4"/>
    <x v="13"/>
    <x v="17"/>
    <x v="9"/>
    <x v="9"/>
    <n v="3"/>
  </r>
  <r>
    <x v="0"/>
    <x v="0"/>
    <x v="4"/>
    <x v="13"/>
    <x v="17"/>
    <x v="9"/>
    <x v="3"/>
    <n v="1"/>
  </r>
  <r>
    <x v="0"/>
    <x v="0"/>
    <x v="4"/>
    <x v="13"/>
    <x v="17"/>
    <x v="9"/>
    <x v="5"/>
    <n v="1"/>
  </r>
  <r>
    <x v="0"/>
    <x v="0"/>
    <x v="4"/>
    <x v="13"/>
    <x v="17"/>
    <x v="12"/>
    <x v="4"/>
    <n v="1"/>
  </r>
  <r>
    <x v="0"/>
    <x v="0"/>
    <x v="4"/>
    <x v="13"/>
    <x v="17"/>
    <x v="12"/>
    <x v="0"/>
    <n v="1"/>
  </r>
  <r>
    <x v="0"/>
    <x v="0"/>
    <x v="4"/>
    <x v="13"/>
    <x v="17"/>
    <x v="12"/>
    <x v="18"/>
    <n v="1"/>
  </r>
  <r>
    <x v="0"/>
    <x v="0"/>
    <x v="4"/>
    <x v="13"/>
    <x v="17"/>
    <x v="7"/>
    <x v="13"/>
    <n v="2"/>
  </r>
  <r>
    <x v="0"/>
    <x v="0"/>
    <x v="4"/>
    <x v="13"/>
    <x v="17"/>
    <x v="8"/>
    <x v="11"/>
    <n v="1"/>
  </r>
  <r>
    <x v="0"/>
    <x v="0"/>
    <x v="4"/>
    <x v="13"/>
    <x v="17"/>
    <x v="0"/>
    <x v="0"/>
    <n v="1"/>
  </r>
  <r>
    <x v="0"/>
    <x v="0"/>
    <x v="4"/>
    <x v="14"/>
    <x v="16"/>
    <x v="4"/>
    <x v="15"/>
    <n v="2"/>
  </r>
  <r>
    <x v="0"/>
    <x v="0"/>
    <x v="4"/>
    <x v="14"/>
    <x v="16"/>
    <x v="5"/>
    <x v="15"/>
    <n v="149"/>
  </r>
  <r>
    <x v="0"/>
    <x v="0"/>
    <x v="4"/>
    <x v="14"/>
    <x v="16"/>
    <x v="11"/>
    <x v="1"/>
    <n v="29"/>
  </r>
  <r>
    <x v="0"/>
    <x v="0"/>
    <x v="4"/>
    <x v="14"/>
    <x v="16"/>
    <x v="11"/>
    <x v="13"/>
    <n v="1"/>
  </r>
  <r>
    <x v="0"/>
    <x v="0"/>
    <x v="4"/>
    <x v="14"/>
    <x v="16"/>
    <x v="11"/>
    <x v="11"/>
    <n v="1"/>
  </r>
  <r>
    <x v="0"/>
    <x v="0"/>
    <x v="4"/>
    <x v="14"/>
    <x v="16"/>
    <x v="6"/>
    <x v="1"/>
    <n v="24"/>
  </r>
  <r>
    <x v="0"/>
    <x v="0"/>
    <x v="4"/>
    <x v="14"/>
    <x v="16"/>
    <x v="6"/>
    <x v="13"/>
    <n v="1"/>
  </r>
  <r>
    <x v="0"/>
    <x v="0"/>
    <x v="4"/>
    <x v="14"/>
    <x v="16"/>
    <x v="6"/>
    <x v="11"/>
    <n v="1"/>
  </r>
  <r>
    <x v="0"/>
    <x v="0"/>
    <x v="4"/>
    <x v="14"/>
    <x v="16"/>
    <x v="9"/>
    <x v="10"/>
    <n v="45"/>
  </r>
  <r>
    <x v="0"/>
    <x v="0"/>
    <x v="4"/>
    <x v="14"/>
    <x v="16"/>
    <x v="9"/>
    <x v="1"/>
    <n v="20"/>
  </r>
  <r>
    <x v="0"/>
    <x v="0"/>
    <x v="4"/>
    <x v="14"/>
    <x v="16"/>
    <x v="9"/>
    <x v="5"/>
    <n v="2"/>
  </r>
  <r>
    <x v="0"/>
    <x v="0"/>
    <x v="4"/>
    <x v="14"/>
    <x v="16"/>
    <x v="12"/>
    <x v="10"/>
    <n v="43"/>
  </r>
  <r>
    <x v="0"/>
    <x v="0"/>
    <x v="4"/>
    <x v="14"/>
    <x v="16"/>
    <x v="12"/>
    <x v="1"/>
    <n v="23"/>
  </r>
  <r>
    <x v="0"/>
    <x v="0"/>
    <x v="4"/>
    <x v="14"/>
    <x v="16"/>
    <x v="12"/>
    <x v="4"/>
    <n v="3"/>
  </r>
  <r>
    <x v="0"/>
    <x v="0"/>
    <x v="4"/>
    <x v="14"/>
    <x v="16"/>
    <x v="1"/>
    <x v="6"/>
    <n v="35"/>
  </r>
  <r>
    <x v="0"/>
    <x v="0"/>
    <x v="4"/>
    <x v="14"/>
    <x v="16"/>
    <x v="1"/>
    <x v="10"/>
    <n v="20"/>
  </r>
  <r>
    <x v="0"/>
    <x v="0"/>
    <x v="4"/>
    <x v="14"/>
    <x v="16"/>
    <x v="1"/>
    <x v="1"/>
    <n v="11"/>
  </r>
  <r>
    <x v="0"/>
    <x v="0"/>
    <x v="4"/>
    <x v="14"/>
    <x v="16"/>
    <x v="1"/>
    <x v="3"/>
    <n v="1"/>
  </r>
  <r>
    <x v="0"/>
    <x v="0"/>
    <x v="4"/>
    <x v="14"/>
    <x v="16"/>
    <x v="1"/>
    <x v="5"/>
    <n v="1"/>
  </r>
  <r>
    <x v="0"/>
    <x v="0"/>
    <x v="4"/>
    <x v="14"/>
    <x v="16"/>
    <x v="0"/>
    <x v="6"/>
    <n v="13"/>
  </r>
  <r>
    <x v="0"/>
    <x v="0"/>
    <x v="4"/>
    <x v="14"/>
    <x v="16"/>
    <x v="0"/>
    <x v="10"/>
    <n v="19"/>
  </r>
  <r>
    <x v="0"/>
    <x v="0"/>
    <x v="4"/>
    <x v="14"/>
    <x v="16"/>
    <x v="0"/>
    <x v="1"/>
    <n v="18"/>
  </r>
  <r>
    <x v="0"/>
    <x v="0"/>
    <x v="4"/>
    <x v="14"/>
    <x v="16"/>
    <x v="0"/>
    <x v="9"/>
    <n v="9"/>
  </r>
  <r>
    <x v="0"/>
    <x v="0"/>
    <x v="4"/>
    <x v="14"/>
    <x v="16"/>
    <x v="0"/>
    <x v="3"/>
    <n v="9"/>
  </r>
  <r>
    <x v="0"/>
    <x v="0"/>
    <x v="4"/>
    <x v="14"/>
    <x v="16"/>
    <x v="0"/>
    <x v="4"/>
    <n v="9"/>
  </r>
  <r>
    <x v="0"/>
    <x v="0"/>
    <x v="4"/>
    <x v="14"/>
    <x v="16"/>
    <x v="0"/>
    <x v="5"/>
    <n v="2"/>
  </r>
  <r>
    <x v="0"/>
    <x v="0"/>
    <x v="4"/>
    <x v="14"/>
    <x v="5"/>
    <x v="0"/>
    <x v="0"/>
    <n v="1"/>
  </r>
  <r>
    <x v="0"/>
    <x v="0"/>
    <x v="4"/>
    <x v="14"/>
    <x v="18"/>
    <x v="0"/>
    <x v="3"/>
    <n v="1"/>
  </r>
  <r>
    <x v="0"/>
    <x v="0"/>
    <x v="4"/>
    <x v="18"/>
    <x v="14"/>
    <x v="8"/>
    <x v="19"/>
    <n v="2"/>
  </r>
  <r>
    <x v="0"/>
    <x v="0"/>
    <x v="4"/>
    <x v="18"/>
    <x v="14"/>
    <x v="0"/>
    <x v="3"/>
    <n v="43"/>
  </r>
  <r>
    <x v="0"/>
    <x v="0"/>
    <x v="4"/>
    <x v="18"/>
    <x v="14"/>
    <x v="0"/>
    <x v="4"/>
    <n v="10"/>
  </r>
  <r>
    <x v="0"/>
    <x v="0"/>
    <x v="4"/>
    <x v="18"/>
    <x v="14"/>
    <x v="0"/>
    <x v="5"/>
    <n v="2"/>
  </r>
  <r>
    <x v="0"/>
    <x v="0"/>
    <x v="4"/>
    <x v="18"/>
    <x v="14"/>
    <x v="0"/>
    <x v="13"/>
    <n v="6"/>
  </r>
  <r>
    <x v="0"/>
    <x v="0"/>
    <x v="4"/>
    <x v="18"/>
    <x v="14"/>
    <x v="0"/>
    <x v="11"/>
    <n v="8"/>
  </r>
  <r>
    <x v="0"/>
    <x v="0"/>
    <x v="4"/>
    <x v="18"/>
    <x v="14"/>
    <x v="0"/>
    <x v="14"/>
    <n v="4"/>
  </r>
  <r>
    <x v="0"/>
    <x v="0"/>
    <x v="4"/>
    <x v="18"/>
    <x v="14"/>
    <x v="0"/>
    <x v="18"/>
    <n v="5"/>
  </r>
  <r>
    <x v="0"/>
    <x v="0"/>
    <x v="4"/>
    <x v="18"/>
    <x v="15"/>
    <x v="0"/>
    <x v="13"/>
    <n v="1"/>
  </r>
  <r>
    <x v="0"/>
    <x v="0"/>
    <x v="4"/>
    <x v="18"/>
    <x v="6"/>
    <x v="0"/>
    <x v="4"/>
    <n v="1"/>
  </r>
  <r>
    <x v="0"/>
    <x v="0"/>
    <x v="4"/>
    <x v="15"/>
    <x v="2"/>
    <x v="0"/>
    <x v="9"/>
    <n v="2"/>
  </r>
  <r>
    <x v="0"/>
    <x v="0"/>
    <x v="4"/>
    <x v="15"/>
    <x v="2"/>
    <x v="0"/>
    <x v="3"/>
    <n v="2"/>
  </r>
  <r>
    <x v="0"/>
    <x v="0"/>
    <x v="4"/>
    <x v="15"/>
    <x v="8"/>
    <x v="0"/>
    <x v="11"/>
    <n v="1"/>
  </r>
  <r>
    <x v="0"/>
    <x v="0"/>
    <x v="4"/>
    <x v="15"/>
    <x v="18"/>
    <x v="9"/>
    <x v="9"/>
    <n v="1"/>
  </r>
  <r>
    <x v="0"/>
    <x v="0"/>
    <x v="4"/>
    <x v="15"/>
    <x v="18"/>
    <x v="7"/>
    <x v="1"/>
    <n v="1"/>
  </r>
  <r>
    <x v="0"/>
    <x v="0"/>
    <x v="4"/>
    <x v="15"/>
    <x v="18"/>
    <x v="8"/>
    <x v="10"/>
    <n v="3"/>
  </r>
  <r>
    <x v="0"/>
    <x v="0"/>
    <x v="4"/>
    <x v="15"/>
    <x v="19"/>
    <x v="0"/>
    <x v="5"/>
    <n v="1"/>
  </r>
  <r>
    <x v="0"/>
    <x v="0"/>
    <x v="4"/>
    <x v="16"/>
    <x v="8"/>
    <x v="0"/>
    <x v="18"/>
    <n v="1"/>
  </r>
  <r>
    <x v="0"/>
    <x v="0"/>
    <x v="4"/>
    <x v="17"/>
    <x v="12"/>
    <x v="5"/>
    <x v="17"/>
    <n v="1"/>
  </r>
  <r>
    <x v="0"/>
    <x v="0"/>
    <x v="4"/>
    <x v="17"/>
    <x v="12"/>
    <x v="11"/>
    <x v="5"/>
    <n v="1"/>
  </r>
  <r>
    <x v="0"/>
    <x v="0"/>
    <x v="4"/>
    <x v="17"/>
    <x v="12"/>
    <x v="11"/>
    <x v="2"/>
    <n v="1"/>
  </r>
  <r>
    <x v="0"/>
    <x v="0"/>
    <x v="4"/>
    <x v="17"/>
    <x v="12"/>
    <x v="11"/>
    <x v="11"/>
    <n v="1"/>
  </r>
  <r>
    <x v="0"/>
    <x v="0"/>
    <x v="4"/>
    <x v="17"/>
    <x v="12"/>
    <x v="6"/>
    <x v="5"/>
    <n v="2"/>
  </r>
  <r>
    <x v="0"/>
    <x v="0"/>
    <x v="4"/>
    <x v="17"/>
    <x v="12"/>
    <x v="6"/>
    <x v="2"/>
    <n v="2"/>
  </r>
  <r>
    <x v="0"/>
    <x v="0"/>
    <x v="4"/>
    <x v="17"/>
    <x v="12"/>
    <x v="6"/>
    <x v="13"/>
    <n v="2"/>
  </r>
  <r>
    <x v="0"/>
    <x v="0"/>
    <x v="4"/>
    <x v="17"/>
    <x v="12"/>
    <x v="6"/>
    <x v="17"/>
    <n v="1"/>
  </r>
  <r>
    <x v="0"/>
    <x v="0"/>
    <x v="4"/>
    <x v="17"/>
    <x v="12"/>
    <x v="9"/>
    <x v="4"/>
    <n v="1"/>
  </r>
  <r>
    <x v="0"/>
    <x v="0"/>
    <x v="4"/>
    <x v="17"/>
    <x v="12"/>
    <x v="9"/>
    <x v="5"/>
    <n v="2"/>
  </r>
  <r>
    <x v="0"/>
    <x v="0"/>
    <x v="4"/>
    <x v="17"/>
    <x v="12"/>
    <x v="9"/>
    <x v="2"/>
    <n v="2"/>
  </r>
  <r>
    <x v="0"/>
    <x v="0"/>
    <x v="4"/>
    <x v="17"/>
    <x v="12"/>
    <x v="9"/>
    <x v="13"/>
    <n v="4"/>
  </r>
  <r>
    <x v="0"/>
    <x v="0"/>
    <x v="4"/>
    <x v="17"/>
    <x v="12"/>
    <x v="9"/>
    <x v="11"/>
    <n v="2"/>
  </r>
  <r>
    <x v="0"/>
    <x v="0"/>
    <x v="4"/>
    <x v="17"/>
    <x v="12"/>
    <x v="12"/>
    <x v="3"/>
    <n v="1"/>
  </r>
  <r>
    <x v="0"/>
    <x v="0"/>
    <x v="4"/>
    <x v="17"/>
    <x v="12"/>
    <x v="12"/>
    <x v="4"/>
    <n v="1"/>
  </r>
  <r>
    <x v="0"/>
    <x v="0"/>
    <x v="4"/>
    <x v="17"/>
    <x v="12"/>
    <x v="12"/>
    <x v="5"/>
    <n v="2"/>
  </r>
  <r>
    <x v="0"/>
    <x v="0"/>
    <x v="4"/>
    <x v="17"/>
    <x v="12"/>
    <x v="12"/>
    <x v="2"/>
    <n v="2"/>
  </r>
  <r>
    <x v="0"/>
    <x v="0"/>
    <x v="4"/>
    <x v="17"/>
    <x v="12"/>
    <x v="12"/>
    <x v="13"/>
    <n v="1"/>
  </r>
  <r>
    <x v="0"/>
    <x v="0"/>
    <x v="4"/>
    <x v="17"/>
    <x v="12"/>
    <x v="12"/>
    <x v="11"/>
    <n v="2"/>
  </r>
  <r>
    <x v="0"/>
    <x v="0"/>
    <x v="4"/>
    <x v="17"/>
    <x v="12"/>
    <x v="7"/>
    <x v="19"/>
    <n v="1"/>
  </r>
  <r>
    <x v="0"/>
    <x v="0"/>
    <x v="4"/>
    <x v="17"/>
    <x v="12"/>
    <x v="1"/>
    <x v="3"/>
    <n v="1"/>
  </r>
  <r>
    <x v="0"/>
    <x v="0"/>
    <x v="4"/>
    <x v="17"/>
    <x v="12"/>
    <x v="1"/>
    <x v="4"/>
    <n v="1"/>
  </r>
  <r>
    <x v="0"/>
    <x v="0"/>
    <x v="4"/>
    <x v="17"/>
    <x v="12"/>
    <x v="1"/>
    <x v="2"/>
    <n v="2"/>
  </r>
  <r>
    <x v="0"/>
    <x v="0"/>
    <x v="4"/>
    <x v="17"/>
    <x v="12"/>
    <x v="1"/>
    <x v="13"/>
    <n v="3"/>
  </r>
  <r>
    <x v="0"/>
    <x v="0"/>
    <x v="4"/>
    <x v="17"/>
    <x v="12"/>
    <x v="0"/>
    <x v="9"/>
    <n v="1"/>
  </r>
  <r>
    <x v="0"/>
    <x v="0"/>
    <x v="4"/>
    <x v="17"/>
    <x v="12"/>
    <x v="0"/>
    <x v="3"/>
    <n v="2"/>
  </r>
  <r>
    <x v="0"/>
    <x v="0"/>
    <x v="4"/>
    <x v="17"/>
    <x v="12"/>
    <x v="0"/>
    <x v="2"/>
    <n v="4"/>
  </r>
  <r>
    <x v="0"/>
    <x v="0"/>
    <x v="4"/>
    <x v="17"/>
    <x v="12"/>
    <x v="0"/>
    <x v="0"/>
    <n v="1"/>
  </r>
  <r>
    <x v="0"/>
    <x v="0"/>
    <x v="4"/>
    <x v="17"/>
    <x v="12"/>
    <x v="0"/>
    <x v="18"/>
    <n v="4"/>
  </r>
  <r>
    <x v="0"/>
    <x v="0"/>
    <x v="4"/>
    <x v="17"/>
    <x v="2"/>
    <x v="12"/>
    <x v="18"/>
    <n v="1"/>
  </r>
  <r>
    <x v="0"/>
    <x v="0"/>
    <x v="4"/>
    <x v="17"/>
    <x v="2"/>
    <x v="7"/>
    <x v="11"/>
    <n v="1"/>
  </r>
  <r>
    <x v="0"/>
    <x v="0"/>
    <x v="4"/>
    <x v="17"/>
    <x v="2"/>
    <x v="1"/>
    <x v="0"/>
    <n v="1"/>
  </r>
  <r>
    <x v="0"/>
    <x v="0"/>
    <x v="4"/>
    <x v="17"/>
    <x v="13"/>
    <x v="0"/>
    <x v="19"/>
    <n v="1"/>
  </r>
  <r>
    <x v="0"/>
    <x v="0"/>
    <x v="4"/>
    <x v="17"/>
    <x v="3"/>
    <x v="0"/>
    <x v="2"/>
    <n v="4"/>
  </r>
  <r>
    <x v="0"/>
    <x v="0"/>
    <x v="4"/>
    <x v="17"/>
    <x v="3"/>
    <x v="0"/>
    <x v="13"/>
    <n v="5"/>
  </r>
  <r>
    <x v="0"/>
    <x v="0"/>
    <x v="4"/>
    <x v="17"/>
    <x v="3"/>
    <x v="0"/>
    <x v="11"/>
    <n v="5"/>
  </r>
  <r>
    <x v="0"/>
    <x v="0"/>
    <x v="4"/>
    <x v="17"/>
    <x v="3"/>
    <x v="0"/>
    <x v="14"/>
    <n v="3"/>
  </r>
  <r>
    <x v="0"/>
    <x v="0"/>
    <x v="4"/>
    <x v="17"/>
    <x v="3"/>
    <x v="0"/>
    <x v="17"/>
    <n v="1"/>
  </r>
  <r>
    <x v="0"/>
    <x v="0"/>
    <x v="4"/>
    <x v="17"/>
    <x v="7"/>
    <x v="0"/>
    <x v="5"/>
    <n v="1"/>
  </r>
  <r>
    <x v="0"/>
    <x v="0"/>
    <x v="4"/>
    <x v="17"/>
    <x v="7"/>
    <x v="0"/>
    <x v="2"/>
    <n v="1"/>
  </r>
  <r>
    <x v="0"/>
    <x v="0"/>
    <x v="4"/>
    <x v="17"/>
    <x v="7"/>
    <x v="0"/>
    <x v="14"/>
    <n v="2"/>
  </r>
  <r>
    <x v="0"/>
    <x v="0"/>
    <x v="4"/>
    <x v="17"/>
    <x v="6"/>
    <x v="0"/>
    <x v="1"/>
    <n v="54"/>
  </r>
  <r>
    <x v="0"/>
    <x v="0"/>
    <x v="4"/>
    <x v="17"/>
    <x v="6"/>
    <x v="0"/>
    <x v="4"/>
    <n v="15"/>
  </r>
  <r>
    <x v="0"/>
    <x v="0"/>
    <x v="4"/>
    <x v="17"/>
    <x v="6"/>
    <x v="0"/>
    <x v="5"/>
    <n v="2"/>
  </r>
  <r>
    <x v="0"/>
    <x v="0"/>
    <x v="4"/>
    <x v="17"/>
    <x v="6"/>
    <x v="0"/>
    <x v="2"/>
    <n v="2"/>
  </r>
  <r>
    <x v="0"/>
    <x v="0"/>
    <x v="4"/>
    <x v="17"/>
    <x v="6"/>
    <x v="0"/>
    <x v="11"/>
    <n v="1"/>
  </r>
  <r>
    <x v="0"/>
    <x v="0"/>
    <x v="4"/>
    <x v="17"/>
    <x v="19"/>
    <x v="1"/>
    <x v="12"/>
    <n v="1"/>
  </r>
  <r>
    <x v="0"/>
    <x v="0"/>
    <x v="4"/>
    <x v="17"/>
    <x v="19"/>
    <x v="0"/>
    <x v="10"/>
    <n v="1"/>
  </r>
  <r>
    <x v="0"/>
    <x v="0"/>
    <x v="4"/>
    <x v="17"/>
    <x v="19"/>
    <x v="0"/>
    <x v="1"/>
    <n v="4"/>
  </r>
  <r>
    <x v="0"/>
    <x v="0"/>
    <x v="4"/>
    <x v="17"/>
    <x v="19"/>
    <x v="0"/>
    <x v="12"/>
    <n v="6"/>
  </r>
  <r>
    <x v="0"/>
    <x v="0"/>
    <x v="4"/>
    <x v="17"/>
    <x v="19"/>
    <x v="0"/>
    <x v="9"/>
    <n v="6"/>
  </r>
  <r>
    <x v="0"/>
    <x v="0"/>
    <x v="4"/>
    <x v="17"/>
    <x v="19"/>
    <x v="0"/>
    <x v="3"/>
    <n v="3"/>
  </r>
  <r>
    <x v="0"/>
    <x v="0"/>
    <x v="4"/>
    <x v="17"/>
    <x v="19"/>
    <x v="0"/>
    <x v="5"/>
    <n v="1"/>
  </r>
  <r>
    <x v="0"/>
    <x v="0"/>
    <x v="4"/>
    <x v="17"/>
    <x v="19"/>
    <x v="0"/>
    <x v="2"/>
    <n v="1"/>
  </r>
  <r>
    <x v="0"/>
    <x v="0"/>
    <x v="4"/>
    <x v="19"/>
    <x v="4"/>
    <x v="0"/>
    <x v="4"/>
    <n v="1"/>
  </r>
  <r>
    <x v="0"/>
    <x v="0"/>
    <x v="4"/>
    <x v="19"/>
    <x v="14"/>
    <x v="5"/>
    <x v="19"/>
    <n v="1"/>
  </r>
  <r>
    <x v="0"/>
    <x v="0"/>
    <x v="4"/>
    <x v="19"/>
    <x v="14"/>
    <x v="11"/>
    <x v="19"/>
    <n v="3"/>
  </r>
  <r>
    <x v="0"/>
    <x v="0"/>
    <x v="4"/>
    <x v="19"/>
    <x v="6"/>
    <x v="0"/>
    <x v="12"/>
    <n v="2"/>
  </r>
  <r>
    <x v="0"/>
    <x v="0"/>
    <x v="5"/>
    <x v="0"/>
    <x v="19"/>
    <x v="12"/>
    <x v="14"/>
    <n v="1"/>
  </r>
  <r>
    <x v="0"/>
    <x v="0"/>
    <x v="5"/>
    <x v="2"/>
    <x v="0"/>
    <x v="4"/>
    <x v="19"/>
    <n v="2"/>
  </r>
  <r>
    <x v="0"/>
    <x v="0"/>
    <x v="5"/>
    <x v="2"/>
    <x v="0"/>
    <x v="5"/>
    <x v="14"/>
    <n v="1"/>
  </r>
  <r>
    <x v="0"/>
    <x v="0"/>
    <x v="5"/>
    <x v="2"/>
    <x v="0"/>
    <x v="11"/>
    <x v="14"/>
    <n v="1"/>
  </r>
  <r>
    <x v="0"/>
    <x v="0"/>
    <x v="5"/>
    <x v="2"/>
    <x v="0"/>
    <x v="6"/>
    <x v="11"/>
    <n v="1"/>
  </r>
  <r>
    <x v="0"/>
    <x v="0"/>
    <x v="5"/>
    <x v="2"/>
    <x v="6"/>
    <x v="12"/>
    <x v="14"/>
    <n v="1"/>
  </r>
  <r>
    <x v="0"/>
    <x v="0"/>
    <x v="5"/>
    <x v="3"/>
    <x v="8"/>
    <x v="13"/>
    <x v="19"/>
    <n v="1"/>
  </r>
  <r>
    <x v="0"/>
    <x v="0"/>
    <x v="5"/>
    <x v="3"/>
    <x v="6"/>
    <x v="4"/>
    <x v="19"/>
    <n v="1"/>
  </r>
  <r>
    <x v="0"/>
    <x v="0"/>
    <x v="5"/>
    <x v="3"/>
    <x v="6"/>
    <x v="9"/>
    <x v="14"/>
    <n v="1"/>
  </r>
  <r>
    <x v="0"/>
    <x v="0"/>
    <x v="5"/>
    <x v="4"/>
    <x v="18"/>
    <x v="2"/>
    <x v="18"/>
    <n v="1"/>
  </r>
  <r>
    <x v="0"/>
    <x v="0"/>
    <x v="5"/>
    <x v="4"/>
    <x v="18"/>
    <x v="12"/>
    <x v="19"/>
    <n v="1"/>
  </r>
  <r>
    <x v="0"/>
    <x v="0"/>
    <x v="5"/>
    <x v="4"/>
    <x v="18"/>
    <x v="0"/>
    <x v="19"/>
    <n v="1"/>
  </r>
  <r>
    <x v="0"/>
    <x v="0"/>
    <x v="5"/>
    <x v="5"/>
    <x v="8"/>
    <x v="15"/>
    <x v="19"/>
    <n v="22"/>
  </r>
  <r>
    <x v="0"/>
    <x v="0"/>
    <x v="5"/>
    <x v="5"/>
    <x v="8"/>
    <x v="14"/>
    <x v="17"/>
    <n v="1"/>
  </r>
  <r>
    <x v="0"/>
    <x v="0"/>
    <x v="5"/>
    <x v="5"/>
    <x v="8"/>
    <x v="14"/>
    <x v="19"/>
    <n v="12"/>
  </r>
  <r>
    <x v="0"/>
    <x v="0"/>
    <x v="5"/>
    <x v="5"/>
    <x v="8"/>
    <x v="13"/>
    <x v="19"/>
    <n v="12"/>
  </r>
  <r>
    <x v="0"/>
    <x v="0"/>
    <x v="5"/>
    <x v="5"/>
    <x v="8"/>
    <x v="10"/>
    <x v="19"/>
    <n v="10"/>
  </r>
  <r>
    <x v="0"/>
    <x v="0"/>
    <x v="5"/>
    <x v="5"/>
    <x v="8"/>
    <x v="3"/>
    <x v="19"/>
    <n v="21"/>
  </r>
  <r>
    <x v="0"/>
    <x v="0"/>
    <x v="5"/>
    <x v="5"/>
    <x v="8"/>
    <x v="4"/>
    <x v="17"/>
    <n v="1"/>
  </r>
  <r>
    <x v="0"/>
    <x v="0"/>
    <x v="5"/>
    <x v="5"/>
    <x v="8"/>
    <x v="4"/>
    <x v="19"/>
    <n v="24"/>
  </r>
  <r>
    <x v="0"/>
    <x v="0"/>
    <x v="5"/>
    <x v="5"/>
    <x v="8"/>
    <x v="5"/>
    <x v="19"/>
    <n v="17"/>
  </r>
  <r>
    <x v="0"/>
    <x v="0"/>
    <x v="5"/>
    <x v="5"/>
    <x v="8"/>
    <x v="11"/>
    <x v="17"/>
    <n v="1"/>
  </r>
  <r>
    <x v="0"/>
    <x v="0"/>
    <x v="5"/>
    <x v="5"/>
    <x v="8"/>
    <x v="6"/>
    <x v="14"/>
    <n v="1"/>
  </r>
  <r>
    <x v="0"/>
    <x v="0"/>
    <x v="5"/>
    <x v="5"/>
    <x v="6"/>
    <x v="16"/>
    <x v="17"/>
    <n v="2"/>
  </r>
  <r>
    <x v="0"/>
    <x v="0"/>
    <x v="5"/>
    <x v="5"/>
    <x v="6"/>
    <x v="16"/>
    <x v="19"/>
    <n v="56"/>
  </r>
  <r>
    <x v="0"/>
    <x v="0"/>
    <x v="5"/>
    <x v="5"/>
    <x v="6"/>
    <x v="15"/>
    <x v="19"/>
    <n v="31"/>
  </r>
  <r>
    <x v="0"/>
    <x v="0"/>
    <x v="5"/>
    <x v="5"/>
    <x v="6"/>
    <x v="14"/>
    <x v="17"/>
    <n v="3"/>
  </r>
  <r>
    <x v="0"/>
    <x v="0"/>
    <x v="5"/>
    <x v="5"/>
    <x v="6"/>
    <x v="14"/>
    <x v="19"/>
    <n v="22"/>
  </r>
  <r>
    <x v="0"/>
    <x v="0"/>
    <x v="5"/>
    <x v="5"/>
    <x v="6"/>
    <x v="2"/>
    <x v="17"/>
    <n v="1"/>
  </r>
  <r>
    <x v="0"/>
    <x v="0"/>
    <x v="5"/>
    <x v="5"/>
    <x v="6"/>
    <x v="2"/>
    <x v="19"/>
    <n v="13"/>
  </r>
  <r>
    <x v="0"/>
    <x v="0"/>
    <x v="5"/>
    <x v="5"/>
    <x v="6"/>
    <x v="10"/>
    <x v="19"/>
    <n v="3"/>
  </r>
  <r>
    <x v="0"/>
    <x v="0"/>
    <x v="5"/>
    <x v="5"/>
    <x v="6"/>
    <x v="3"/>
    <x v="17"/>
    <n v="1"/>
  </r>
  <r>
    <x v="0"/>
    <x v="0"/>
    <x v="5"/>
    <x v="6"/>
    <x v="15"/>
    <x v="10"/>
    <x v="19"/>
    <n v="1"/>
  </r>
  <r>
    <x v="0"/>
    <x v="0"/>
    <x v="5"/>
    <x v="6"/>
    <x v="15"/>
    <x v="4"/>
    <x v="19"/>
    <n v="1"/>
  </r>
  <r>
    <x v="0"/>
    <x v="0"/>
    <x v="5"/>
    <x v="7"/>
    <x v="12"/>
    <x v="0"/>
    <x v="0"/>
    <n v="1"/>
  </r>
  <r>
    <x v="0"/>
    <x v="0"/>
    <x v="5"/>
    <x v="8"/>
    <x v="13"/>
    <x v="16"/>
    <x v="0"/>
    <n v="1"/>
  </r>
  <r>
    <x v="0"/>
    <x v="0"/>
    <x v="5"/>
    <x v="8"/>
    <x v="13"/>
    <x v="16"/>
    <x v="18"/>
    <n v="4"/>
  </r>
  <r>
    <x v="0"/>
    <x v="0"/>
    <x v="5"/>
    <x v="8"/>
    <x v="13"/>
    <x v="15"/>
    <x v="0"/>
    <n v="2"/>
  </r>
  <r>
    <x v="0"/>
    <x v="0"/>
    <x v="5"/>
    <x v="8"/>
    <x v="13"/>
    <x v="15"/>
    <x v="18"/>
    <n v="2"/>
  </r>
  <r>
    <x v="0"/>
    <x v="0"/>
    <x v="5"/>
    <x v="8"/>
    <x v="13"/>
    <x v="14"/>
    <x v="0"/>
    <n v="6"/>
  </r>
  <r>
    <x v="0"/>
    <x v="0"/>
    <x v="5"/>
    <x v="8"/>
    <x v="13"/>
    <x v="13"/>
    <x v="19"/>
    <n v="37"/>
  </r>
  <r>
    <x v="0"/>
    <x v="0"/>
    <x v="5"/>
    <x v="8"/>
    <x v="13"/>
    <x v="2"/>
    <x v="0"/>
    <n v="6"/>
  </r>
  <r>
    <x v="0"/>
    <x v="0"/>
    <x v="5"/>
    <x v="8"/>
    <x v="13"/>
    <x v="2"/>
    <x v="18"/>
    <n v="5"/>
  </r>
  <r>
    <x v="0"/>
    <x v="0"/>
    <x v="5"/>
    <x v="8"/>
    <x v="13"/>
    <x v="10"/>
    <x v="0"/>
    <n v="2"/>
  </r>
  <r>
    <x v="0"/>
    <x v="0"/>
    <x v="5"/>
    <x v="8"/>
    <x v="13"/>
    <x v="9"/>
    <x v="19"/>
    <n v="8"/>
  </r>
  <r>
    <x v="0"/>
    <x v="0"/>
    <x v="5"/>
    <x v="8"/>
    <x v="13"/>
    <x v="12"/>
    <x v="19"/>
    <n v="9"/>
  </r>
  <r>
    <x v="0"/>
    <x v="0"/>
    <x v="5"/>
    <x v="8"/>
    <x v="13"/>
    <x v="1"/>
    <x v="17"/>
    <n v="1"/>
  </r>
  <r>
    <x v="0"/>
    <x v="0"/>
    <x v="5"/>
    <x v="8"/>
    <x v="13"/>
    <x v="1"/>
    <x v="19"/>
    <n v="7"/>
  </r>
  <r>
    <x v="0"/>
    <x v="0"/>
    <x v="5"/>
    <x v="8"/>
    <x v="13"/>
    <x v="0"/>
    <x v="19"/>
    <n v="6"/>
  </r>
  <r>
    <x v="0"/>
    <x v="0"/>
    <x v="5"/>
    <x v="8"/>
    <x v="7"/>
    <x v="18"/>
    <x v="18"/>
    <n v="15"/>
  </r>
  <r>
    <x v="0"/>
    <x v="0"/>
    <x v="5"/>
    <x v="8"/>
    <x v="7"/>
    <x v="19"/>
    <x v="18"/>
    <n v="10"/>
  </r>
  <r>
    <x v="0"/>
    <x v="0"/>
    <x v="5"/>
    <x v="8"/>
    <x v="7"/>
    <x v="15"/>
    <x v="19"/>
    <n v="26"/>
  </r>
  <r>
    <x v="0"/>
    <x v="0"/>
    <x v="5"/>
    <x v="8"/>
    <x v="7"/>
    <x v="14"/>
    <x v="19"/>
    <n v="4"/>
  </r>
  <r>
    <x v="0"/>
    <x v="0"/>
    <x v="5"/>
    <x v="8"/>
    <x v="10"/>
    <x v="4"/>
    <x v="14"/>
    <n v="1"/>
  </r>
  <r>
    <x v="0"/>
    <x v="0"/>
    <x v="5"/>
    <x v="8"/>
    <x v="10"/>
    <x v="4"/>
    <x v="19"/>
    <n v="1"/>
  </r>
  <r>
    <x v="0"/>
    <x v="0"/>
    <x v="5"/>
    <x v="8"/>
    <x v="10"/>
    <x v="11"/>
    <x v="14"/>
    <n v="1"/>
  </r>
  <r>
    <x v="0"/>
    <x v="0"/>
    <x v="5"/>
    <x v="8"/>
    <x v="10"/>
    <x v="11"/>
    <x v="17"/>
    <n v="1"/>
  </r>
  <r>
    <x v="0"/>
    <x v="0"/>
    <x v="5"/>
    <x v="8"/>
    <x v="10"/>
    <x v="7"/>
    <x v="17"/>
    <n v="1"/>
  </r>
  <r>
    <x v="0"/>
    <x v="0"/>
    <x v="5"/>
    <x v="8"/>
    <x v="10"/>
    <x v="7"/>
    <x v="19"/>
    <n v="1"/>
  </r>
  <r>
    <x v="0"/>
    <x v="0"/>
    <x v="5"/>
    <x v="8"/>
    <x v="10"/>
    <x v="8"/>
    <x v="17"/>
    <n v="2"/>
  </r>
  <r>
    <x v="0"/>
    <x v="0"/>
    <x v="5"/>
    <x v="8"/>
    <x v="10"/>
    <x v="0"/>
    <x v="0"/>
    <n v="1"/>
  </r>
  <r>
    <x v="0"/>
    <x v="0"/>
    <x v="5"/>
    <x v="8"/>
    <x v="11"/>
    <x v="12"/>
    <x v="14"/>
    <n v="1"/>
  </r>
  <r>
    <x v="0"/>
    <x v="0"/>
    <x v="5"/>
    <x v="8"/>
    <x v="11"/>
    <x v="1"/>
    <x v="11"/>
    <n v="1"/>
  </r>
  <r>
    <x v="0"/>
    <x v="0"/>
    <x v="5"/>
    <x v="8"/>
    <x v="18"/>
    <x v="11"/>
    <x v="19"/>
    <n v="156"/>
  </r>
  <r>
    <x v="0"/>
    <x v="0"/>
    <x v="5"/>
    <x v="8"/>
    <x v="18"/>
    <x v="6"/>
    <x v="19"/>
    <n v="139"/>
  </r>
  <r>
    <x v="0"/>
    <x v="0"/>
    <x v="5"/>
    <x v="8"/>
    <x v="18"/>
    <x v="9"/>
    <x v="19"/>
    <n v="144"/>
  </r>
  <r>
    <x v="0"/>
    <x v="0"/>
    <x v="5"/>
    <x v="8"/>
    <x v="18"/>
    <x v="12"/>
    <x v="19"/>
    <n v="102"/>
  </r>
  <r>
    <x v="0"/>
    <x v="0"/>
    <x v="5"/>
    <x v="8"/>
    <x v="18"/>
    <x v="1"/>
    <x v="19"/>
    <n v="81"/>
  </r>
  <r>
    <x v="0"/>
    <x v="0"/>
    <x v="5"/>
    <x v="8"/>
    <x v="18"/>
    <x v="0"/>
    <x v="19"/>
    <n v="202"/>
  </r>
  <r>
    <x v="0"/>
    <x v="0"/>
    <x v="5"/>
    <x v="10"/>
    <x v="16"/>
    <x v="11"/>
    <x v="14"/>
    <n v="1"/>
  </r>
  <r>
    <x v="0"/>
    <x v="0"/>
    <x v="5"/>
    <x v="10"/>
    <x v="16"/>
    <x v="6"/>
    <x v="11"/>
    <n v="1"/>
  </r>
  <r>
    <x v="0"/>
    <x v="0"/>
    <x v="5"/>
    <x v="11"/>
    <x v="7"/>
    <x v="3"/>
    <x v="19"/>
    <n v="2"/>
  </r>
  <r>
    <x v="0"/>
    <x v="0"/>
    <x v="5"/>
    <x v="11"/>
    <x v="7"/>
    <x v="4"/>
    <x v="19"/>
    <n v="1"/>
  </r>
  <r>
    <x v="0"/>
    <x v="0"/>
    <x v="5"/>
    <x v="11"/>
    <x v="7"/>
    <x v="11"/>
    <x v="19"/>
    <n v="6"/>
  </r>
  <r>
    <x v="0"/>
    <x v="0"/>
    <x v="5"/>
    <x v="11"/>
    <x v="7"/>
    <x v="6"/>
    <x v="19"/>
    <n v="3"/>
  </r>
  <r>
    <x v="0"/>
    <x v="0"/>
    <x v="5"/>
    <x v="11"/>
    <x v="7"/>
    <x v="7"/>
    <x v="19"/>
    <n v="4"/>
  </r>
  <r>
    <x v="0"/>
    <x v="0"/>
    <x v="5"/>
    <x v="11"/>
    <x v="7"/>
    <x v="8"/>
    <x v="19"/>
    <n v="1"/>
  </r>
  <r>
    <x v="0"/>
    <x v="0"/>
    <x v="5"/>
    <x v="11"/>
    <x v="9"/>
    <x v="8"/>
    <x v="19"/>
    <n v="2"/>
  </r>
  <r>
    <x v="0"/>
    <x v="0"/>
    <x v="5"/>
    <x v="12"/>
    <x v="5"/>
    <x v="7"/>
    <x v="19"/>
    <n v="1"/>
  </r>
  <r>
    <x v="0"/>
    <x v="0"/>
    <x v="5"/>
    <x v="12"/>
    <x v="5"/>
    <x v="8"/>
    <x v="19"/>
    <n v="3"/>
  </r>
  <r>
    <x v="0"/>
    <x v="0"/>
    <x v="5"/>
    <x v="12"/>
    <x v="5"/>
    <x v="0"/>
    <x v="18"/>
    <n v="1"/>
  </r>
  <r>
    <x v="0"/>
    <x v="0"/>
    <x v="5"/>
    <x v="12"/>
    <x v="6"/>
    <x v="11"/>
    <x v="11"/>
    <n v="1"/>
  </r>
  <r>
    <x v="0"/>
    <x v="0"/>
    <x v="5"/>
    <x v="12"/>
    <x v="19"/>
    <x v="12"/>
    <x v="18"/>
    <n v="1"/>
  </r>
  <r>
    <x v="0"/>
    <x v="0"/>
    <x v="5"/>
    <x v="13"/>
    <x v="17"/>
    <x v="19"/>
    <x v="11"/>
    <n v="2"/>
  </r>
  <r>
    <x v="0"/>
    <x v="0"/>
    <x v="5"/>
    <x v="13"/>
    <x v="17"/>
    <x v="19"/>
    <x v="14"/>
    <n v="13"/>
  </r>
  <r>
    <x v="0"/>
    <x v="0"/>
    <x v="5"/>
    <x v="13"/>
    <x v="17"/>
    <x v="19"/>
    <x v="17"/>
    <n v="36"/>
  </r>
  <r>
    <x v="0"/>
    <x v="0"/>
    <x v="5"/>
    <x v="13"/>
    <x v="17"/>
    <x v="19"/>
    <x v="19"/>
    <n v="765"/>
  </r>
  <r>
    <x v="0"/>
    <x v="0"/>
    <x v="5"/>
    <x v="13"/>
    <x v="17"/>
    <x v="16"/>
    <x v="2"/>
    <n v="8"/>
  </r>
  <r>
    <x v="0"/>
    <x v="0"/>
    <x v="5"/>
    <x v="13"/>
    <x v="17"/>
    <x v="16"/>
    <x v="13"/>
    <n v="20"/>
  </r>
  <r>
    <x v="0"/>
    <x v="0"/>
    <x v="5"/>
    <x v="13"/>
    <x v="17"/>
    <x v="15"/>
    <x v="5"/>
    <n v="3"/>
  </r>
  <r>
    <x v="0"/>
    <x v="0"/>
    <x v="5"/>
    <x v="13"/>
    <x v="17"/>
    <x v="13"/>
    <x v="0"/>
    <n v="98"/>
  </r>
  <r>
    <x v="0"/>
    <x v="0"/>
    <x v="5"/>
    <x v="13"/>
    <x v="17"/>
    <x v="11"/>
    <x v="17"/>
    <n v="12"/>
  </r>
  <r>
    <x v="0"/>
    <x v="0"/>
    <x v="5"/>
    <x v="13"/>
    <x v="17"/>
    <x v="11"/>
    <x v="19"/>
    <n v="96"/>
  </r>
  <r>
    <x v="0"/>
    <x v="0"/>
    <x v="5"/>
    <x v="13"/>
    <x v="17"/>
    <x v="6"/>
    <x v="13"/>
    <n v="5"/>
  </r>
  <r>
    <x v="0"/>
    <x v="0"/>
    <x v="5"/>
    <x v="13"/>
    <x v="17"/>
    <x v="6"/>
    <x v="11"/>
    <n v="12"/>
  </r>
  <r>
    <x v="0"/>
    <x v="0"/>
    <x v="5"/>
    <x v="13"/>
    <x v="17"/>
    <x v="6"/>
    <x v="14"/>
    <n v="7"/>
  </r>
  <r>
    <x v="0"/>
    <x v="0"/>
    <x v="5"/>
    <x v="13"/>
    <x v="17"/>
    <x v="6"/>
    <x v="17"/>
    <n v="6"/>
  </r>
  <r>
    <x v="0"/>
    <x v="0"/>
    <x v="5"/>
    <x v="13"/>
    <x v="17"/>
    <x v="6"/>
    <x v="19"/>
    <n v="77"/>
  </r>
  <r>
    <x v="0"/>
    <x v="0"/>
    <x v="5"/>
    <x v="13"/>
    <x v="17"/>
    <x v="9"/>
    <x v="13"/>
    <n v="2"/>
  </r>
  <r>
    <x v="0"/>
    <x v="0"/>
    <x v="5"/>
    <x v="13"/>
    <x v="17"/>
    <x v="9"/>
    <x v="11"/>
    <n v="4"/>
  </r>
  <r>
    <x v="0"/>
    <x v="0"/>
    <x v="5"/>
    <x v="13"/>
    <x v="17"/>
    <x v="9"/>
    <x v="14"/>
    <n v="10"/>
  </r>
  <r>
    <x v="0"/>
    <x v="0"/>
    <x v="5"/>
    <x v="13"/>
    <x v="17"/>
    <x v="9"/>
    <x v="17"/>
    <n v="4"/>
  </r>
  <r>
    <x v="0"/>
    <x v="0"/>
    <x v="5"/>
    <x v="13"/>
    <x v="17"/>
    <x v="9"/>
    <x v="19"/>
    <n v="31"/>
  </r>
  <r>
    <x v="0"/>
    <x v="0"/>
    <x v="5"/>
    <x v="13"/>
    <x v="17"/>
    <x v="12"/>
    <x v="13"/>
    <n v="4"/>
  </r>
  <r>
    <x v="0"/>
    <x v="0"/>
    <x v="5"/>
    <x v="13"/>
    <x v="17"/>
    <x v="12"/>
    <x v="11"/>
    <n v="3"/>
  </r>
  <r>
    <x v="0"/>
    <x v="0"/>
    <x v="5"/>
    <x v="13"/>
    <x v="17"/>
    <x v="12"/>
    <x v="14"/>
    <n v="2"/>
  </r>
  <r>
    <x v="0"/>
    <x v="0"/>
    <x v="5"/>
    <x v="13"/>
    <x v="17"/>
    <x v="12"/>
    <x v="17"/>
    <n v="4"/>
  </r>
  <r>
    <x v="0"/>
    <x v="0"/>
    <x v="5"/>
    <x v="13"/>
    <x v="17"/>
    <x v="7"/>
    <x v="0"/>
    <n v="5"/>
  </r>
  <r>
    <x v="0"/>
    <x v="0"/>
    <x v="5"/>
    <x v="13"/>
    <x v="17"/>
    <x v="1"/>
    <x v="13"/>
    <n v="1"/>
  </r>
  <r>
    <x v="0"/>
    <x v="0"/>
    <x v="5"/>
    <x v="13"/>
    <x v="17"/>
    <x v="0"/>
    <x v="11"/>
    <n v="1"/>
  </r>
  <r>
    <x v="0"/>
    <x v="0"/>
    <x v="5"/>
    <x v="14"/>
    <x v="16"/>
    <x v="4"/>
    <x v="18"/>
    <n v="1"/>
  </r>
  <r>
    <x v="0"/>
    <x v="0"/>
    <x v="5"/>
    <x v="16"/>
    <x v="0"/>
    <x v="3"/>
    <x v="11"/>
    <n v="1"/>
  </r>
  <r>
    <x v="0"/>
    <x v="0"/>
    <x v="5"/>
    <x v="16"/>
    <x v="19"/>
    <x v="11"/>
    <x v="11"/>
    <n v="2"/>
  </r>
  <r>
    <x v="0"/>
    <x v="0"/>
    <x v="5"/>
    <x v="16"/>
    <x v="19"/>
    <x v="11"/>
    <x v="14"/>
    <n v="1"/>
  </r>
  <r>
    <x v="0"/>
    <x v="0"/>
    <x v="5"/>
    <x v="16"/>
    <x v="19"/>
    <x v="6"/>
    <x v="2"/>
    <n v="1"/>
  </r>
  <r>
    <x v="0"/>
    <x v="0"/>
    <x v="5"/>
    <x v="16"/>
    <x v="19"/>
    <x v="6"/>
    <x v="13"/>
    <n v="1"/>
  </r>
  <r>
    <x v="0"/>
    <x v="0"/>
    <x v="5"/>
    <x v="17"/>
    <x v="12"/>
    <x v="1"/>
    <x v="19"/>
    <n v="1"/>
  </r>
  <r>
    <x v="0"/>
    <x v="0"/>
    <x v="5"/>
    <x v="17"/>
    <x v="2"/>
    <x v="13"/>
    <x v="19"/>
    <n v="3"/>
  </r>
  <r>
    <x v="0"/>
    <x v="0"/>
    <x v="5"/>
    <x v="17"/>
    <x v="2"/>
    <x v="4"/>
    <x v="19"/>
    <n v="28"/>
  </r>
  <r>
    <x v="0"/>
    <x v="0"/>
    <x v="5"/>
    <x v="17"/>
    <x v="2"/>
    <x v="5"/>
    <x v="17"/>
    <n v="1"/>
  </r>
  <r>
    <x v="0"/>
    <x v="0"/>
    <x v="5"/>
    <x v="17"/>
    <x v="2"/>
    <x v="5"/>
    <x v="19"/>
    <n v="19"/>
  </r>
  <r>
    <x v="0"/>
    <x v="0"/>
    <x v="5"/>
    <x v="17"/>
    <x v="2"/>
    <x v="11"/>
    <x v="14"/>
    <n v="2"/>
  </r>
  <r>
    <x v="0"/>
    <x v="0"/>
    <x v="5"/>
    <x v="17"/>
    <x v="2"/>
    <x v="11"/>
    <x v="17"/>
    <n v="1"/>
  </r>
  <r>
    <x v="0"/>
    <x v="0"/>
    <x v="5"/>
    <x v="17"/>
    <x v="2"/>
    <x v="11"/>
    <x v="19"/>
    <n v="21"/>
  </r>
  <r>
    <x v="0"/>
    <x v="0"/>
    <x v="5"/>
    <x v="17"/>
    <x v="2"/>
    <x v="6"/>
    <x v="11"/>
    <n v="1"/>
  </r>
  <r>
    <x v="0"/>
    <x v="0"/>
    <x v="5"/>
    <x v="17"/>
    <x v="2"/>
    <x v="6"/>
    <x v="14"/>
    <n v="1"/>
  </r>
  <r>
    <x v="0"/>
    <x v="0"/>
    <x v="5"/>
    <x v="17"/>
    <x v="2"/>
    <x v="6"/>
    <x v="17"/>
    <n v="1"/>
  </r>
  <r>
    <x v="0"/>
    <x v="0"/>
    <x v="5"/>
    <x v="17"/>
    <x v="2"/>
    <x v="6"/>
    <x v="19"/>
    <n v="21"/>
  </r>
  <r>
    <x v="0"/>
    <x v="0"/>
    <x v="5"/>
    <x v="17"/>
    <x v="2"/>
    <x v="9"/>
    <x v="13"/>
    <n v="1"/>
  </r>
  <r>
    <x v="0"/>
    <x v="0"/>
    <x v="5"/>
    <x v="17"/>
    <x v="2"/>
    <x v="9"/>
    <x v="14"/>
    <n v="1"/>
  </r>
  <r>
    <x v="0"/>
    <x v="0"/>
    <x v="5"/>
    <x v="17"/>
    <x v="2"/>
    <x v="9"/>
    <x v="17"/>
    <n v="2"/>
  </r>
  <r>
    <x v="0"/>
    <x v="0"/>
    <x v="5"/>
    <x v="17"/>
    <x v="2"/>
    <x v="12"/>
    <x v="13"/>
    <n v="1"/>
  </r>
  <r>
    <x v="0"/>
    <x v="0"/>
    <x v="5"/>
    <x v="17"/>
    <x v="9"/>
    <x v="2"/>
    <x v="11"/>
    <n v="1"/>
  </r>
  <r>
    <x v="0"/>
    <x v="0"/>
    <x v="5"/>
    <x v="17"/>
    <x v="9"/>
    <x v="2"/>
    <x v="14"/>
    <n v="2"/>
  </r>
  <r>
    <x v="0"/>
    <x v="0"/>
    <x v="5"/>
    <x v="17"/>
    <x v="9"/>
    <x v="2"/>
    <x v="17"/>
    <n v="1"/>
  </r>
  <r>
    <x v="0"/>
    <x v="0"/>
    <x v="5"/>
    <x v="17"/>
    <x v="9"/>
    <x v="2"/>
    <x v="18"/>
    <n v="2"/>
  </r>
  <r>
    <x v="0"/>
    <x v="0"/>
    <x v="5"/>
    <x v="17"/>
    <x v="9"/>
    <x v="10"/>
    <x v="14"/>
    <n v="2"/>
  </r>
  <r>
    <x v="0"/>
    <x v="0"/>
    <x v="5"/>
    <x v="17"/>
    <x v="9"/>
    <x v="10"/>
    <x v="0"/>
    <n v="1"/>
  </r>
  <r>
    <x v="0"/>
    <x v="0"/>
    <x v="5"/>
    <x v="17"/>
    <x v="9"/>
    <x v="10"/>
    <x v="18"/>
    <n v="1"/>
  </r>
  <r>
    <x v="0"/>
    <x v="0"/>
    <x v="5"/>
    <x v="17"/>
    <x v="9"/>
    <x v="3"/>
    <x v="13"/>
    <n v="1"/>
  </r>
  <r>
    <x v="0"/>
    <x v="0"/>
    <x v="5"/>
    <x v="17"/>
    <x v="9"/>
    <x v="3"/>
    <x v="11"/>
    <n v="1"/>
  </r>
  <r>
    <x v="0"/>
    <x v="0"/>
    <x v="5"/>
    <x v="17"/>
    <x v="9"/>
    <x v="3"/>
    <x v="0"/>
    <n v="2"/>
  </r>
  <r>
    <x v="0"/>
    <x v="0"/>
    <x v="5"/>
    <x v="17"/>
    <x v="9"/>
    <x v="4"/>
    <x v="18"/>
    <n v="2"/>
  </r>
  <r>
    <x v="0"/>
    <x v="0"/>
    <x v="5"/>
    <x v="19"/>
    <x v="7"/>
    <x v="13"/>
    <x v="14"/>
    <n v="1"/>
  </r>
  <r>
    <x v="0"/>
    <x v="0"/>
    <x v="5"/>
    <x v="19"/>
    <x v="7"/>
    <x v="2"/>
    <x v="0"/>
    <n v="3"/>
  </r>
  <r>
    <x v="0"/>
    <x v="0"/>
    <x v="6"/>
    <x v="0"/>
    <x v="12"/>
    <x v="17"/>
    <x v="19"/>
    <n v="4993"/>
  </r>
  <r>
    <x v="0"/>
    <x v="0"/>
    <x v="6"/>
    <x v="0"/>
    <x v="12"/>
    <x v="19"/>
    <x v="17"/>
    <n v="6"/>
  </r>
  <r>
    <x v="0"/>
    <x v="0"/>
    <x v="6"/>
    <x v="0"/>
    <x v="12"/>
    <x v="19"/>
    <x v="19"/>
    <n v="1612"/>
  </r>
  <r>
    <x v="0"/>
    <x v="0"/>
    <x v="6"/>
    <x v="0"/>
    <x v="12"/>
    <x v="16"/>
    <x v="18"/>
    <n v="15"/>
  </r>
  <r>
    <x v="0"/>
    <x v="0"/>
    <x v="6"/>
    <x v="0"/>
    <x v="12"/>
    <x v="15"/>
    <x v="18"/>
    <n v="6"/>
  </r>
  <r>
    <x v="0"/>
    <x v="0"/>
    <x v="6"/>
    <x v="0"/>
    <x v="12"/>
    <x v="14"/>
    <x v="18"/>
    <n v="2"/>
  </r>
  <r>
    <x v="0"/>
    <x v="0"/>
    <x v="6"/>
    <x v="0"/>
    <x v="16"/>
    <x v="5"/>
    <x v="19"/>
    <n v="1"/>
  </r>
  <r>
    <x v="0"/>
    <x v="0"/>
    <x v="6"/>
    <x v="0"/>
    <x v="16"/>
    <x v="11"/>
    <x v="19"/>
    <n v="3"/>
  </r>
  <r>
    <x v="0"/>
    <x v="0"/>
    <x v="6"/>
    <x v="0"/>
    <x v="16"/>
    <x v="6"/>
    <x v="19"/>
    <n v="4"/>
  </r>
  <r>
    <x v="0"/>
    <x v="0"/>
    <x v="6"/>
    <x v="0"/>
    <x v="16"/>
    <x v="9"/>
    <x v="19"/>
    <n v="4"/>
  </r>
  <r>
    <x v="0"/>
    <x v="0"/>
    <x v="6"/>
    <x v="1"/>
    <x v="2"/>
    <x v="15"/>
    <x v="18"/>
    <n v="1"/>
  </r>
  <r>
    <x v="0"/>
    <x v="0"/>
    <x v="6"/>
    <x v="3"/>
    <x v="8"/>
    <x v="17"/>
    <x v="19"/>
    <n v="460"/>
  </r>
  <r>
    <x v="0"/>
    <x v="0"/>
    <x v="6"/>
    <x v="5"/>
    <x v="3"/>
    <x v="15"/>
    <x v="18"/>
    <n v="3"/>
  </r>
  <r>
    <x v="0"/>
    <x v="0"/>
    <x v="6"/>
    <x v="5"/>
    <x v="3"/>
    <x v="14"/>
    <x v="18"/>
    <n v="3"/>
  </r>
  <r>
    <x v="0"/>
    <x v="0"/>
    <x v="6"/>
    <x v="5"/>
    <x v="3"/>
    <x v="13"/>
    <x v="19"/>
    <n v="19"/>
  </r>
  <r>
    <x v="0"/>
    <x v="0"/>
    <x v="6"/>
    <x v="5"/>
    <x v="3"/>
    <x v="1"/>
    <x v="19"/>
    <n v="1"/>
  </r>
  <r>
    <x v="0"/>
    <x v="0"/>
    <x v="6"/>
    <x v="6"/>
    <x v="2"/>
    <x v="19"/>
    <x v="17"/>
    <n v="1"/>
  </r>
  <r>
    <x v="0"/>
    <x v="0"/>
    <x v="6"/>
    <x v="6"/>
    <x v="2"/>
    <x v="19"/>
    <x v="19"/>
    <n v="66"/>
  </r>
  <r>
    <x v="0"/>
    <x v="0"/>
    <x v="6"/>
    <x v="6"/>
    <x v="2"/>
    <x v="16"/>
    <x v="17"/>
    <n v="3"/>
  </r>
  <r>
    <x v="0"/>
    <x v="0"/>
    <x v="6"/>
    <x v="6"/>
    <x v="15"/>
    <x v="0"/>
    <x v="19"/>
    <n v="2"/>
  </r>
  <r>
    <x v="0"/>
    <x v="0"/>
    <x v="6"/>
    <x v="7"/>
    <x v="0"/>
    <x v="14"/>
    <x v="19"/>
    <n v="1"/>
  </r>
  <r>
    <x v="0"/>
    <x v="0"/>
    <x v="6"/>
    <x v="7"/>
    <x v="0"/>
    <x v="13"/>
    <x v="19"/>
    <n v="1"/>
  </r>
  <r>
    <x v="0"/>
    <x v="0"/>
    <x v="6"/>
    <x v="10"/>
    <x v="10"/>
    <x v="9"/>
    <x v="19"/>
    <n v="1"/>
  </r>
  <r>
    <x v="0"/>
    <x v="0"/>
    <x v="6"/>
    <x v="10"/>
    <x v="10"/>
    <x v="12"/>
    <x v="19"/>
    <n v="2"/>
  </r>
  <r>
    <x v="0"/>
    <x v="0"/>
    <x v="6"/>
    <x v="10"/>
    <x v="10"/>
    <x v="1"/>
    <x v="19"/>
    <n v="2"/>
  </r>
  <r>
    <x v="0"/>
    <x v="0"/>
    <x v="6"/>
    <x v="12"/>
    <x v="1"/>
    <x v="13"/>
    <x v="19"/>
    <n v="1"/>
  </r>
  <r>
    <x v="0"/>
    <x v="0"/>
    <x v="5"/>
    <x v="8"/>
    <x v="13"/>
    <x v="6"/>
    <x v="19"/>
    <n v="13"/>
  </r>
  <r>
    <x v="0"/>
    <x v="0"/>
    <x v="5"/>
    <x v="8"/>
    <x v="13"/>
    <x v="9"/>
    <x v="11"/>
    <n v="2"/>
  </r>
  <r>
    <x v="0"/>
    <x v="0"/>
    <x v="5"/>
    <x v="8"/>
    <x v="13"/>
    <x v="9"/>
    <x v="14"/>
    <n v="1"/>
  </r>
  <r>
    <x v="0"/>
    <x v="0"/>
    <x v="5"/>
    <x v="8"/>
    <x v="13"/>
    <x v="9"/>
    <x v="17"/>
    <n v="1"/>
  </r>
  <r>
    <x v="0"/>
    <x v="0"/>
    <x v="5"/>
    <x v="8"/>
    <x v="13"/>
    <x v="12"/>
    <x v="14"/>
    <n v="1"/>
  </r>
  <r>
    <x v="0"/>
    <x v="0"/>
    <x v="5"/>
    <x v="8"/>
    <x v="7"/>
    <x v="16"/>
    <x v="18"/>
    <n v="5"/>
  </r>
  <r>
    <x v="0"/>
    <x v="0"/>
    <x v="5"/>
    <x v="8"/>
    <x v="7"/>
    <x v="13"/>
    <x v="19"/>
    <n v="6"/>
  </r>
  <r>
    <x v="0"/>
    <x v="0"/>
    <x v="5"/>
    <x v="8"/>
    <x v="7"/>
    <x v="2"/>
    <x v="19"/>
    <n v="4"/>
  </r>
  <r>
    <x v="0"/>
    <x v="0"/>
    <x v="5"/>
    <x v="8"/>
    <x v="18"/>
    <x v="19"/>
    <x v="19"/>
    <n v="3"/>
  </r>
  <r>
    <x v="0"/>
    <x v="0"/>
    <x v="5"/>
    <x v="11"/>
    <x v="8"/>
    <x v="4"/>
    <x v="11"/>
    <n v="1"/>
  </r>
  <r>
    <x v="0"/>
    <x v="0"/>
    <x v="5"/>
    <x v="11"/>
    <x v="8"/>
    <x v="5"/>
    <x v="11"/>
    <n v="1"/>
  </r>
  <r>
    <x v="0"/>
    <x v="0"/>
    <x v="5"/>
    <x v="11"/>
    <x v="8"/>
    <x v="11"/>
    <x v="13"/>
    <n v="1"/>
  </r>
  <r>
    <x v="0"/>
    <x v="0"/>
    <x v="5"/>
    <x v="12"/>
    <x v="5"/>
    <x v="10"/>
    <x v="19"/>
    <n v="1"/>
  </r>
  <r>
    <x v="0"/>
    <x v="0"/>
    <x v="5"/>
    <x v="12"/>
    <x v="5"/>
    <x v="4"/>
    <x v="19"/>
    <n v="1"/>
  </r>
  <r>
    <x v="0"/>
    <x v="0"/>
    <x v="5"/>
    <x v="12"/>
    <x v="5"/>
    <x v="5"/>
    <x v="17"/>
    <n v="1"/>
  </r>
  <r>
    <x v="0"/>
    <x v="0"/>
    <x v="5"/>
    <x v="12"/>
    <x v="5"/>
    <x v="11"/>
    <x v="19"/>
    <n v="1"/>
  </r>
  <r>
    <x v="0"/>
    <x v="0"/>
    <x v="5"/>
    <x v="12"/>
    <x v="5"/>
    <x v="9"/>
    <x v="19"/>
    <n v="1"/>
  </r>
  <r>
    <x v="0"/>
    <x v="0"/>
    <x v="5"/>
    <x v="12"/>
    <x v="19"/>
    <x v="12"/>
    <x v="19"/>
    <n v="7"/>
  </r>
  <r>
    <x v="0"/>
    <x v="0"/>
    <x v="5"/>
    <x v="12"/>
    <x v="19"/>
    <x v="1"/>
    <x v="19"/>
    <n v="5"/>
  </r>
  <r>
    <x v="0"/>
    <x v="0"/>
    <x v="5"/>
    <x v="12"/>
    <x v="19"/>
    <x v="0"/>
    <x v="19"/>
    <n v="9"/>
  </r>
  <r>
    <x v="0"/>
    <x v="0"/>
    <x v="5"/>
    <x v="13"/>
    <x v="17"/>
    <x v="17"/>
    <x v="19"/>
    <n v="2"/>
  </r>
  <r>
    <x v="0"/>
    <x v="0"/>
    <x v="5"/>
    <x v="13"/>
    <x v="17"/>
    <x v="18"/>
    <x v="18"/>
    <n v="7"/>
  </r>
  <r>
    <x v="0"/>
    <x v="0"/>
    <x v="5"/>
    <x v="13"/>
    <x v="17"/>
    <x v="16"/>
    <x v="11"/>
    <n v="35"/>
  </r>
  <r>
    <x v="0"/>
    <x v="0"/>
    <x v="5"/>
    <x v="13"/>
    <x v="17"/>
    <x v="16"/>
    <x v="14"/>
    <n v="58"/>
  </r>
  <r>
    <x v="0"/>
    <x v="0"/>
    <x v="5"/>
    <x v="13"/>
    <x v="17"/>
    <x v="16"/>
    <x v="17"/>
    <n v="89"/>
  </r>
  <r>
    <x v="0"/>
    <x v="0"/>
    <x v="5"/>
    <x v="13"/>
    <x v="17"/>
    <x v="16"/>
    <x v="19"/>
    <n v="1924"/>
  </r>
  <r>
    <x v="0"/>
    <x v="0"/>
    <x v="5"/>
    <x v="13"/>
    <x v="17"/>
    <x v="15"/>
    <x v="2"/>
    <n v="35"/>
  </r>
  <r>
    <x v="0"/>
    <x v="0"/>
    <x v="5"/>
    <x v="13"/>
    <x v="17"/>
    <x v="15"/>
    <x v="13"/>
    <n v="51"/>
  </r>
  <r>
    <x v="0"/>
    <x v="0"/>
    <x v="5"/>
    <x v="13"/>
    <x v="17"/>
    <x v="15"/>
    <x v="11"/>
    <n v="75"/>
  </r>
  <r>
    <x v="0"/>
    <x v="0"/>
    <x v="5"/>
    <x v="13"/>
    <x v="17"/>
    <x v="15"/>
    <x v="14"/>
    <n v="107"/>
  </r>
  <r>
    <x v="0"/>
    <x v="0"/>
    <x v="5"/>
    <x v="13"/>
    <x v="17"/>
    <x v="15"/>
    <x v="17"/>
    <n v="114"/>
  </r>
  <r>
    <x v="0"/>
    <x v="0"/>
    <x v="5"/>
    <x v="13"/>
    <x v="17"/>
    <x v="15"/>
    <x v="19"/>
    <n v="3080"/>
  </r>
  <r>
    <x v="0"/>
    <x v="0"/>
    <x v="5"/>
    <x v="13"/>
    <x v="17"/>
    <x v="14"/>
    <x v="5"/>
    <n v="22"/>
  </r>
  <r>
    <x v="0"/>
    <x v="0"/>
    <x v="5"/>
    <x v="13"/>
    <x v="17"/>
    <x v="14"/>
    <x v="2"/>
    <n v="92"/>
  </r>
  <r>
    <x v="0"/>
    <x v="0"/>
    <x v="5"/>
    <x v="13"/>
    <x v="17"/>
    <x v="14"/>
    <x v="13"/>
    <n v="103"/>
  </r>
  <r>
    <x v="0"/>
    <x v="0"/>
    <x v="5"/>
    <x v="13"/>
    <x v="17"/>
    <x v="14"/>
    <x v="11"/>
    <n v="115"/>
  </r>
  <r>
    <x v="0"/>
    <x v="0"/>
    <x v="5"/>
    <x v="13"/>
    <x v="17"/>
    <x v="14"/>
    <x v="14"/>
    <n v="142"/>
  </r>
  <r>
    <x v="0"/>
    <x v="0"/>
    <x v="5"/>
    <x v="13"/>
    <x v="17"/>
    <x v="14"/>
    <x v="17"/>
    <n v="210"/>
  </r>
  <r>
    <x v="0"/>
    <x v="0"/>
    <x v="5"/>
    <x v="13"/>
    <x v="17"/>
    <x v="13"/>
    <x v="5"/>
    <n v="9"/>
  </r>
  <r>
    <x v="0"/>
    <x v="0"/>
    <x v="5"/>
    <x v="13"/>
    <x v="17"/>
    <x v="13"/>
    <x v="2"/>
    <n v="66"/>
  </r>
  <r>
    <x v="0"/>
    <x v="0"/>
    <x v="5"/>
    <x v="13"/>
    <x v="17"/>
    <x v="13"/>
    <x v="13"/>
    <n v="98"/>
  </r>
  <r>
    <x v="0"/>
    <x v="0"/>
    <x v="5"/>
    <x v="13"/>
    <x v="17"/>
    <x v="13"/>
    <x v="11"/>
    <n v="100"/>
  </r>
  <r>
    <x v="0"/>
    <x v="0"/>
    <x v="5"/>
    <x v="13"/>
    <x v="17"/>
    <x v="12"/>
    <x v="19"/>
    <n v="23"/>
  </r>
  <r>
    <x v="0"/>
    <x v="0"/>
    <x v="5"/>
    <x v="13"/>
    <x v="17"/>
    <x v="7"/>
    <x v="18"/>
    <n v="5"/>
  </r>
  <r>
    <x v="0"/>
    <x v="0"/>
    <x v="5"/>
    <x v="13"/>
    <x v="17"/>
    <x v="1"/>
    <x v="19"/>
    <n v="6"/>
  </r>
  <r>
    <x v="0"/>
    <x v="0"/>
    <x v="5"/>
    <x v="13"/>
    <x v="17"/>
    <x v="8"/>
    <x v="0"/>
    <n v="1"/>
  </r>
  <r>
    <x v="0"/>
    <x v="0"/>
    <x v="5"/>
    <x v="13"/>
    <x v="17"/>
    <x v="0"/>
    <x v="14"/>
    <n v="1"/>
  </r>
  <r>
    <x v="0"/>
    <x v="0"/>
    <x v="5"/>
    <x v="13"/>
    <x v="17"/>
    <x v="0"/>
    <x v="19"/>
    <n v="3"/>
  </r>
  <r>
    <x v="0"/>
    <x v="0"/>
    <x v="5"/>
    <x v="16"/>
    <x v="0"/>
    <x v="2"/>
    <x v="19"/>
    <n v="2"/>
  </r>
  <r>
    <x v="0"/>
    <x v="0"/>
    <x v="5"/>
    <x v="16"/>
    <x v="0"/>
    <x v="10"/>
    <x v="19"/>
    <n v="3"/>
  </r>
  <r>
    <x v="0"/>
    <x v="0"/>
    <x v="5"/>
    <x v="16"/>
    <x v="0"/>
    <x v="3"/>
    <x v="19"/>
    <n v="2"/>
  </r>
  <r>
    <x v="0"/>
    <x v="0"/>
    <x v="5"/>
    <x v="16"/>
    <x v="0"/>
    <x v="4"/>
    <x v="19"/>
    <n v="3"/>
  </r>
  <r>
    <x v="0"/>
    <x v="0"/>
    <x v="5"/>
    <x v="16"/>
    <x v="0"/>
    <x v="5"/>
    <x v="13"/>
    <n v="1"/>
  </r>
  <r>
    <x v="0"/>
    <x v="0"/>
    <x v="5"/>
    <x v="16"/>
    <x v="0"/>
    <x v="11"/>
    <x v="19"/>
    <n v="1"/>
  </r>
  <r>
    <x v="0"/>
    <x v="0"/>
    <x v="5"/>
    <x v="16"/>
    <x v="19"/>
    <x v="5"/>
    <x v="19"/>
    <n v="1"/>
  </r>
  <r>
    <x v="0"/>
    <x v="0"/>
    <x v="5"/>
    <x v="16"/>
    <x v="19"/>
    <x v="11"/>
    <x v="19"/>
    <n v="2"/>
  </r>
  <r>
    <x v="0"/>
    <x v="0"/>
    <x v="5"/>
    <x v="16"/>
    <x v="19"/>
    <x v="6"/>
    <x v="14"/>
    <n v="1"/>
  </r>
  <r>
    <x v="0"/>
    <x v="0"/>
    <x v="5"/>
    <x v="16"/>
    <x v="19"/>
    <x v="6"/>
    <x v="19"/>
    <n v="2"/>
  </r>
  <r>
    <x v="0"/>
    <x v="0"/>
    <x v="5"/>
    <x v="16"/>
    <x v="19"/>
    <x v="9"/>
    <x v="11"/>
    <n v="1"/>
  </r>
  <r>
    <x v="0"/>
    <x v="0"/>
    <x v="5"/>
    <x v="16"/>
    <x v="19"/>
    <x v="9"/>
    <x v="17"/>
    <n v="3"/>
  </r>
  <r>
    <x v="0"/>
    <x v="0"/>
    <x v="5"/>
    <x v="16"/>
    <x v="19"/>
    <x v="9"/>
    <x v="19"/>
    <n v="1"/>
  </r>
  <r>
    <x v="0"/>
    <x v="0"/>
    <x v="5"/>
    <x v="16"/>
    <x v="19"/>
    <x v="12"/>
    <x v="14"/>
    <n v="2"/>
  </r>
  <r>
    <x v="0"/>
    <x v="0"/>
    <x v="5"/>
    <x v="16"/>
    <x v="19"/>
    <x v="12"/>
    <x v="19"/>
    <n v="8"/>
  </r>
  <r>
    <x v="0"/>
    <x v="0"/>
    <x v="5"/>
    <x v="16"/>
    <x v="19"/>
    <x v="7"/>
    <x v="18"/>
    <n v="2"/>
  </r>
  <r>
    <x v="0"/>
    <x v="0"/>
    <x v="5"/>
    <x v="16"/>
    <x v="19"/>
    <x v="1"/>
    <x v="11"/>
    <n v="1"/>
  </r>
  <r>
    <x v="0"/>
    <x v="0"/>
    <x v="5"/>
    <x v="16"/>
    <x v="19"/>
    <x v="1"/>
    <x v="14"/>
    <n v="1"/>
  </r>
  <r>
    <x v="0"/>
    <x v="0"/>
    <x v="5"/>
    <x v="16"/>
    <x v="19"/>
    <x v="1"/>
    <x v="19"/>
    <n v="4"/>
  </r>
  <r>
    <x v="0"/>
    <x v="0"/>
    <x v="5"/>
    <x v="16"/>
    <x v="19"/>
    <x v="8"/>
    <x v="18"/>
    <n v="1"/>
  </r>
  <r>
    <x v="0"/>
    <x v="0"/>
    <x v="5"/>
    <x v="16"/>
    <x v="19"/>
    <x v="0"/>
    <x v="17"/>
    <n v="4"/>
  </r>
  <r>
    <x v="0"/>
    <x v="0"/>
    <x v="5"/>
    <x v="16"/>
    <x v="19"/>
    <x v="0"/>
    <x v="19"/>
    <n v="24"/>
  </r>
  <r>
    <x v="0"/>
    <x v="0"/>
    <x v="5"/>
    <x v="17"/>
    <x v="12"/>
    <x v="5"/>
    <x v="19"/>
    <n v="3"/>
  </r>
  <r>
    <x v="0"/>
    <x v="0"/>
    <x v="5"/>
    <x v="17"/>
    <x v="2"/>
    <x v="2"/>
    <x v="19"/>
    <n v="25"/>
  </r>
  <r>
    <x v="0"/>
    <x v="0"/>
    <x v="5"/>
    <x v="17"/>
    <x v="2"/>
    <x v="10"/>
    <x v="19"/>
    <n v="36"/>
  </r>
  <r>
    <x v="0"/>
    <x v="0"/>
    <x v="5"/>
    <x v="17"/>
    <x v="2"/>
    <x v="3"/>
    <x v="19"/>
    <n v="35"/>
  </r>
  <r>
    <x v="0"/>
    <x v="0"/>
    <x v="5"/>
    <x v="17"/>
    <x v="2"/>
    <x v="5"/>
    <x v="11"/>
    <n v="2"/>
  </r>
  <r>
    <x v="0"/>
    <x v="0"/>
    <x v="5"/>
    <x v="17"/>
    <x v="2"/>
    <x v="5"/>
    <x v="14"/>
    <n v="1"/>
  </r>
  <r>
    <x v="0"/>
    <x v="0"/>
    <x v="5"/>
    <x v="17"/>
    <x v="2"/>
    <x v="11"/>
    <x v="2"/>
    <n v="1"/>
  </r>
  <r>
    <x v="0"/>
    <x v="0"/>
    <x v="5"/>
    <x v="17"/>
    <x v="2"/>
    <x v="11"/>
    <x v="13"/>
    <n v="2"/>
  </r>
  <r>
    <x v="0"/>
    <x v="0"/>
    <x v="5"/>
    <x v="17"/>
    <x v="2"/>
    <x v="6"/>
    <x v="13"/>
    <n v="3"/>
  </r>
  <r>
    <x v="0"/>
    <x v="0"/>
    <x v="5"/>
    <x v="17"/>
    <x v="2"/>
    <x v="12"/>
    <x v="0"/>
    <n v="1"/>
  </r>
  <r>
    <x v="0"/>
    <x v="0"/>
    <x v="6"/>
    <x v="13"/>
    <x v="6"/>
    <x v="10"/>
    <x v="18"/>
    <n v="1"/>
  </r>
  <r>
    <x v="0"/>
    <x v="0"/>
    <x v="6"/>
    <x v="13"/>
    <x v="6"/>
    <x v="3"/>
    <x v="19"/>
    <n v="19"/>
  </r>
  <r>
    <x v="0"/>
    <x v="0"/>
    <x v="6"/>
    <x v="13"/>
    <x v="6"/>
    <x v="4"/>
    <x v="19"/>
    <n v="18"/>
  </r>
  <r>
    <x v="0"/>
    <x v="0"/>
    <x v="6"/>
    <x v="13"/>
    <x v="6"/>
    <x v="5"/>
    <x v="19"/>
    <n v="23"/>
  </r>
  <r>
    <x v="0"/>
    <x v="0"/>
    <x v="6"/>
    <x v="13"/>
    <x v="6"/>
    <x v="11"/>
    <x v="19"/>
    <n v="15"/>
  </r>
  <r>
    <x v="0"/>
    <x v="0"/>
    <x v="6"/>
    <x v="13"/>
    <x v="6"/>
    <x v="6"/>
    <x v="19"/>
    <n v="10"/>
  </r>
  <r>
    <x v="0"/>
    <x v="0"/>
    <x v="6"/>
    <x v="13"/>
    <x v="6"/>
    <x v="9"/>
    <x v="19"/>
    <n v="13"/>
  </r>
  <r>
    <x v="0"/>
    <x v="0"/>
    <x v="6"/>
    <x v="13"/>
    <x v="6"/>
    <x v="12"/>
    <x v="19"/>
    <n v="11"/>
  </r>
  <r>
    <x v="0"/>
    <x v="0"/>
    <x v="6"/>
    <x v="18"/>
    <x v="8"/>
    <x v="12"/>
    <x v="19"/>
    <n v="1"/>
  </r>
  <r>
    <x v="0"/>
    <x v="0"/>
    <x v="6"/>
    <x v="19"/>
    <x v="14"/>
    <x v="12"/>
    <x v="19"/>
    <n v="1"/>
  </r>
  <r>
    <x v="0"/>
    <x v="0"/>
    <x v="7"/>
    <x v="0"/>
    <x v="12"/>
    <x v="18"/>
    <x v="18"/>
    <n v="3"/>
  </r>
  <r>
    <x v="0"/>
    <x v="0"/>
    <x v="7"/>
    <x v="0"/>
    <x v="12"/>
    <x v="19"/>
    <x v="0"/>
    <n v="9"/>
  </r>
  <r>
    <x v="0"/>
    <x v="0"/>
    <x v="7"/>
    <x v="0"/>
    <x v="12"/>
    <x v="19"/>
    <x v="18"/>
    <n v="20"/>
  </r>
  <r>
    <x v="0"/>
    <x v="0"/>
    <x v="7"/>
    <x v="0"/>
    <x v="12"/>
    <x v="19"/>
    <x v="19"/>
    <n v="458"/>
  </r>
  <r>
    <x v="0"/>
    <x v="0"/>
    <x v="7"/>
    <x v="0"/>
    <x v="12"/>
    <x v="16"/>
    <x v="17"/>
    <n v="6"/>
  </r>
  <r>
    <x v="0"/>
    <x v="0"/>
    <x v="7"/>
    <x v="0"/>
    <x v="12"/>
    <x v="16"/>
    <x v="19"/>
    <n v="185"/>
  </r>
  <r>
    <x v="0"/>
    <x v="0"/>
    <x v="7"/>
    <x v="0"/>
    <x v="12"/>
    <x v="15"/>
    <x v="17"/>
    <n v="2"/>
  </r>
  <r>
    <x v="0"/>
    <x v="0"/>
    <x v="7"/>
    <x v="0"/>
    <x v="12"/>
    <x v="15"/>
    <x v="19"/>
    <n v="76"/>
  </r>
  <r>
    <x v="0"/>
    <x v="0"/>
    <x v="7"/>
    <x v="0"/>
    <x v="12"/>
    <x v="2"/>
    <x v="19"/>
    <n v="8"/>
  </r>
  <r>
    <x v="0"/>
    <x v="0"/>
    <x v="7"/>
    <x v="0"/>
    <x v="12"/>
    <x v="10"/>
    <x v="19"/>
    <n v="6"/>
  </r>
  <r>
    <x v="0"/>
    <x v="0"/>
    <x v="7"/>
    <x v="0"/>
    <x v="12"/>
    <x v="3"/>
    <x v="19"/>
    <n v="5"/>
  </r>
  <r>
    <x v="0"/>
    <x v="0"/>
    <x v="7"/>
    <x v="0"/>
    <x v="12"/>
    <x v="4"/>
    <x v="19"/>
    <n v="1"/>
  </r>
  <r>
    <x v="0"/>
    <x v="0"/>
    <x v="7"/>
    <x v="0"/>
    <x v="16"/>
    <x v="0"/>
    <x v="19"/>
    <n v="4"/>
  </r>
  <r>
    <x v="0"/>
    <x v="0"/>
    <x v="7"/>
    <x v="1"/>
    <x v="2"/>
    <x v="16"/>
    <x v="13"/>
    <n v="9"/>
  </r>
  <r>
    <x v="0"/>
    <x v="0"/>
    <x v="7"/>
    <x v="1"/>
    <x v="2"/>
    <x v="16"/>
    <x v="11"/>
    <n v="10"/>
  </r>
  <r>
    <x v="0"/>
    <x v="0"/>
    <x v="7"/>
    <x v="1"/>
    <x v="2"/>
    <x v="16"/>
    <x v="14"/>
    <n v="5"/>
  </r>
  <r>
    <x v="0"/>
    <x v="0"/>
    <x v="7"/>
    <x v="1"/>
    <x v="2"/>
    <x v="16"/>
    <x v="17"/>
    <n v="2"/>
  </r>
  <r>
    <x v="0"/>
    <x v="0"/>
    <x v="7"/>
    <x v="1"/>
    <x v="2"/>
    <x v="15"/>
    <x v="5"/>
    <n v="1"/>
  </r>
  <r>
    <x v="0"/>
    <x v="0"/>
    <x v="7"/>
    <x v="1"/>
    <x v="2"/>
    <x v="15"/>
    <x v="2"/>
    <n v="3"/>
  </r>
  <r>
    <x v="0"/>
    <x v="0"/>
    <x v="7"/>
    <x v="1"/>
    <x v="2"/>
    <x v="15"/>
    <x v="13"/>
    <n v="4"/>
  </r>
  <r>
    <x v="0"/>
    <x v="0"/>
    <x v="7"/>
    <x v="1"/>
    <x v="2"/>
    <x v="15"/>
    <x v="11"/>
    <n v="3"/>
  </r>
  <r>
    <x v="0"/>
    <x v="0"/>
    <x v="7"/>
    <x v="1"/>
    <x v="2"/>
    <x v="14"/>
    <x v="5"/>
    <n v="1"/>
  </r>
  <r>
    <x v="0"/>
    <x v="0"/>
    <x v="7"/>
    <x v="1"/>
    <x v="2"/>
    <x v="14"/>
    <x v="2"/>
    <n v="1"/>
  </r>
  <r>
    <x v="0"/>
    <x v="0"/>
    <x v="7"/>
    <x v="1"/>
    <x v="2"/>
    <x v="14"/>
    <x v="18"/>
    <n v="3"/>
  </r>
  <r>
    <x v="0"/>
    <x v="0"/>
    <x v="7"/>
    <x v="1"/>
    <x v="2"/>
    <x v="13"/>
    <x v="0"/>
    <n v="1"/>
  </r>
  <r>
    <x v="0"/>
    <x v="0"/>
    <x v="7"/>
    <x v="1"/>
    <x v="2"/>
    <x v="13"/>
    <x v="18"/>
    <n v="1"/>
  </r>
  <r>
    <x v="0"/>
    <x v="0"/>
    <x v="7"/>
    <x v="1"/>
    <x v="2"/>
    <x v="2"/>
    <x v="2"/>
    <n v="3"/>
  </r>
  <r>
    <x v="0"/>
    <x v="0"/>
    <x v="7"/>
    <x v="1"/>
    <x v="2"/>
    <x v="2"/>
    <x v="13"/>
    <n v="2"/>
  </r>
  <r>
    <x v="0"/>
    <x v="0"/>
    <x v="7"/>
    <x v="1"/>
    <x v="2"/>
    <x v="2"/>
    <x v="11"/>
    <n v="3"/>
  </r>
  <r>
    <x v="0"/>
    <x v="0"/>
    <x v="7"/>
    <x v="1"/>
    <x v="2"/>
    <x v="2"/>
    <x v="17"/>
    <n v="4"/>
  </r>
  <r>
    <x v="0"/>
    <x v="0"/>
    <x v="7"/>
    <x v="1"/>
    <x v="2"/>
    <x v="2"/>
    <x v="19"/>
    <n v="5"/>
  </r>
  <r>
    <x v="0"/>
    <x v="0"/>
    <x v="7"/>
    <x v="1"/>
    <x v="2"/>
    <x v="10"/>
    <x v="5"/>
    <n v="1"/>
  </r>
  <r>
    <x v="0"/>
    <x v="0"/>
    <x v="7"/>
    <x v="1"/>
    <x v="2"/>
    <x v="10"/>
    <x v="2"/>
    <n v="1"/>
  </r>
  <r>
    <x v="0"/>
    <x v="0"/>
    <x v="7"/>
    <x v="1"/>
    <x v="2"/>
    <x v="10"/>
    <x v="13"/>
    <n v="1"/>
  </r>
  <r>
    <x v="0"/>
    <x v="0"/>
    <x v="7"/>
    <x v="1"/>
    <x v="2"/>
    <x v="10"/>
    <x v="11"/>
    <n v="2"/>
  </r>
  <r>
    <x v="0"/>
    <x v="0"/>
    <x v="7"/>
    <x v="1"/>
    <x v="2"/>
    <x v="10"/>
    <x v="17"/>
    <n v="1"/>
  </r>
  <r>
    <x v="0"/>
    <x v="0"/>
    <x v="7"/>
    <x v="1"/>
    <x v="2"/>
    <x v="3"/>
    <x v="2"/>
    <n v="3"/>
  </r>
  <r>
    <x v="0"/>
    <x v="0"/>
    <x v="7"/>
    <x v="1"/>
    <x v="2"/>
    <x v="4"/>
    <x v="2"/>
    <n v="2"/>
  </r>
  <r>
    <x v="0"/>
    <x v="0"/>
    <x v="7"/>
    <x v="1"/>
    <x v="2"/>
    <x v="4"/>
    <x v="13"/>
    <n v="1"/>
  </r>
  <r>
    <x v="0"/>
    <x v="0"/>
    <x v="7"/>
    <x v="1"/>
    <x v="2"/>
    <x v="5"/>
    <x v="13"/>
    <n v="1"/>
  </r>
  <r>
    <x v="0"/>
    <x v="0"/>
    <x v="7"/>
    <x v="1"/>
    <x v="3"/>
    <x v="2"/>
    <x v="18"/>
    <n v="1"/>
  </r>
  <r>
    <x v="0"/>
    <x v="0"/>
    <x v="7"/>
    <x v="3"/>
    <x v="2"/>
    <x v="0"/>
    <x v="19"/>
    <n v="1"/>
  </r>
  <r>
    <x v="0"/>
    <x v="0"/>
    <x v="7"/>
    <x v="3"/>
    <x v="8"/>
    <x v="17"/>
    <x v="0"/>
    <n v="12"/>
  </r>
  <r>
    <x v="0"/>
    <x v="0"/>
    <x v="7"/>
    <x v="3"/>
    <x v="8"/>
    <x v="17"/>
    <x v="18"/>
    <n v="41"/>
  </r>
  <r>
    <x v="0"/>
    <x v="0"/>
    <x v="7"/>
    <x v="3"/>
    <x v="8"/>
    <x v="16"/>
    <x v="17"/>
    <n v="9"/>
  </r>
  <r>
    <x v="0"/>
    <x v="0"/>
    <x v="7"/>
    <x v="3"/>
    <x v="8"/>
    <x v="16"/>
    <x v="19"/>
    <n v="178"/>
  </r>
  <r>
    <x v="0"/>
    <x v="0"/>
    <x v="7"/>
    <x v="3"/>
    <x v="8"/>
    <x v="15"/>
    <x v="11"/>
    <n v="1"/>
  </r>
  <r>
    <x v="0"/>
    <x v="0"/>
    <x v="7"/>
    <x v="3"/>
    <x v="8"/>
    <x v="15"/>
    <x v="14"/>
    <n v="4"/>
  </r>
  <r>
    <x v="0"/>
    <x v="0"/>
    <x v="7"/>
    <x v="3"/>
    <x v="8"/>
    <x v="15"/>
    <x v="17"/>
    <n v="8"/>
  </r>
  <r>
    <x v="0"/>
    <x v="0"/>
    <x v="7"/>
    <x v="3"/>
    <x v="8"/>
    <x v="15"/>
    <x v="19"/>
    <n v="96"/>
  </r>
  <r>
    <x v="0"/>
    <x v="0"/>
    <x v="7"/>
    <x v="3"/>
    <x v="8"/>
    <x v="14"/>
    <x v="17"/>
    <n v="2"/>
  </r>
  <r>
    <x v="0"/>
    <x v="0"/>
    <x v="7"/>
    <x v="3"/>
    <x v="8"/>
    <x v="14"/>
    <x v="19"/>
    <n v="68"/>
  </r>
  <r>
    <x v="0"/>
    <x v="0"/>
    <x v="7"/>
    <x v="3"/>
    <x v="8"/>
    <x v="13"/>
    <x v="17"/>
    <n v="3"/>
  </r>
  <r>
    <x v="0"/>
    <x v="0"/>
    <x v="7"/>
    <x v="3"/>
    <x v="8"/>
    <x v="10"/>
    <x v="19"/>
    <n v="13"/>
  </r>
  <r>
    <x v="0"/>
    <x v="0"/>
    <x v="7"/>
    <x v="3"/>
    <x v="8"/>
    <x v="3"/>
    <x v="17"/>
    <n v="1"/>
  </r>
  <r>
    <x v="0"/>
    <x v="0"/>
    <x v="7"/>
    <x v="3"/>
    <x v="8"/>
    <x v="3"/>
    <x v="19"/>
    <n v="17"/>
  </r>
  <r>
    <x v="0"/>
    <x v="0"/>
    <x v="7"/>
    <x v="3"/>
    <x v="8"/>
    <x v="4"/>
    <x v="19"/>
    <n v="11"/>
  </r>
  <r>
    <x v="0"/>
    <x v="0"/>
    <x v="7"/>
    <x v="3"/>
    <x v="6"/>
    <x v="1"/>
    <x v="18"/>
    <n v="1"/>
  </r>
  <r>
    <x v="0"/>
    <x v="0"/>
    <x v="7"/>
    <x v="3"/>
    <x v="9"/>
    <x v="12"/>
    <x v="18"/>
    <n v="1"/>
  </r>
  <r>
    <x v="0"/>
    <x v="0"/>
    <x v="7"/>
    <x v="3"/>
    <x v="9"/>
    <x v="7"/>
    <x v="19"/>
    <n v="1"/>
  </r>
  <r>
    <x v="0"/>
    <x v="0"/>
    <x v="7"/>
    <x v="5"/>
    <x v="3"/>
    <x v="19"/>
    <x v="14"/>
    <n v="8"/>
  </r>
  <r>
    <x v="0"/>
    <x v="0"/>
    <x v="7"/>
    <x v="5"/>
    <x v="3"/>
    <x v="19"/>
    <x v="17"/>
    <n v="10"/>
  </r>
  <r>
    <x v="0"/>
    <x v="0"/>
    <x v="7"/>
    <x v="5"/>
    <x v="3"/>
    <x v="19"/>
    <x v="19"/>
    <n v="5"/>
  </r>
  <r>
    <x v="0"/>
    <x v="0"/>
    <x v="7"/>
    <x v="5"/>
    <x v="3"/>
    <x v="16"/>
    <x v="2"/>
    <n v="3"/>
  </r>
  <r>
    <x v="0"/>
    <x v="0"/>
    <x v="7"/>
    <x v="5"/>
    <x v="3"/>
    <x v="16"/>
    <x v="13"/>
    <n v="14"/>
  </r>
  <r>
    <x v="0"/>
    <x v="0"/>
    <x v="7"/>
    <x v="5"/>
    <x v="3"/>
    <x v="16"/>
    <x v="11"/>
    <n v="16"/>
  </r>
  <r>
    <x v="0"/>
    <x v="0"/>
    <x v="7"/>
    <x v="5"/>
    <x v="3"/>
    <x v="16"/>
    <x v="14"/>
    <n v="27"/>
  </r>
  <r>
    <x v="0"/>
    <x v="0"/>
    <x v="7"/>
    <x v="5"/>
    <x v="3"/>
    <x v="16"/>
    <x v="17"/>
    <n v="18"/>
  </r>
  <r>
    <x v="0"/>
    <x v="0"/>
    <x v="7"/>
    <x v="5"/>
    <x v="3"/>
    <x v="16"/>
    <x v="19"/>
    <n v="30"/>
  </r>
  <r>
    <x v="0"/>
    <x v="0"/>
    <x v="7"/>
    <x v="5"/>
    <x v="3"/>
    <x v="15"/>
    <x v="5"/>
    <n v="2"/>
  </r>
  <r>
    <x v="0"/>
    <x v="0"/>
    <x v="5"/>
    <x v="17"/>
    <x v="2"/>
    <x v="7"/>
    <x v="14"/>
    <n v="1"/>
  </r>
  <r>
    <x v="0"/>
    <x v="0"/>
    <x v="5"/>
    <x v="17"/>
    <x v="2"/>
    <x v="7"/>
    <x v="19"/>
    <n v="5"/>
  </r>
  <r>
    <x v="0"/>
    <x v="0"/>
    <x v="5"/>
    <x v="17"/>
    <x v="2"/>
    <x v="8"/>
    <x v="17"/>
    <n v="1"/>
  </r>
  <r>
    <x v="0"/>
    <x v="0"/>
    <x v="5"/>
    <x v="17"/>
    <x v="2"/>
    <x v="8"/>
    <x v="19"/>
    <n v="3"/>
  </r>
  <r>
    <x v="0"/>
    <x v="0"/>
    <x v="5"/>
    <x v="17"/>
    <x v="7"/>
    <x v="8"/>
    <x v="19"/>
    <n v="1"/>
  </r>
  <r>
    <x v="0"/>
    <x v="0"/>
    <x v="5"/>
    <x v="17"/>
    <x v="7"/>
    <x v="0"/>
    <x v="0"/>
    <n v="1"/>
  </r>
  <r>
    <x v="0"/>
    <x v="0"/>
    <x v="5"/>
    <x v="17"/>
    <x v="9"/>
    <x v="9"/>
    <x v="18"/>
    <n v="2"/>
  </r>
  <r>
    <x v="0"/>
    <x v="0"/>
    <x v="5"/>
    <x v="17"/>
    <x v="9"/>
    <x v="7"/>
    <x v="19"/>
    <n v="1"/>
  </r>
  <r>
    <x v="0"/>
    <x v="0"/>
    <x v="5"/>
    <x v="17"/>
    <x v="9"/>
    <x v="1"/>
    <x v="0"/>
    <n v="1"/>
  </r>
  <r>
    <x v="0"/>
    <x v="0"/>
    <x v="5"/>
    <x v="17"/>
    <x v="9"/>
    <x v="8"/>
    <x v="19"/>
    <n v="1"/>
  </r>
  <r>
    <x v="0"/>
    <x v="0"/>
    <x v="5"/>
    <x v="17"/>
    <x v="9"/>
    <x v="0"/>
    <x v="18"/>
    <n v="1"/>
  </r>
  <r>
    <x v="0"/>
    <x v="0"/>
    <x v="5"/>
    <x v="19"/>
    <x v="7"/>
    <x v="16"/>
    <x v="14"/>
    <n v="1"/>
  </r>
  <r>
    <x v="0"/>
    <x v="0"/>
    <x v="5"/>
    <x v="19"/>
    <x v="7"/>
    <x v="15"/>
    <x v="11"/>
    <n v="1"/>
  </r>
  <r>
    <x v="0"/>
    <x v="0"/>
    <x v="5"/>
    <x v="19"/>
    <x v="7"/>
    <x v="15"/>
    <x v="14"/>
    <n v="2"/>
  </r>
  <r>
    <x v="0"/>
    <x v="0"/>
    <x v="5"/>
    <x v="19"/>
    <x v="7"/>
    <x v="14"/>
    <x v="13"/>
    <n v="1"/>
  </r>
  <r>
    <x v="0"/>
    <x v="0"/>
    <x v="5"/>
    <x v="19"/>
    <x v="10"/>
    <x v="12"/>
    <x v="11"/>
    <n v="1"/>
  </r>
  <r>
    <x v="0"/>
    <x v="0"/>
    <x v="5"/>
    <x v="19"/>
    <x v="10"/>
    <x v="7"/>
    <x v="0"/>
    <n v="1"/>
  </r>
  <r>
    <x v="0"/>
    <x v="0"/>
    <x v="5"/>
    <x v="19"/>
    <x v="10"/>
    <x v="7"/>
    <x v="18"/>
    <n v="1"/>
  </r>
  <r>
    <x v="0"/>
    <x v="0"/>
    <x v="5"/>
    <x v="19"/>
    <x v="10"/>
    <x v="1"/>
    <x v="11"/>
    <n v="1"/>
  </r>
  <r>
    <x v="0"/>
    <x v="0"/>
    <x v="5"/>
    <x v="19"/>
    <x v="10"/>
    <x v="0"/>
    <x v="14"/>
    <n v="1"/>
  </r>
  <r>
    <x v="0"/>
    <x v="0"/>
    <x v="5"/>
    <x v="19"/>
    <x v="10"/>
    <x v="0"/>
    <x v="17"/>
    <n v="3"/>
  </r>
  <r>
    <x v="0"/>
    <x v="0"/>
    <x v="6"/>
    <x v="0"/>
    <x v="12"/>
    <x v="16"/>
    <x v="17"/>
    <n v="1"/>
  </r>
  <r>
    <x v="0"/>
    <x v="0"/>
    <x v="6"/>
    <x v="0"/>
    <x v="12"/>
    <x v="6"/>
    <x v="19"/>
    <n v="4"/>
  </r>
  <r>
    <x v="0"/>
    <x v="0"/>
    <x v="6"/>
    <x v="0"/>
    <x v="12"/>
    <x v="9"/>
    <x v="19"/>
    <n v="1"/>
  </r>
  <r>
    <x v="0"/>
    <x v="0"/>
    <x v="6"/>
    <x v="0"/>
    <x v="16"/>
    <x v="7"/>
    <x v="19"/>
    <n v="7"/>
  </r>
  <r>
    <x v="0"/>
    <x v="0"/>
    <x v="6"/>
    <x v="1"/>
    <x v="2"/>
    <x v="16"/>
    <x v="18"/>
    <n v="1"/>
  </r>
  <r>
    <x v="0"/>
    <x v="0"/>
    <x v="6"/>
    <x v="3"/>
    <x v="8"/>
    <x v="19"/>
    <x v="19"/>
    <n v="56"/>
  </r>
  <r>
    <x v="0"/>
    <x v="0"/>
    <x v="6"/>
    <x v="3"/>
    <x v="8"/>
    <x v="16"/>
    <x v="19"/>
    <n v="37"/>
  </r>
  <r>
    <x v="0"/>
    <x v="0"/>
    <x v="6"/>
    <x v="3"/>
    <x v="8"/>
    <x v="15"/>
    <x v="19"/>
    <n v="17"/>
  </r>
  <r>
    <x v="0"/>
    <x v="0"/>
    <x v="6"/>
    <x v="3"/>
    <x v="9"/>
    <x v="4"/>
    <x v="19"/>
    <n v="1"/>
  </r>
  <r>
    <x v="0"/>
    <x v="0"/>
    <x v="6"/>
    <x v="3"/>
    <x v="9"/>
    <x v="6"/>
    <x v="19"/>
    <n v="3"/>
  </r>
  <r>
    <x v="0"/>
    <x v="0"/>
    <x v="6"/>
    <x v="3"/>
    <x v="9"/>
    <x v="9"/>
    <x v="19"/>
    <n v="3"/>
  </r>
  <r>
    <x v="0"/>
    <x v="0"/>
    <x v="6"/>
    <x v="3"/>
    <x v="9"/>
    <x v="12"/>
    <x v="19"/>
    <n v="2"/>
  </r>
  <r>
    <x v="0"/>
    <x v="0"/>
    <x v="6"/>
    <x v="5"/>
    <x v="3"/>
    <x v="13"/>
    <x v="18"/>
    <n v="1"/>
  </r>
  <r>
    <x v="0"/>
    <x v="0"/>
    <x v="6"/>
    <x v="5"/>
    <x v="3"/>
    <x v="3"/>
    <x v="19"/>
    <n v="16"/>
  </r>
  <r>
    <x v="0"/>
    <x v="0"/>
    <x v="6"/>
    <x v="5"/>
    <x v="3"/>
    <x v="4"/>
    <x v="19"/>
    <n v="16"/>
  </r>
  <r>
    <x v="0"/>
    <x v="0"/>
    <x v="6"/>
    <x v="5"/>
    <x v="3"/>
    <x v="5"/>
    <x v="19"/>
    <n v="13"/>
  </r>
  <r>
    <x v="0"/>
    <x v="0"/>
    <x v="6"/>
    <x v="5"/>
    <x v="3"/>
    <x v="11"/>
    <x v="19"/>
    <n v="8"/>
  </r>
  <r>
    <x v="0"/>
    <x v="0"/>
    <x v="6"/>
    <x v="5"/>
    <x v="3"/>
    <x v="6"/>
    <x v="19"/>
    <n v="3"/>
  </r>
  <r>
    <x v="0"/>
    <x v="0"/>
    <x v="6"/>
    <x v="5"/>
    <x v="3"/>
    <x v="9"/>
    <x v="19"/>
    <n v="2"/>
  </r>
  <r>
    <x v="0"/>
    <x v="0"/>
    <x v="6"/>
    <x v="5"/>
    <x v="3"/>
    <x v="12"/>
    <x v="19"/>
    <n v="2"/>
  </r>
  <r>
    <x v="0"/>
    <x v="0"/>
    <x v="6"/>
    <x v="6"/>
    <x v="2"/>
    <x v="18"/>
    <x v="19"/>
    <n v="44"/>
  </r>
  <r>
    <x v="0"/>
    <x v="0"/>
    <x v="6"/>
    <x v="6"/>
    <x v="2"/>
    <x v="16"/>
    <x v="18"/>
    <n v="3"/>
  </r>
  <r>
    <x v="0"/>
    <x v="0"/>
    <x v="6"/>
    <x v="6"/>
    <x v="2"/>
    <x v="15"/>
    <x v="18"/>
    <n v="6"/>
  </r>
  <r>
    <x v="0"/>
    <x v="0"/>
    <x v="6"/>
    <x v="6"/>
    <x v="2"/>
    <x v="2"/>
    <x v="19"/>
    <n v="2"/>
  </r>
  <r>
    <x v="0"/>
    <x v="0"/>
    <x v="6"/>
    <x v="12"/>
    <x v="1"/>
    <x v="19"/>
    <x v="19"/>
    <n v="1"/>
  </r>
  <r>
    <x v="0"/>
    <x v="0"/>
    <x v="6"/>
    <x v="12"/>
    <x v="1"/>
    <x v="3"/>
    <x v="19"/>
    <n v="2"/>
  </r>
  <r>
    <x v="0"/>
    <x v="0"/>
    <x v="6"/>
    <x v="12"/>
    <x v="1"/>
    <x v="5"/>
    <x v="19"/>
    <n v="1"/>
  </r>
  <r>
    <x v="0"/>
    <x v="0"/>
    <x v="6"/>
    <x v="13"/>
    <x v="2"/>
    <x v="0"/>
    <x v="19"/>
    <n v="1"/>
  </r>
  <r>
    <x v="0"/>
    <x v="0"/>
    <x v="6"/>
    <x v="13"/>
    <x v="6"/>
    <x v="1"/>
    <x v="19"/>
    <n v="6"/>
  </r>
  <r>
    <x v="0"/>
    <x v="0"/>
    <x v="6"/>
    <x v="13"/>
    <x v="6"/>
    <x v="0"/>
    <x v="19"/>
    <n v="2"/>
  </r>
  <r>
    <x v="0"/>
    <x v="0"/>
    <x v="7"/>
    <x v="0"/>
    <x v="12"/>
    <x v="14"/>
    <x v="18"/>
    <n v="3"/>
  </r>
  <r>
    <x v="0"/>
    <x v="0"/>
    <x v="7"/>
    <x v="0"/>
    <x v="12"/>
    <x v="13"/>
    <x v="18"/>
    <n v="1"/>
  </r>
  <r>
    <x v="0"/>
    <x v="0"/>
    <x v="7"/>
    <x v="1"/>
    <x v="2"/>
    <x v="19"/>
    <x v="0"/>
    <n v="4"/>
  </r>
  <r>
    <x v="0"/>
    <x v="0"/>
    <x v="7"/>
    <x v="1"/>
    <x v="2"/>
    <x v="16"/>
    <x v="19"/>
    <n v="4"/>
  </r>
  <r>
    <x v="0"/>
    <x v="0"/>
    <x v="7"/>
    <x v="1"/>
    <x v="2"/>
    <x v="15"/>
    <x v="14"/>
    <n v="2"/>
  </r>
  <r>
    <x v="0"/>
    <x v="0"/>
    <x v="7"/>
    <x v="1"/>
    <x v="2"/>
    <x v="15"/>
    <x v="17"/>
    <n v="4"/>
  </r>
  <r>
    <x v="0"/>
    <x v="0"/>
    <x v="7"/>
    <x v="1"/>
    <x v="2"/>
    <x v="15"/>
    <x v="19"/>
    <n v="4"/>
  </r>
  <r>
    <x v="0"/>
    <x v="0"/>
    <x v="7"/>
    <x v="1"/>
    <x v="2"/>
    <x v="14"/>
    <x v="13"/>
    <n v="3"/>
  </r>
  <r>
    <x v="0"/>
    <x v="0"/>
    <x v="7"/>
    <x v="1"/>
    <x v="2"/>
    <x v="14"/>
    <x v="11"/>
    <n v="5"/>
  </r>
  <r>
    <x v="0"/>
    <x v="0"/>
    <x v="7"/>
    <x v="1"/>
    <x v="2"/>
    <x v="14"/>
    <x v="14"/>
    <n v="3"/>
  </r>
  <r>
    <x v="0"/>
    <x v="0"/>
    <x v="7"/>
    <x v="1"/>
    <x v="2"/>
    <x v="13"/>
    <x v="2"/>
    <n v="3"/>
  </r>
  <r>
    <x v="0"/>
    <x v="0"/>
    <x v="7"/>
    <x v="1"/>
    <x v="2"/>
    <x v="13"/>
    <x v="13"/>
    <n v="2"/>
  </r>
  <r>
    <x v="0"/>
    <x v="0"/>
    <x v="7"/>
    <x v="1"/>
    <x v="2"/>
    <x v="10"/>
    <x v="18"/>
    <n v="2"/>
  </r>
  <r>
    <x v="0"/>
    <x v="0"/>
    <x v="7"/>
    <x v="1"/>
    <x v="2"/>
    <x v="3"/>
    <x v="0"/>
    <n v="2"/>
  </r>
  <r>
    <x v="0"/>
    <x v="0"/>
    <x v="7"/>
    <x v="1"/>
    <x v="2"/>
    <x v="4"/>
    <x v="18"/>
    <n v="1"/>
  </r>
  <r>
    <x v="0"/>
    <x v="0"/>
    <x v="7"/>
    <x v="1"/>
    <x v="2"/>
    <x v="5"/>
    <x v="0"/>
    <n v="1"/>
  </r>
  <r>
    <x v="0"/>
    <x v="0"/>
    <x v="7"/>
    <x v="1"/>
    <x v="2"/>
    <x v="5"/>
    <x v="18"/>
    <n v="2"/>
  </r>
  <r>
    <x v="0"/>
    <x v="0"/>
    <x v="7"/>
    <x v="1"/>
    <x v="2"/>
    <x v="11"/>
    <x v="0"/>
    <n v="1"/>
  </r>
  <r>
    <x v="0"/>
    <x v="0"/>
    <x v="7"/>
    <x v="1"/>
    <x v="2"/>
    <x v="12"/>
    <x v="19"/>
    <n v="1"/>
  </r>
  <r>
    <x v="0"/>
    <x v="0"/>
    <x v="7"/>
    <x v="1"/>
    <x v="2"/>
    <x v="7"/>
    <x v="2"/>
    <n v="1"/>
  </r>
  <r>
    <x v="0"/>
    <x v="0"/>
    <x v="7"/>
    <x v="1"/>
    <x v="2"/>
    <x v="1"/>
    <x v="17"/>
    <n v="1"/>
  </r>
  <r>
    <x v="0"/>
    <x v="0"/>
    <x v="7"/>
    <x v="1"/>
    <x v="2"/>
    <x v="0"/>
    <x v="17"/>
    <n v="1"/>
  </r>
  <r>
    <x v="0"/>
    <x v="0"/>
    <x v="7"/>
    <x v="1"/>
    <x v="3"/>
    <x v="13"/>
    <x v="14"/>
    <n v="1"/>
  </r>
  <r>
    <x v="0"/>
    <x v="0"/>
    <x v="7"/>
    <x v="2"/>
    <x v="0"/>
    <x v="3"/>
    <x v="19"/>
    <n v="1"/>
  </r>
  <r>
    <x v="0"/>
    <x v="0"/>
    <x v="7"/>
    <x v="3"/>
    <x v="0"/>
    <x v="0"/>
    <x v="0"/>
    <n v="1"/>
  </r>
  <r>
    <x v="0"/>
    <x v="0"/>
    <x v="7"/>
    <x v="3"/>
    <x v="8"/>
    <x v="18"/>
    <x v="0"/>
    <n v="22"/>
  </r>
  <r>
    <x v="0"/>
    <x v="0"/>
    <x v="7"/>
    <x v="3"/>
    <x v="8"/>
    <x v="18"/>
    <x v="18"/>
    <n v="61"/>
  </r>
  <r>
    <x v="0"/>
    <x v="0"/>
    <x v="7"/>
    <x v="3"/>
    <x v="8"/>
    <x v="19"/>
    <x v="11"/>
    <n v="1"/>
  </r>
  <r>
    <x v="0"/>
    <x v="0"/>
    <x v="7"/>
    <x v="3"/>
    <x v="8"/>
    <x v="19"/>
    <x v="14"/>
    <n v="10"/>
  </r>
  <r>
    <x v="0"/>
    <x v="0"/>
    <x v="5"/>
    <x v="12"/>
    <x v="19"/>
    <x v="8"/>
    <x v="19"/>
    <n v="6"/>
  </r>
  <r>
    <x v="0"/>
    <x v="0"/>
    <x v="5"/>
    <x v="13"/>
    <x v="17"/>
    <x v="18"/>
    <x v="17"/>
    <n v="1"/>
  </r>
  <r>
    <x v="0"/>
    <x v="0"/>
    <x v="5"/>
    <x v="13"/>
    <x v="17"/>
    <x v="18"/>
    <x v="19"/>
    <n v="87"/>
  </r>
  <r>
    <x v="0"/>
    <x v="0"/>
    <x v="5"/>
    <x v="13"/>
    <x v="17"/>
    <x v="16"/>
    <x v="0"/>
    <n v="62"/>
  </r>
  <r>
    <x v="0"/>
    <x v="0"/>
    <x v="5"/>
    <x v="13"/>
    <x v="17"/>
    <x v="16"/>
    <x v="18"/>
    <n v="91"/>
  </r>
  <r>
    <x v="0"/>
    <x v="0"/>
    <x v="5"/>
    <x v="13"/>
    <x v="17"/>
    <x v="15"/>
    <x v="0"/>
    <n v="96"/>
  </r>
  <r>
    <x v="0"/>
    <x v="0"/>
    <x v="5"/>
    <x v="13"/>
    <x v="17"/>
    <x v="15"/>
    <x v="18"/>
    <n v="153"/>
  </r>
  <r>
    <x v="0"/>
    <x v="0"/>
    <x v="5"/>
    <x v="13"/>
    <x v="17"/>
    <x v="14"/>
    <x v="0"/>
    <n v="175"/>
  </r>
  <r>
    <x v="0"/>
    <x v="0"/>
    <x v="5"/>
    <x v="13"/>
    <x v="17"/>
    <x v="14"/>
    <x v="18"/>
    <n v="239"/>
  </r>
  <r>
    <x v="0"/>
    <x v="0"/>
    <x v="5"/>
    <x v="13"/>
    <x v="17"/>
    <x v="7"/>
    <x v="19"/>
    <n v="11"/>
  </r>
  <r>
    <x v="0"/>
    <x v="0"/>
    <x v="5"/>
    <x v="13"/>
    <x v="17"/>
    <x v="1"/>
    <x v="18"/>
    <n v="1"/>
  </r>
  <r>
    <x v="0"/>
    <x v="0"/>
    <x v="5"/>
    <x v="13"/>
    <x v="17"/>
    <x v="8"/>
    <x v="17"/>
    <n v="2"/>
  </r>
  <r>
    <x v="0"/>
    <x v="0"/>
    <x v="5"/>
    <x v="13"/>
    <x v="17"/>
    <x v="8"/>
    <x v="19"/>
    <n v="3"/>
  </r>
  <r>
    <x v="0"/>
    <x v="0"/>
    <x v="5"/>
    <x v="13"/>
    <x v="17"/>
    <x v="0"/>
    <x v="18"/>
    <n v="1"/>
  </r>
  <r>
    <x v="0"/>
    <x v="0"/>
    <x v="5"/>
    <x v="16"/>
    <x v="0"/>
    <x v="10"/>
    <x v="11"/>
    <n v="1"/>
  </r>
  <r>
    <x v="0"/>
    <x v="0"/>
    <x v="5"/>
    <x v="16"/>
    <x v="0"/>
    <x v="3"/>
    <x v="0"/>
    <n v="1"/>
  </r>
  <r>
    <x v="0"/>
    <x v="0"/>
    <x v="5"/>
    <x v="16"/>
    <x v="0"/>
    <x v="4"/>
    <x v="0"/>
    <n v="1"/>
  </r>
  <r>
    <x v="0"/>
    <x v="0"/>
    <x v="5"/>
    <x v="16"/>
    <x v="0"/>
    <x v="11"/>
    <x v="0"/>
    <n v="1"/>
  </r>
  <r>
    <x v="0"/>
    <x v="0"/>
    <x v="5"/>
    <x v="16"/>
    <x v="19"/>
    <x v="11"/>
    <x v="18"/>
    <n v="1"/>
  </r>
  <r>
    <x v="0"/>
    <x v="0"/>
    <x v="5"/>
    <x v="16"/>
    <x v="19"/>
    <x v="6"/>
    <x v="0"/>
    <n v="1"/>
  </r>
  <r>
    <x v="0"/>
    <x v="0"/>
    <x v="5"/>
    <x v="16"/>
    <x v="19"/>
    <x v="6"/>
    <x v="18"/>
    <n v="1"/>
  </r>
  <r>
    <x v="0"/>
    <x v="0"/>
    <x v="5"/>
    <x v="16"/>
    <x v="19"/>
    <x v="12"/>
    <x v="18"/>
    <n v="1"/>
  </r>
  <r>
    <x v="0"/>
    <x v="0"/>
    <x v="5"/>
    <x v="16"/>
    <x v="19"/>
    <x v="7"/>
    <x v="13"/>
    <n v="1"/>
  </r>
  <r>
    <x v="0"/>
    <x v="0"/>
    <x v="5"/>
    <x v="16"/>
    <x v="19"/>
    <x v="7"/>
    <x v="14"/>
    <n v="1"/>
  </r>
  <r>
    <x v="0"/>
    <x v="0"/>
    <x v="5"/>
    <x v="16"/>
    <x v="19"/>
    <x v="7"/>
    <x v="17"/>
    <n v="1"/>
  </r>
  <r>
    <x v="0"/>
    <x v="0"/>
    <x v="5"/>
    <x v="16"/>
    <x v="19"/>
    <x v="7"/>
    <x v="19"/>
    <n v="2"/>
  </r>
  <r>
    <x v="0"/>
    <x v="0"/>
    <x v="5"/>
    <x v="16"/>
    <x v="19"/>
    <x v="1"/>
    <x v="0"/>
    <n v="1"/>
  </r>
  <r>
    <x v="0"/>
    <x v="0"/>
    <x v="5"/>
    <x v="16"/>
    <x v="19"/>
    <x v="8"/>
    <x v="17"/>
    <n v="2"/>
  </r>
  <r>
    <x v="0"/>
    <x v="0"/>
    <x v="5"/>
    <x v="16"/>
    <x v="19"/>
    <x v="0"/>
    <x v="0"/>
    <n v="2"/>
  </r>
  <r>
    <x v="0"/>
    <x v="0"/>
    <x v="5"/>
    <x v="16"/>
    <x v="19"/>
    <x v="0"/>
    <x v="18"/>
    <n v="1"/>
  </r>
  <r>
    <x v="0"/>
    <x v="0"/>
    <x v="5"/>
    <x v="17"/>
    <x v="2"/>
    <x v="9"/>
    <x v="19"/>
    <n v="15"/>
  </r>
  <r>
    <x v="0"/>
    <x v="0"/>
    <x v="5"/>
    <x v="17"/>
    <x v="2"/>
    <x v="12"/>
    <x v="19"/>
    <n v="11"/>
  </r>
  <r>
    <x v="0"/>
    <x v="0"/>
    <x v="5"/>
    <x v="17"/>
    <x v="2"/>
    <x v="7"/>
    <x v="18"/>
    <n v="1"/>
  </r>
  <r>
    <x v="0"/>
    <x v="0"/>
    <x v="5"/>
    <x v="17"/>
    <x v="2"/>
    <x v="1"/>
    <x v="19"/>
    <n v="4"/>
  </r>
  <r>
    <x v="0"/>
    <x v="0"/>
    <x v="5"/>
    <x v="17"/>
    <x v="2"/>
    <x v="8"/>
    <x v="18"/>
    <n v="1"/>
  </r>
  <r>
    <x v="0"/>
    <x v="0"/>
    <x v="5"/>
    <x v="17"/>
    <x v="2"/>
    <x v="0"/>
    <x v="19"/>
    <n v="10"/>
  </r>
  <r>
    <x v="0"/>
    <x v="0"/>
    <x v="5"/>
    <x v="17"/>
    <x v="3"/>
    <x v="0"/>
    <x v="19"/>
    <n v="3"/>
  </r>
  <r>
    <x v="0"/>
    <x v="0"/>
    <x v="5"/>
    <x v="17"/>
    <x v="9"/>
    <x v="15"/>
    <x v="19"/>
    <n v="1"/>
  </r>
  <r>
    <x v="0"/>
    <x v="0"/>
    <x v="5"/>
    <x v="17"/>
    <x v="9"/>
    <x v="13"/>
    <x v="13"/>
    <n v="1"/>
  </r>
  <r>
    <x v="0"/>
    <x v="0"/>
    <x v="5"/>
    <x v="17"/>
    <x v="9"/>
    <x v="12"/>
    <x v="17"/>
    <n v="1"/>
  </r>
  <r>
    <x v="0"/>
    <x v="0"/>
    <x v="5"/>
    <x v="17"/>
    <x v="9"/>
    <x v="12"/>
    <x v="19"/>
    <n v="3"/>
  </r>
  <r>
    <x v="0"/>
    <x v="0"/>
    <x v="5"/>
    <x v="17"/>
    <x v="9"/>
    <x v="7"/>
    <x v="0"/>
    <n v="1"/>
  </r>
  <r>
    <x v="0"/>
    <x v="0"/>
    <x v="5"/>
    <x v="17"/>
    <x v="9"/>
    <x v="1"/>
    <x v="19"/>
    <n v="1"/>
  </r>
  <r>
    <x v="0"/>
    <x v="0"/>
    <x v="5"/>
    <x v="17"/>
    <x v="9"/>
    <x v="0"/>
    <x v="19"/>
    <n v="2"/>
  </r>
  <r>
    <x v="0"/>
    <x v="0"/>
    <x v="5"/>
    <x v="19"/>
    <x v="7"/>
    <x v="16"/>
    <x v="0"/>
    <n v="1"/>
  </r>
  <r>
    <x v="0"/>
    <x v="0"/>
    <x v="5"/>
    <x v="19"/>
    <x v="7"/>
    <x v="14"/>
    <x v="0"/>
    <n v="1"/>
  </r>
  <r>
    <x v="0"/>
    <x v="0"/>
    <x v="5"/>
    <x v="19"/>
    <x v="10"/>
    <x v="7"/>
    <x v="14"/>
    <n v="1"/>
  </r>
  <r>
    <x v="0"/>
    <x v="0"/>
    <x v="5"/>
    <x v="19"/>
    <x v="10"/>
    <x v="1"/>
    <x v="0"/>
    <n v="1"/>
  </r>
  <r>
    <x v="0"/>
    <x v="0"/>
    <x v="5"/>
    <x v="19"/>
    <x v="10"/>
    <x v="8"/>
    <x v="11"/>
    <n v="1"/>
  </r>
  <r>
    <x v="0"/>
    <x v="0"/>
    <x v="6"/>
    <x v="0"/>
    <x v="12"/>
    <x v="18"/>
    <x v="19"/>
    <n v="3785"/>
  </r>
  <r>
    <x v="0"/>
    <x v="0"/>
    <x v="6"/>
    <x v="0"/>
    <x v="12"/>
    <x v="2"/>
    <x v="19"/>
    <n v="77"/>
  </r>
  <r>
    <x v="0"/>
    <x v="0"/>
    <x v="6"/>
    <x v="0"/>
    <x v="12"/>
    <x v="10"/>
    <x v="19"/>
    <n v="35"/>
  </r>
  <r>
    <x v="0"/>
    <x v="0"/>
    <x v="6"/>
    <x v="0"/>
    <x v="12"/>
    <x v="3"/>
    <x v="19"/>
    <n v="22"/>
  </r>
  <r>
    <x v="0"/>
    <x v="0"/>
    <x v="6"/>
    <x v="0"/>
    <x v="12"/>
    <x v="4"/>
    <x v="19"/>
    <n v="19"/>
  </r>
  <r>
    <x v="0"/>
    <x v="0"/>
    <x v="6"/>
    <x v="0"/>
    <x v="16"/>
    <x v="12"/>
    <x v="19"/>
    <n v="4"/>
  </r>
  <r>
    <x v="0"/>
    <x v="0"/>
    <x v="6"/>
    <x v="0"/>
    <x v="16"/>
    <x v="1"/>
    <x v="19"/>
    <n v="4"/>
  </r>
  <r>
    <x v="0"/>
    <x v="0"/>
    <x v="6"/>
    <x v="0"/>
    <x v="16"/>
    <x v="0"/>
    <x v="19"/>
    <n v="4"/>
  </r>
  <r>
    <x v="0"/>
    <x v="0"/>
    <x v="6"/>
    <x v="1"/>
    <x v="2"/>
    <x v="9"/>
    <x v="19"/>
    <n v="1"/>
  </r>
  <r>
    <x v="0"/>
    <x v="0"/>
    <x v="6"/>
    <x v="3"/>
    <x v="8"/>
    <x v="18"/>
    <x v="19"/>
    <n v="92"/>
  </r>
  <r>
    <x v="0"/>
    <x v="0"/>
    <x v="6"/>
    <x v="3"/>
    <x v="8"/>
    <x v="2"/>
    <x v="19"/>
    <n v="9"/>
  </r>
  <r>
    <x v="0"/>
    <x v="0"/>
    <x v="6"/>
    <x v="3"/>
    <x v="8"/>
    <x v="10"/>
    <x v="19"/>
    <n v="5"/>
  </r>
  <r>
    <x v="0"/>
    <x v="0"/>
    <x v="6"/>
    <x v="3"/>
    <x v="8"/>
    <x v="3"/>
    <x v="19"/>
    <n v="2"/>
  </r>
  <r>
    <x v="0"/>
    <x v="0"/>
    <x v="6"/>
    <x v="3"/>
    <x v="9"/>
    <x v="7"/>
    <x v="19"/>
    <n v="1"/>
  </r>
  <r>
    <x v="0"/>
    <x v="0"/>
    <x v="6"/>
    <x v="5"/>
    <x v="3"/>
    <x v="7"/>
    <x v="19"/>
    <n v="2"/>
  </r>
  <r>
    <x v="0"/>
    <x v="0"/>
    <x v="6"/>
    <x v="6"/>
    <x v="2"/>
    <x v="17"/>
    <x v="19"/>
    <n v="6"/>
  </r>
  <r>
    <x v="0"/>
    <x v="0"/>
    <x v="6"/>
    <x v="6"/>
    <x v="2"/>
    <x v="16"/>
    <x v="19"/>
    <n v="34"/>
  </r>
  <r>
    <x v="0"/>
    <x v="0"/>
    <x v="6"/>
    <x v="6"/>
    <x v="2"/>
    <x v="15"/>
    <x v="19"/>
    <n v="9"/>
  </r>
  <r>
    <x v="0"/>
    <x v="0"/>
    <x v="6"/>
    <x v="6"/>
    <x v="11"/>
    <x v="7"/>
    <x v="19"/>
    <n v="1"/>
  </r>
  <r>
    <x v="0"/>
    <x v="0"/>
    <x v="6"/>
    <x v="7"/>
    <x v="0"/>
    <x v="10"/>
    <x v="19"/>
    <n v="1"/>
  </r>
  <r>
    <x v="0"/>
    <x v="0"/>
    <x v="6"/>
    <x v="7"/>
    <x v="0"/>
    <x v="3"/>
    <x v="19"/>
    <n v="1"/>
  </r>
  <r>
    <x v="0"/>
    <x v="0"/>
    <x v="6"/>
    <x v="7"/>
    <x v="0"/>
    <x v="4"/>
    <x v="19"/>
    <n v="2"/>
  </r>
  <r>
    <x v="0"/>
    <x v="0"/>
    <x v="6"/>
    <x v="12"/>
    <x v="1"/>
    <x v="14"/>
    <x v="19"/>
    <n v="8"/>
  </r>
  <r>
    <x v="0"/>
    <x v="0"/>
    <x v="6"/>
    <x v="13"/>
    <x v="2"/>
    <x v="7"/>
    <x v="19"/>
    <n v="1"/>
  </r>
  <r>
    <x v="0"/>
    <x v="0"/>
    <x v="6"/>
    <x v="13"/>
    <x v="2"/>
    <x v="8"/>
    <x v="19"/>
    <n v="1"/>
  </r>
  <r>
    <x v="0"/>
    <x v="0"/>
    <x v="6"/>
    <x v="13"/>
    <x v="6"/>
    <x v="8"/>
    <x v="19"/>
    <n v="3"/>
  </r>
  <r>
    <x v="0"/>
    <x v="0"/>
    <x v="6"/>
    <x v="17"/>
    <x v="9"/>
    <x v="16"/>
    <x v="19"/>
    <n v="1"/>
  </r>
  <r>
    <x v="0"/>
    <x v="0"/>
    <x v="7"/>
    <x v="0"/>
    <x v="12"/>
    <x v="17"/>
    <x v="19"/>
    <n v="33"/>
  </r>
  <r>
    <x v="0"/>
    <x v="0"/>
    <x v="7"/>
    <x v="0"/>
    <x v="12"/>
    <x v="14"/>
    <x v="17"/>
    <n v="2"/>
  </r>
  <r>
    <x v="0"/>
    <x v="0"/>
    <x v="7"/>
    <x v="0"/>
    <x v="12"/>
    <x v="14"/>
    <x v="19"/>
    <n v="36"/>
  </r>
  <r>
    <x v="0"/>
    <x v="0"/>
    <x v="7"/>
    <x v="0"/>
    <x v="12"/>
    <x v="13"/>
    <x v="19"/>
    <n v="15"/>
  </r>
  <r>
    <x v="0"/>
    <x v="0"/>
    <x v="7"/>
    <x v="5"/>
    <x v="3"/>
    <x v="15"/>
    <x v="2"/>
    <n v="7"/>
  </r>
  <r>
    <x v="0"/>
    <x v="0"/>
    <x v="7"/>
    <x v="5"/>
    <x v="3"/>
    <x v="15"/>
    <x v="13"/>
    <n v="6"/>
  </r>
  <r>
    <x v="0"/>
    <x v="0"/>
    <x v="7"/>
    <x v="5"/>
    <x v="3"/>
    <x v="15"/>
    <x v="11"/>
    <n v="13"/>
  </r>
  <r>
    <x v="0"/>
    <x v="0"/>
    <x v="7"/>
    <x v="5"/>
    <x v="3"/>
    <x v="15"/>
    <x v="14"/>
    <n v="17"/>
  </r>
  <r>
    <x v="0"/>
    <x v="0"/>
    <x v="7"/>
    <x v="5"/>
    <x v="3"/>
    <x v="14"/>
    <x v="5"/>
    <n v="4"/>
  </r>
  <r>
    <x v="0"/>
    <x v="0"/>
    <x v="7"/>
    <x v="5"/>
    <x v="3"/>
    <x v="14"/>
    <x v="2"/>
    <n v="1"/>
  </r>
  <r>
    <x v="0"/>
    <x v="0"/>
    <x v="7"/>
    <x v="5"/>
    <x v="3"/>
    <x v="14"/>
    <x v="13"/>
    <n v="6"/>
  </r>
  <r>
    <x v="0"/>
    <x v="0"/>
    <x v="7"/>
    <x v="5"/>
    <x v="3"/>
    <x v="13"/>
    <x v="5"/>
    <n v="1"/>
  </r>
  <r>
    <x v="0"/>
    <x v="0"/>
    <x v="7"/>
    <x v="5"/>
    <x v="3"/>
    <x v="13"/>
    <x v="0"/>
    <n v="8"/>
  </r>
  <r>
    <x v="0"/>
    <x v="0"/>
    <x v="7"/>
    <x v="5"/>
    <x v="3"/>
    <x v="13"/>
    <x v="18"/>
    <n v="4"/>
  </r>
  <r>
    <x v="0"/>
    <x v="0"/>
    <x v="7"/>
    <x v="5"/>
    <x v="3"/>
    <x v="2"/>
    <x v="13"/>
    <n v="4"/>
  </r>
  <r>
    <x v="0"/>
    <x v="0"/>
    <x v="7"/>
    <x v="5"/>
    <x v="3"/>
    <x v="2"/>
    <x v="11"/>
    <n v="2"/>
  </r>
  <r>
    <x v="0"/>
    <x v="0"/>
    <x v="7"/>
    <x v="5"/>
    <x v="3"/>
    <x v="2"/>
    <x v="14"/>
    <n v="4"/>
  </r>
  <r>
    <x v="0"/>
    <x v="0"/>
    <x v="7"/>
    <x v="5"/>
    <x v="3"/>
    <x v="10"/>
    <x v="2"/>
    <n v="2"/>
  </r>
  <r>
    <x v="0"/>
    <x v="0"/>
    <x v="7"/>
    <x v="5"/>
    <x v="3"/>
    <x v="10"/>
    <x v="13"/>
    <n v="3"/>
  </r>
  <r>
    <x v="0"/>
    <x v="0"/>
    <x v="7"/>
    <x v="5"/>
    <x v="3"/>
    <x v="10"/>
    <x v="11"/>
    <n v="3"/>
  </r>
  <r>
    <x v="0"/>
    <x v="0"/>
    <x v="7"/>
    <x v="5"/>
    <x v="3"/>
    <x v="3"/>
    <x v="5"/>
    <n v="1"/>
  </r>
  <r>
    <x v="0"/>
    <x v="0"/>
    <x v="7"/>
    <x v="5"/>
    <x v="3"/>
    <x v="3"/>
    <x v="2"/>
    <n v="3"/>
  </r>
  <r>
    <x v="0"/>
    <x v="0"/>
    <x v="7"/>
    <x v="5"/>
    <x v="3"/>
    <x v="3"/>
    <x v="13"/>
    <n v="1"/>
  </r>
  <r>
    <x v="0"/>
    <x v="0"/>
    <x v="7"/>
    <x v="5"/>
    <x v="3"/>
    <x v="4"/>
    <x v="2"/>
    <n v="2"/>
  </r>
  <r>
    <x v="0"/>
    <x v="0"/>
    <x v="7"/>
    <x v="5"/>
    <x v="3"/>
    <x v="7"/>
    <x v="19"/>
    <n v="4"/>
  </r>
  <r>
    <x v="0"/>
    <x v="0"/>
    <x v="7"/>
    <x v="5"/>
    <x v="6"/>
    <x v="18"/>
    <x v="19"/>
    <n v="3"/>
  </r>
  <r>
    <x v="0"/>
    <x v="0"/>
    <x v="7"/>
    <x v="6"/>
    <x v="2"/>
    <x v="18"/>
    <x v="18"/>
    <n v="5"/>
  </r>
  <r>
    <x v="0"/>
    <x v="0"/>
    <x v="7"/>
    <x v="6"/>
    <x v="2"/>
    <x v="19"/>
    <x v="0"/>
    <n v="3"/>
  </r>
  <r>
    <x v="0"/>
    <x v="0"/>
    <x v="7"/>
    <x v="6"/>
    <x v="2"/>
    <x v="19"/>
    <x v="18"/>
    <n v="10"/>
  </r>
  <r>
    <x v="0"/>
    <x v="0"/>
    <x v="7"/>
    <x v="6"/>
    <x v="2"/>
    <x v="15"/>
    <x v="19"/>
    <n v="17"/>
  </r>
  <r>
    <x v="0"/>
    <x v="0"/>
    <x v="7"/>
    <x v="6"/>
    <x v="2"/>
    <x v="14"/>
    <x v="14"/>
    <n v="6"/>
  </r>
  <r>
    <x v="0"/>
    <x v="0"/>
    <x v="7"/>
    <x v="6"/>
    <x v="2"/>
    <x v="2"/>
    <x v="19"/>
    <n v="4"/>
  </r>
  <r>
    <x v="0"/>
    <x v="0"/>
    <x v="7"/>
    <x v="6"/>
    <x v="15"/>
    <x v="7"/>
    <x v="19"/>
    <n v="3"/>
  </r>
  <r>
    <x v="0"/>
    <x v="0"/>
    <x v="7"/>
    <x v="6"/>
    <x v="15"/>
    <x v="8"/>
    <x v="17"/>
    <n v="1"/>
  </r>
  <r>
    <x v="0"/>
    <x v="0"/>
    <x v="7"/>
    <x v="6"/>
    <x v="15"/>
    <x v="8"/>
    <x v="19"/>
    <n v="7"/>
  </r>
  <r>
    <x v="0"/>
    <x v="0"/>
    <x v="7"/>
    <x v="6"/>
    <x v="11"/>
    <x v="4"/>
    <x v="19"/>
    <n v="1"/>
  </r>
  <r>
    <x v="0"/>
    <x v="0"/>
    <x v="7"/>
    <x v="6"/>
    <x v="11"/>
    <x v="11"/>
    <x v="19"/>
    <n v="2"/>
  </r>
  <r>
    <x v="0"/>
    <x v="0"/>
    <x v="7"/>
    <x v="6"/>
    <x v="11"/>
    <x v="1"/>
    <x v="18"/>
    <n v="1"/>
  </r>
  <r>
    <x v="0"/>
    <x v="0"/>
    <x v="7"/>
    <x v="6"/>
    <x v="11"/>
    <x v="8"/>
    <x v="19"/>
    <n v="1"/>
  </r>
  <r>
    <x v="0"/>
    <x v="0"/>
    <x v="7"/>
    <x v="9"/>
    <x v="13"/>
    <x v="9"/>
    <x v="11"/>
    <n v="1"/>
  </r>
  <r>
    <x v="0"/>
    <x v="0"/>
    <x v="7"/>
    <x v="9"/>
    <x v="13"/>
    <x v="9"/>
    <x v="14"/>
    <n v="1"/>
  </r>
  <r>
    <x v="0"/>
    <x v="0"/>
    <x v="7"/>
    <x v="8"/>
    <x v="13"/>
    <x v="15"/>
    <x v="19"/>
    <n v="2"/>
  </r>
  <r>
    <x v="0"/>
    <x v="0"/>
    <x v="7"/>
    <x v="8"/>
    <x v="13"/>
    <x v="14"/>
    <x v="17"/>
    <n v="1"/>
  </r>
  <r>
    <x v="0"/>
    <x v="0"/>
    <x v="7"/>
    <x v="8"/>
    <x v="13"/>
    <x v="14"/>
    <x v="19"/>
    <n v="3"/>
  </r>
  <r>
    <x v="0"/>
    <x v="0"/>
    <x v="7"/>
    <x v="8"/>
    <x v="13"/>
    <x v="13"/>
    <x v="14"/>
    <n v="1"/>
  </r>
  <r>
    <x v="0"/>
    <x v="0"/>
    <x v="7"/>
    <x v="8"/>
    <x v="13"/>
    <x v="4"/>
    <x v="17"/>
    <n v="1"/>
  </r>
  <r>
    <x v="0"/>
    <x v="0"/>
    <x v="7"/>
    <x v="8"/>
    <x v="13"/>
    <x v="5"/>
    <x v="19"/>
    <n v="2"/>
  </r>
  <r>
    <x v="0"/>
    <x v="0"/>
    <x v="7"/>
    <x v="8"/>
    <x v="13"/>
    <x v="6"/>
    <x v="19"/>
    <n v="1"/>
  </r>
  <r>
    <x v="0"/>
    <x v="0"/>
    <x v="7"/>
    <x v="8"/>
    <x v="13"/>
    <x v="12"/>
    <x v="14"/>
    <n v="1"/>
  </r>
  <r>
    <x v="0"/>
    <x v="0"/>
    <x v="7"/>
    <x v="8"/>
    <x v="10"/>
    <x v="10"/>
    <x v="2"/>
    <n v="1"/>
  </r>
  <r>
    <x v="0"/>
    <x v="0"/>
    <x v="7"/>
    <x v="8"/>
    <x v="10"/>
    <x v="10"/>
    <x v="13"/>
    <n v="1"/>
  </r>
  <r>
    <x v="0"/>
    <x v="0"/>
    <x v="7"/>
    <x v="8"/>
    <x v="10"/>
    <x v="10"/>
    <x v="17"/>
    <n v="1"/>
  </r>
  <r>
    <x v="0"/>
    <x v="0"/>
    <x v="7"/>
    <x v="8"/>
    <x v="10"/>
    <x v="4"/>
    <x v="11"/>
    <n v="1"/>
  </r>
  <r>
    <x v="0"/>
    <x v="0"/>
    <x v="7"/>
    <x v="8"/>
    <x v="10"/>
    <x v="4"/>
    <x v="18"/>
    <n v="2"/>
  </r>
  <r>
    <x v="0"/>
    <x v="0"/>
    <x v="7"/>
    <x v="8"/>
    <x v="10"/>
    <x v="5"/>
    <x v="0"/>
    <n v="3"/>
  </r>
  <r>
    <x v="0"/>
    <x v="0"/>
    <x v="7"/>
    <x v="8"/>
    <x v="10"/>
    <x v="6"/>
    <x v="18"/>
    <n v="1"/>
  </r>
  <r>
    <x v="0"/>
    <x v="0"/>
    <x v="7"/>
    <x v="8"/>
    <x v="10"/>
    <x v="9"/>
    <x v="0"/>
    <n v="2"/>
  </r>
  <r>
    <x v="0"/>
    <x v="0"/>
    <x v="7"/>
    <x v="8"/>
    <x v="10"/>
    <x v="7"/>
    <x v="14"/>
    <n v="1"/>
  </r>
  <r>
    <x v="0"/>
    <x v="0"/>
    <x v="7"/>
    <x v="8"/>
    <x v="11"/>
    <x v="9"/>
    <x v="2"/>
    <n v="1"/>
  </r>
  <r>
    <x v="0"/>
    <x v="0"/>
    <x v="7"/>
    <x v="8"/>
    <x v="18"/>
    <x v="5"/>
    <x v="19"/>
    <n v="2"/>
  </r>
  <r>
    <x v="0"/>
    <x v="0"/>
    <x v="7"/>
    <x v="8"/>
    <x v="18"/>
    <x v="11"/>
    <x v="19"/>
    <n v="4"/>
  </r>
  <r>
    <x v="0"/>
    <x v="0"/>
    <x v="7"/>
    <x v="11"/>
    <x v="8"/>
    <x v="14"/>
    <x v="4"/>
    <n v="1"/>
  </r>
  <r>
    <x v="0"/>
    <x v="0"/>
    <x v="7"/>
    <x v="11"/>
    <x v="8"/>
    <x v="14"/>
    <x v="5"/>
    <n v="2"/>
  </r>
  <r>
    <x v="0"/>
    <x v="0"/>
    <x v="7"/>
    <x v="11"/>
    <x v="8"/>
    <x v="13"/>
    <x v="4"/>
    <n v="1"/>
  </r>
  <r>
    <x v="0"/>
    <x v="0"/>
    <x v="7"/>
    <x v="11"/>
    <x v="8"/>
    <x v="4"/>
    <x v="5"/>
    <n v="1"/>
  </r>
  <r>
    <x v="0"/>
    <x v="0"/>
    <x v="7"/>
    <x v="11"/>
    <x v="7"/>
    <x v="7"/>
    <x v="17"/>
    <n v="1"/>
  </r>
  <r>
    <x v="0"/>
    <x v="0"/>
    <x v="7"/>
    <x v="12"/>
    <x v="1"/>
    <x v="14"/>
    <x v="18"/>
    <n v="1"/>
  </r>
  <r>
    <x v="0"/>
    <x v="0"/>
    <x v="7"/>
    <x v="12"/>
    <x v="1"/>
    <x v="2"/>
    <x v="13"/>
    <n v="3"/>
  </r>
  <r>
    <x v="0"/>
    <x v="0"/>
    <x v="7"/>
    <x v="12"/>
    <x v="1"/>
    <x v="2"/>
    <x v="11"/>
    <n v="1"/>
  </r>
  <r>
    <x v="0"/>
    <x v="0"/>
    <x v="7"/>
    <x v="12"/>
    <x v="1"/>
    <x v="10"/>
    <x v="13"/>
    <n v="1"/>
  </r>
  <r>
    <x v="0"/>
    <x v="0"/>
    <x v="7"/>
    <x v="12"/>
    <x v="1"/>
    <x v="12"/>
    <x v="0"/>
    <n v="2"/>
  </r>
  <r>
    <x v="0"/>
    <x v="0"/>
    <x v="7"/>
    <x v="12"/>
    <x v="6"/>
    <x v="10"/>
    <x v="11"/>
    <n v="1"/>
  </r>
  <r>
    <x v="0"/>
    <x v="0"/>
    <x v="7"/>
    <x v="12"/>
    <x v="6"/>
    <x v="4"/>
    <x v="2"/>
    <n v="1"/>
  </r>
  <r>
    <x v="0"/>
    <x v="0"/>
    <x v="7"/>
    <x v="13"/>
    <x v="6"/>
    <x v="14"/>
    <x v="0"/>
    <n v="1"/>
  </r>
  <r>
    <x v="0"/>
    <x v="0"/>
    <x v="7"/>
    <x v="13"/>
    <x v="6"/>
    <x v="13"/>
    <x v="18"/>
    <n v="2"/>
  </r>
  <r>
    <x v="0"/>
    <x v="0"/>
    <x v="7"/>
    <x v="13"/>
    <x v="6"/>
    <x v="2"/>
    <x v="2"/>
    <n v="1"/>
  </r>
  <r>
    <x v="0"/>
    <x v="0"/>
    <x v="7"/>
    <x v="13"/>
    <x v="6"/>
    <x v="2"/>
    <x v="13"/>
    <n v="1"/>
  </r>
  <r>
    <x v="0"/>
    <x v="0"/>
    <x v="7"/>
    <x v="13"/>
    <x v="6"/>
    <x v="10"/>
    <x v="13"/>
    <n v="1"/>
  </r>
  <r>
    <x v="0"/>
    <x v="0"/>
    <x v="7"/>
    <x v="13"/>
    <x v="6"/>
    <x v="10"/>
    <x v="18"/>
    <n v="1"/>
  </r>
  <r>
    <x v="0"/>
    <x v="0"/>
    <x v="7"/>
    <x v="13"/>
    <x v="6"/>
    <x v="3"/>
    <x v="13"/>
    <n v="1"/>
  </r>
  <r>
    <x v="0"/>
    <x v="0"/>
    <x v="7"/>
    <x v="13"/>
    <x v="6"/>
    <x v="4"/>
    <x v="18"/>
    <n v="1"/>
  </r>
  <r>
    <x v="0"/>
    <x v="0"/>
    <x v="7"/>
    <x v="13"/>
    <x v="17"/>
    <x v="17"/>
    <x v="19"/>
    <n v="6"/>
  </r>
  <r>
    <x v="0"/>
    <x v="0"/>
    <x v="7"/>
    <x v="13"/>
    <x v="17"/>
    <x v="18"/>
    <x v="17"/>
    <n v="1"/>
  </r>
  <r>
    <x v="0"/>
    <x v="0"/>
    <x v="7"/>
    <x v="13"/>
    <x v="17"/>
    <x v="16"/>
    <x v="0"/>
    <n v="11"/>
  </r>
  <r>
    <x v="0"/>
    <x v="0"/>
    <x v="7"/>
    <x v="3"/>
    <x v="8"/>
    <x v="19"/>
    <x v="17"/>
    <n v="46"/>
  </r>
  <r>
    <x v="0"/>
    <x v="0"/>
    <x v="7"/>
    <x v="3"/>
    <x v="8"/>
    <x v="19"/>
    <x v="19"/>
    <n v="273"/>
  </r>
  <r>
    <x v="0"/>
    <x v="0"/>
    <x v="7"/>
    <x v="3"/>
    <x v="8"/>
    <x v="16"/>
    <x v="11"/>
    <n v="1"/>
  </r>
  <r>
    <x v="0"/>
    <x v="0"/>
    <x v="7"/>
    <x v="3"/>
    <x v="8"/>
    <x v="16"/>
    <x v="14"/>
    <n v="4"/>
  </r>
  <r>
    <x v="0"/>
    <x v="0"/>
    <x v="7"/>
    <x v="3"/>
    <x v="8"/>
    <x v="2"/>
    <x v="0"/>
    <n v="1"/>
  </r>
  <r>
    <x v="0"/>
    <x v="0"/>
    <x v="7"/>
    <x v="3"/>
    <x v="8"/>
    <x v="2"/>
    <x v="18"/>
    <n v="2"/>
  </r>
  <r>
    <x v="0"/>
    <x v="0"/>
    <x v="7"/>
    <x v="3"/>
    <x v="8"/>
    <x v="10"/>
    <x v="0"/>
    <n v="1"/>
  </r>
  <r>
    <x v="0"/>
    <x v="0"/>
    <x v="7"/>
    <x v="3"/>
    <x v="8"/>
    <x v="10"/>
    <x v="18"/>
    <n v="1"/>
  </r>
  <r>
    <x v="0"/>
    <x v="0"/>
    <x v="7"/>
    <x v="3"/>
    <x v="8"/>
    <x v="5"/>
    <x v="19"/>
    <n v="9"/>
  </r>
  <r>
    <x v="0"/>
    <x v="0"/>
    <x v="7"/>
    <x v="3"/>
    <x v="8"/>
    <x v="11"/>
    <x v="19"/>
    <n v="5"/>
  </r>
  <r>
    <x v="0"/>
    <x v="0"/>
    <x v="7"/>
    <x v="3"/>
    <x v="8"/>
    <x v="6"/>
    <x v="19"/>
    <n v="2"/>
  </r>
  <r>
    <x v="0"/>
    <x v="0"/>
    <x v="7"/>
    <x v="3"/>
    <x v="8"/>
    <x v="9"/>
    <x v="19"/>
    <n v="3"/>
  </r>
  <r>
    <x v="0"/>
    <x v="0"/>
    <x v="7"/>
    <x v="3"/>
    <x v="8"/>
    <x v="1"/>
    <x v="19"/>
    <n v="2"/>
  </r>
  <r>
    <x v="0"/>
    <x v="0"/>
    <x v="7"/>
    <x v="3"/>
    <x v="9"/>
    <x v="11"/>
    <x v="19"/>
    <n v="1"/>
  </r>
  <r>
    <x v="0"/>
    <x v="0"/>
    <x v="7"/>
    <x v="4"/>
    <x v="18"/>
    <x v="16"/>
    <x v="19"/>
    <n v="1"/>
  </r>
  <r>
    <x v="0"/>
    <x v="0"/>
    <x v="7"/>
    <x v="5"/>
    <x v="8"/>
    <x v="2"/>
    <x v="19"/>
    <n v="1"/>
  </r>
  <r>
    <x v="0"/>
    <x v="0"/>
    <x v="7"/>
    <x v="5"/>
    <x v="8"/>
    <x v="10"/>
    <x v="19"/>
    <n v="2"/>
  </r>
  <r>
    <x v="0"/>
    <x v="0"/>
    <x v="7"/>
    <x v="5"/>
    <x v="8"/>
    <x v="5"/>
    <x v="19"/>
    <n v="1"/>
  </r>
  <r>
    <x v="0"/>
    <x v="0"/>
    <x v="7"/>
    <x v="5"/>
    <x v="8"/>
    <x v="11"/>
    <x v="19"/>
    <n v="1"/>
  </r>
  <r>
    <x v="0"/>
    <x v="0"/>
    <x v="7"/>
    <x v="5"/>
    <x v="3"/>
    <x v="15"/>
    <x v="18"/>
    <n v="9"/>
  </r>
  <r>
    <x v="0"/>
    <x v="0"/>
    <x v="7"/>
    <x v="5"/>
    <x v="3"/>
    <x v="14"/>
    <x v="0"/>
    <n v="6"/>
  </r>
  <r>
    <x v="0"/>
    <x v="0"/>
    <x v="7"/>
    <x v="5"/>
    <x v="3"/>
    <x v="14"/>
    <x v="18"/>
    <n v="6"/>
  </r>
  <r>
    <x v="0"/>
    <x v="0"/>
    <x v="7"/>
    <x v="5"/>
    <x v="3"/>
    <x v="2"/>
    <x v="17"/>
    <n v="11"/>
  </r>
  <r>
    <x v="0"/>
    <x v="0"/>
    <x v="7"/>
    <x v="5"/>
    <x v="3"/>
    <x v="2"/>
    <x v="19"/>
    <n v="26"/>
  </r>
  <r>
    <x v="0"/>
    <x v="0"/>
    <x v="7"/>
    <x v="5"/>
    <x v="3"/>
    <x v="10"/>
    <x v="14"/>
    <n v="1"/>
  </r>
  <r>
    <x v="0"/>
    <x v="0"/>
    <x v="7"/>
    <x v="5"/>
    <x v="3"/>
    <x v="10"/>
    <x v="17"/>
    <n v="1"/>
  </r>
  <r>
    <x v="0"/>
    <x v="0"/>
    <x v="7"/>
    <x v="5"/>
    <x v="3"/>
    <x v="10"/>
    <x v="19"/>
    <n v="32"/>
  </r>
  <r>
    <x v="0"/>
    <x v="0"/>
    <x v="7"/>
    <x v="5"/>
    <x v="3"/>
    <x v="3"/>
    <x v="11"/>
    <n v="6"/>
  </r>
  <r>
    <x v="0"/>
    <x v="0"/>
    <x v="7"/>
    <x v="5"/>
    <x v="3"/>
    <x v="3"/>
    <x v="14"/>
    <n v="5"/>
  </r>
  <r>
    <x v="0"/>
    <x v="0"/>
    <x v="7"/>
    <x v="5"/>
    <x v="3"/>
    <x v="3"/>
    <x v="17"/>
    <n v="1"/>
  </r>
  <r>
    <x v="0"/>
    <x v="0"/>
    <x v="7"/>
    <x v="5"/>
    <x v="3"/>
    <x v="3"/>
    <x v="19"/>
    <n v="25"/>
  </r>
  <r>
    <x v="0"/>
    <x v="0"/>
    <x v="7"/>
    <x v="5"/>
    <x v="3"/>
    <x v="4"/>
    <x v="13"/>
    <n v="2"/>
  </r>
  <r>
    <x v="0"/>
    <x v="0"/>
    <x v="7"/>
    <x v="5"/>
    <x v="3"/>
    <x v="4"/>
    <x v="14"/>
    <n v="1"/>
  </r>
  <r>
    <x v="0"/>
    <x v="0"/>
    <x v="7"/>
    <x v="5"/>
    <x v="3"/>
    <x v="4"/>
    <x v="17"/>
    <n v="3"/>
  </r>
  <r>
    <x v="0"/>
    <x v="0"/>
    <x v="7"/>
    <x v="5"/>
    <x v="3"/>
    <x v="4"/>
    <x v="19"/>
    <n v="19"/>
  </r>
  <r>
    <x v="0"/>
    <x v="0"/>
    <x v="7"/>
    <x v="5"/>
    <x v="3"/>
    <x v="5"/>
    <x v="2"/>
    <n v="2"/>
  </r>
  <r>
    <x v="0"/>
    <x v="0"/>
    <x v="7"/>
    <x v="5"/>
    <x v="3"/>
    <x v="5"/>
    <x v="11"/>
    <n v="3"/>
  </r>
  <r>
    <x v="0"/>
    <x v="0"/>
    <x v="7"/>
    <x v="5"/>
    <x v="3"/>
    <x v="5"/>
    <x v="17"/>
    <n v="1"/>
  </r>
  <r>
    <x v="0"/>
    <x v="0"/>
    <x v="7"/>
    <x v="5"/>
    <x v="3"/>
    <x v="5"/>
    <x v="19"/>
    <n v="14"/>
  </r>
  <r>
    <x v="0"/>
    <x v="0"/>
    <x v="7"/>
    <x v="5"/>
    <x v="3"/>
    <x v="11"/>
    <x v="11"/>
    <n v="1"/>
  </r>
  <r>
    <x v="0"/>
    <x v="0"/>
    <x v="7"/>
    <x v="5"/>
    <x v="3"/>
    <x v="11"/>
    <x v="17"/>
    <n v="1"/>
  </r>
  <r>
    <x v="0"/>
    <x v="0"/>
    <x v="7"/>
    <x v="5"/>
    <x v="3"/>
    <x v="6"/>
    <x v="14"/>
    <n v="2"/>
  </r>
  <r>
    <x v="0"/>
    <x v="0"/>
    <x v="7"/>
    <x v="5"/>
    <x v="3"/>
    <x v="9"/>
    <x v="11"/>
    <n v="1"/>
  </r>
  <r>
    <x v="0"/>
    <x v="0"/>
    <x v="7"/>
    <x v="5"/>
    <x v="3"/>
    <x v="12"/>
    <x v="2"/>
    <n v="1"/>
  </r>
  <r>
    <x v="0"/>
    <x v="0"/>
    <x v="7"/>
    <x v="6"/>
    <x v="2"/>
    <x v="16"/>
    <x v="0"/>
    <n v="15"/>
  </r>
  <r>
    <x v="0"/>
    <x v="0"/>
    <x v="7"/>
    <x v="6"/>
    <x v="2"/>
    <x v="16"/>
    <x v="18"/>
    <n v="10"/>
  </r>
  <r>
    <x v="0"/>
    <x v="0"/>
    <x v="7"/>
    <x v="6"/>
    <x v="2"/>
    <x v="15"/>
    <x v="0"/>
    <n v="7"/>
  </r>
  <r>
    <x v="0"/>
    <x v="0"/>
    <x v="7"/>
    <x v="6"/>
    <x v="2"/>
    <x v="15"/>
    <x v="18"/>
    <n v="7"/>
  </r>
  <r>
    <x v="0"/>
    <x v="0"/>
    <x v="7"/>
    <x v="6"/>
    <x v="2"/>
    <x v="14"/>
    <x v="17"/>
    <n v="9"/>
  </r>
  <r>
    <x v="0"/>
    <x v="0"/>
    <x v="7"/>
    <x v="6"/>
    <x v="2"/>
    <x v="14"/>
    <x v="19"/>
    <n v="9"/>
  </r>
  <r>
    <x v="0"/>
    <x v="0"/>
    <x v="7"/>
    <x v="6"/>
    <x v="2"/>
    <x v="13"/>
    <x v="11"/>
    <n v="2"/>
  </r>
  <r>
    <x v="0"/>
    <x v="0"/>
    <x v="7"/>
    <x v="6"/>
    <x v="2"/>
    <x v="13"/>
    <x v="14"/>
    <n v="1"/>
  </r>
  <r>
    <x v="0"/>
    <x v="0"/>
    <x v="7"/>
    <x v="6"/>
    <x v="2"/>
    <x v="13"/>
    <x v="17"/>
    <n v="1"/>
  </r>
  <r>
    <x v="0"/>
    <x v="0"/>
    <x v="7"/>
    <x v="6"/>
    <x v="2"/>
    <x v="13"/>
    <x v="19"/>
    <n v="4"/>
  </r>
  <r>
    <x v="0"/>
    <x v="0"/>
    <x v="7"/>
    <x v="6"/>
    <x v="2"/>
    <x v="2"/>
    <x v="2"/>
    <n v="1"/>
  </r>
  <r>
    <x v="0"/>
    <x v="0"/>
    <x v="7"/>
    <x v="6"/>
    <x v="2"/>
    <x v="2"/>
    <x v="11"/>
    <n v="2"/>
  </r>
  <r>
    <x v="0"/>
    <x v="0"/>
    <x v="7"/>
    <x v="6"/>
    <x v="2"/>
    <x v="2"/>
    <x v="17"/>
    <n v="1"/>
  </r>
  <r>
    <x v="0"/>
    <x v="0"/>
    <x v="7"/>
    <x v="6"/>
    <x v="2"/>
    <x v="10"/>
    <x v="2"/>
    <n v="2"/>
  </r>
  <r>
    <x v="0"/>
    <x v="0"/>
    <x v="7"/>
    <x v="6"/>
    <x v="2"/>
    <x v="10"/>
    <x v="13"/>
    <n v="1"/>
  </r>
  <r>
    <x v="0"/>
    <x v="0"/>
    <x v="7"/>
    <x v="6"/>
    <x v="2"/>
    <x v="3"/>
    <x v="5"/>
    <n v="1"/>
  </r>
  <r>
    <x v="0"/>
    <x v="0"/>
    <x v="7"/>
    <x v="6"/>
    <x v="15"/>
    <x v="3"/>
    <x v="19"/>
    <n v="1"/>
  </r>
  <r>
    <x v="0"/>
    <x v="0"/>
    <x v="7"/>
    <x v="6"/>
    <x v="15"/>
    <x v="4"/>
    <x v="19"/>
    <n v="3"/>
  </r>
  <r>
    <x v="0"/>
    <x v="0"/>
    <x v="7"/>
    <x v="6"/>
    <x v="15"/>
    <x v="5"/>
    <x v="19"/>
    <n v="3"/>
  </r>
  <r>
    <x v="0"/>
    <x v="0"/>
    <x v="7"/>
    <x v="9"/>
    <x v="13"/>
    <x v="9"/>
    <x v="13"/>
    <n v="2"/>
  </r>
  <r>
    <x v="0"/>
    <x v="0"/>
    <x v="7"/>
    <x v="7"/>
    <x v="0"/>
    <x v="2"/>
    <x v="18"/>
    <n v="1"/>
  </r>
  <r>
    <x v="0"/>
    <x v="0"/>
    <x v="7"/>
    <x v="7"/>
    <x v="0"/>
    <x v="10"/>
    <x v="0"/>
    <n v="1"/>
  </r>
  <r>
    <x v="0"/>
    <x v="0"/>
    <x v="7"/>
    <x v="7"/>
    <x v="0"/>
    <x v="3"/>
    <x v="0"/>
    <n v="1"/>
  </r>
  <r>
    <x v="0"/>
    <x v="0"/>
    <x v="7"/>
    <x v="7"/>
    <x v="0"/>
    <x v="6"/>
    <x v="19"/>
    <n v="1"/>
  </r>
  <r>
    <x v="0"/>
    <x v="0"/>
    <x v="7"/>
    <x v="7"/>
    <x v="0"/>
    <x v="9"/>
    <x v="19"/>
    <n v="1"/>
  </r>
  <r>
    <x v="0"/>
    <x v="0"/>
    <x v="7"/>
    <x v="8"/>
    <x v="13"/>
    <x v="15"/>
    <x v="0"/>
    <n v="1"/>
  </r>
  <r>
    <x v="0"/>
    <x v="0"/>
    <x v="7"/>
    <x v="8"/>
    <x v="13"/>
    <x v="13"/>
    <x v="19"/>
    <n v="1"/>
  </r>
  <r>
    <x v="0"/>
    <x v="0"/>
    <x v="7"/>
    <x v="8"/>
    <x v="13"/>
    <x v="2"/>
    <x v="14"/>
    <n v="1"/>
  </r>
  <r>
    <x v="0"/>
    <x v="0"/>
    <x v="7"/>
    <x v="8"/>
    <x v="13"/>
    <x v="2"/>
    <x v="19"/>
    <n v="1"/>
  </r>
  <r>
    <x v="0"/>
    <x v="0"/>
    <x v="7"/>
    <x v="8"/>
    <x v="13"/>
    <x v="3"/>
    <x v="17"/>
    <n v="1"/>
  </r>
  <r>
    <x v="0"/>
    <x v="0"/>
    <x v="7"/>
    <x v="8"/>
    <x v="7"/>
    <x v="17"/>
    <x v="19"/>
    <n v="13"/>
  </r>
  <r>
    <x v="0"/>
    <x v="0"/>
    <x v="7"/>
    <x v="8"/>
    <x v="10"/>
    <x v="3"/>
    <x v="0"/>
    <n v="1"/>
  </r>
  <r>
    <x v="0"/>
    <x v="0"/>
    <x v="7"/>
    <x v="8"/>
    <x v="10"/>
    <x v="12"/>
    <x v="19"/>
    <n v="1"/>
  </r>
  <r>
    <x v="0"/>
    <x v="0"/>
    <x v="7"/>
    <x v="8"/>
    <x v="10"/>
    <x v="7"/>
    <x v="18"/>
    <n v="1"/>
  </r>
  <r>
    <x v="0"/>
    <x v="0"/>
    <x v="7"/>
    <x v="8"/>
    <x v="10"/>
    <x v="1"/>
    <x v="17"/>
    <n v="1"/>
  </r>
  <r>
    <x v="0"/>
    <x v="0"/>
    <x v="7"/>
    <x v="8"/>
    <x v="10"/>
    <x v="1"/>
    <x v="19"/>
    <n v="2"/>
  </r>
  <r>
    <x v="0"/>
    <x v="0"/>
    <x v="7"/>
    <x v="13"/>
    <x v="17"/>
    <x v="16"/>
    <x v="18"/>
    <n v="24"/>
  </r>
  <r>
    <x v="0"/>
    <x v="0"/>
    <x v="7"/>
    <x v="13"/>
    <x v="17"/>
    <x v="15"/>
    <x v="0"/>
    <n v="19"/>
  </r>
  <r>
    <x v="0"/>
    <x v="0"/>
    <x v="7"/>
    <x v="13"/>
    <x v="17"/>
    <x v="15"/>
    <x v="18"/>
    <n v="19"/>
  </r>
  <r>
    <x v="0"/>
    <x v="0"/>
    <x v="7"/>
    <x v="13"/>
    <x v="17"/>
    <x v="14"/>
    <x v="0"/>
    <n v="8"/>
  </r>
  <r>
    <x v="0"/>
    <x v="0"/>
    <x v="7"/>
    <x v="13"/>
    <x v="17"/>
    <x v="14"/>
    <x v="18"/>
    <n v="5"/>
  </r>
  <r>
    <x v="0"/>
    <x v="0"/>
    <x v="7"/>
    <x v="13"/>
    <x v="17"/>
    <x v="13"/>
    <x v="0"/>
    <n v="10"/>
  </r>
  <r>
    <x v="0"/>
    <x v="0"/>
    <x v="7"/>
    <x v="13"/>
    <x v="17"/>
    <x v="13"/>
    <x v="17"/>
    <n v="6"/>
  </r>
  <r>
    <x v="0"/>
    <x v="0"/>
    <x v="7"/>
    <x v="13"/>
    <x v="17"/>
    <x v="13"/>
    <x v="19"/>
    <n v="71"/>
  </r>
  <r>
    <x v="0"/>
    <x v="0"/>
    <x v="7"/>
    <x v="13"/>
    <x v="17"/>
    <x v="2"/>
    <x v="5"/>
    <n v="2"/>
  </r>
  <r>
    <x v="0"/>
    <x v="0"/>
    <x v="7"/>
    <x v="13"/>
    <x v="17"/>
    <x v="2"/>
    <x v="2"/>
    <n v="2"/>
  </r>
  <r>
    <x v="0"/>
    <x v="0"/>
    <x v="7"/>
    <x v="13"/>
    <x v="17"/>
    <x v="2"/>
    <x v="0"/>
    <n v="6"/>
  </r>
  <r>
    <x v="0"/>
    <x v="0"/>
    <x v="7"/>
    <x v="13"/>
    <x v="17"/>
    <x v="2"/>
    <x v="18"/>
    <n v="3"/>
  </r>
  <r>
    <x v="0"/>
    <x v="0"/>
    <x v="7"/>
    <x v="13"/>
    <x v="17"/>
    <x v="10"/>
    <x v="5"/>
    <n v="1"/>
  </r>
  <r>
    <x v="0"/>
    <x v="0"/>
    <x v="7"/>
    <x v="13"/>
    <x v="17"/>
    <x v="10"/>
    <x v="0"/>
    <n v="2"/>
  </r>
  <r>
    <x v="0"/>
    <x v="0"/>
    <x v="7"/>
    <x v="13"/>
    <x v="17"/>
    <x v="10"/>
    <x v="18"/>
    <n v="3"/>
  </r>
  <r>
    <x v="0"/>
    <x v="0"/>
    <x v="7"/>
    <x v="13"/>
    <x v="17"/>
    <x v="3"/>
    <x v="0"/>
    <n v="1"/>
  </r>
  <r>
    <x v="0"/>
    <x v="0"/>
    <x v="7"/>
    <x v="13"/>
    <x v="17"/>
    <x v="3"/>
    <x v="18"/>
    <n v="1"/>
  </r>
  <r>
    <x v="0"/>
    <x v="0"/>
    <x v="7"/>
    <x v="13"/>
    <x v="17"/>
    <x v="4"/>
    <x v="0"/>
    <n v="2"/>
  </r>
  <r>
    <x v="0"/>
    <x v="0"/>
    <x v="7"/>
    <x v="14"/>
    <x v="16"/>
    <x v="2"/>
    <x v="11"/>
    <n v="1"/>
  </r>
  <r>
    <x v="0"/>
    <x v="0"/>
    <x v="7"/>
    <x v="14"/>
    <x v="16"/>
    <x v="10"/>
    <x v="5"/>
    <n v="2"/>
  </r>
  <r>
    <x v="0"/>
    <x v="0"/>
    <x v="7"/>
    <x v="14"/>
    <x v="16"/>
    <x v="3"/>
    <x v="4"/>
    <n v="1"/>
  </r>
  <r>
    <x v="0"/>
    <x v="0"/>
    <x v="7"/>
    <x v="16"/>
    <x v="19"/>
    <x v="6"/>
    <x v="19"/>
    <n v="1"/>
  </r>
  <r>
    <x v="0"/>
    <x v="0"/>
    <x v="7"/>
    <x v="16"/>
    <x v="19"/>
    <x v="9"/>
    <x v="19"/>
    <n v="1"/>
  </r>
  <r>
    <x v="0"/>
    <x v="0"/>
    <x v="7"/>
    <x v="16"/>
    <x v="19"/>
    <x v="12"/>
    <x v="19"/>
    <n v="1"/>
  </r>
  <r>
    <x v="0"/>
    <x v="0"/>
    <x v="7"/>
    <x v="17"/>
    <x v="9"/>
    <x v="16"/>
    <x v="19"/>
    <n v="51"/>
  </r>
  <r>
    <x v="0"/>
    <x v="0"/>
    <x v="7"/>
    <x v="17"/>
    <x v="9"/>
    <x v="15"/>
    <x v="14"/>
    <n v="1"/>
  </r>
  <r>
    <x v="0"/>
    <x v="0"/>
    <x v="7"/>
    <x v="17"/>
    <x v="9"/>
    <x v="15"/>
    <x v="19"/>
    <n v="66"/>
  </r>
  <r>
    <x v="0"/>
    <x v="0"/>
    <x v="7"/>
    <x v="17"/>
    <x v="9"/>
    <x v="14"/>
    <x v="17"/>
    <n v="1"/>
  </r>
  <r>
    <x v="0"/>
    <x v="0"/>
    <x v="7"/>
    <x v="17"/>
    <x v="9"/>
    <x v="13"/>
    <x v="0"/>
    <n v="1"/>
  </r>
  <r>
    <x v="0"/>
    <x v="0"/>
    <x v="7"/>
    <x v="17"/>
    <x v="9"/>
    <x v="13"/>
    <x v="18"/>
    <n v="2"/>
  </r>
  <r>
    <x v="0"/>
    <x v="0"/>
    <x v="7"/>
    <x v="17"/>
    <x v="9"/>
    <x v="2"/>
    <x v="13"/>
    <n v="1"/>
  </r>
  <r>
    <x v="0"/>
    <x v="0"/>
    <x v="7"/>
    <x v="17"/>
    <x v="9"/>
    <x v="2"/>
    <x v="19"/>
    <n v="40"/>
  </r>
  <r>
    <x v="0"/>
    <x v="0"/>
    <x v="7"/>
    <x v="17"/>
    <x v="9"/>
    <x v="10"/>
    <x v="14"/>
    <n v="1"/>
  </r>
  <r>
    <x v="0"/>
    <x v="0"/>
    <x v="7"/>
    <x v="17"/>
    <x v="9"/>
    <x v="10"/>
    <x v="17"/>
    <n v="2"/>
  </r>
  <r>
    <x v="0"/>
    <x v="0"/>
    <x v="7"/>
    <x v="17"/>
    <x v="9"/>
    <x v="3"/>
    <x v="11"/>
    <n v="1"/>
  </r>
  <r>
    <x v="0"/>
    <x v="0"/>
    <x v="7"/>
    <x v="17"/>
    <x v="9"/>
    <x v="4"/>
    <x v="11"/>
    <n v="1"/>
  </r>
  <r>
    <x v="0"/>
    <x v="0"/>
    <x v="7"/>
    <x v="17"/>
    <x v="9"/>
    <x v="7"/>
    <x v="19"/>
    <n v="2"/>
  </r>
  <r>
    <x v="0"/>
    <x v="0"/>
    <x v="7"/>
    <x v="19"/>
    <x v="7"/>
    <x v="17"/>
    <x v="11"/>
    <n v="4"/>
  </r>
  <r>
    <x v="0"/>
    <x v="0"/>
    <x v="7"/>
    <x v="19"/>
    <x v="7"/>
    <x v="17"/>
    <x v="19"/>
    <n v="1"/>
  </r>
  <r>
    <x v="0"/>
    <x v="0"/>
    <x v="7"/>
    <x v="19"/>
    <x v="7"/>
    <x v="18"/>
    <x v="11"/>
    <n v="9"/>
  </r>
  <r>
    <x v="0"/>
    <x v="0"/>
    <x v="7"/>
    <x v="19"/>
    <x v="7"/>
    <x v="18"/>
    <x v="14"/>
    <n v="9"/>
  </r>
  <r>
    <x v="0"/>
    <x v="0"/>
    <x v="7"/>
    <x v="19"/>
    <x v="7"/>
    <x v="18"/>
    <x v="17"/>
    <n v="4"/>
  </r>
  <r>
    <x v="0"/>
    <x v="0"/>
    <x v="7"/>
    <x v="19"/>
    <x v="7"/>
    <x v="19"/>
    <x v="4"/>
    <n v="5"/>
  </r>
  <r>
    <x v="0"/>
    <x v="0"/>
    <x v="7"/>
    <x v="19"/>
    <x v="7"/>
    <x v="19"/>
    <x v="5"/>
    <n v="6"/>
  </r>
  <r>
    <x v="0"/>
    <x v="0"/>
    <x v="7"/>
    <x v="19"/>
    <x v="7"/>
    <x v="19"/>
    <x v="2"/>
    <n v="14"/>
  </r>
  <r>
    <x v="0"/>
    <x v="0"/>
    <x v="7"/>
    <x v="19"/>
    <x v="7"/>
    <x v="16"/>
    <x v="0"/>
    <n v="11"/>
  </r>
  <r>
    <x v="0"/>
    <x v="0"/>
    <x v="7"/>
    <x v="19"/>
    <x v="7"/>
    <x v="16"/>
    <x v="18"/>
    <n v="1"/>
  </r>
  <r>
    <x v="0"/>
    <x v="0"/>
    <x v="7"/>
    <x v="19"/>
    <x v="7"/>
    <x v="15"/>
    <x v="18"/>
    <n v="2"/>
  </r>
  <r>
    <x v="0"/>
    <x v="0"/>
    <x v="7"/>
    <x v="19"/>
    <x v="7"/>
    <x v="14"/>
    <x v="0"/>
    <n v="4"/>
  </r>
  <r>
    <x v="0"/>
    <x v="0"/>
    <x v="7"/>
    <x v="19"/>
    <x v="7"/>
    <x v="14"/>
    <x v="18"/>
    <n v="1"/>
  </r>
  <r>
    <x v="0"/>
    <x v="0"/>
    <x v="7"/>
    <x v="19"/>
    <x v="7"/>
    <x v="2"/>
    <x v="5"/>
    <n v="4"/>
  </r>
  <r>
    <x v="0"/>
    <x v="0"/>
    <x v="7"/>
    <x v="19"/>
    <x v="7"/>
    <x v="2"/>
    <x v="2"/>
    <n v="1"/>
  </r>
  <r>
    <x v="0"/>
    <x v="0"/>
    <x v="7"/>
    <x v="19"/>
    <x v="7"/>
    <x v="2"/>
    <x v="0"/>
    <n v="1"/>
  </r>
  <r>
    <x v="0"/>
    <x v="0"/>
    <x v="7"/>
    <x v="19"/>
    <x v="7"/>
    <x v="10"/>
    <x v="5"/>
    <n v="1"/>
  </r>
  <r>
    <x v="0"/>
    <x v="0"/>
    <x v="7"/>
    <x v="19"/>
    <x v="7"/>
    <x v="10"/>
    <x v="0"/>
    <n v="1"/>
  </r>
  <r>
    <x v="0"/>
    <x v="1"/>
    <x v="0"/>
    <x v="0"/>
    <x v="1"/>
    <x v="12"/>
    <x v="10"/>
    <n v="3"/>
  </r>
  <r>
    <x v="0"/>
    <x v="1"/>
    <x v="0"/>
    <x v="0"/>
    <x v="1"/>
    <x v="7"/>
    <x v="7"/>
    <n v="18"/>
  </r>
  <r>
    <x v="0"/>
    <x v="1"/>
    <x v="0"/>
    <x v="0"/>
    <x v="1"/>
    <x v="7"/>
    <x v="6"/>
    <n v="3"/>
  </r>
  <r>
    <x v="0"/>
    <x v="1"/>
    <x v="0"/>
    <x v="0"/>
    <x v="1"/>
    <x v="1"/>
    <x v="10"/>
    <n v="3"/>
  </r>
  <r>
    <x v="0"/>
    <x v="1"/>
    <x v="0"/>
    <x v="0"/>
    <x v="1"/>
    <x v="1"/>
    <x v="1"/>
    <n v="1"/>
  </r>
  <r>
    <x v="0"/>
    <x v="1"/>
    <x v="0"/>
    <x v="0"/>
    <x v="1"/>
    <x v="8"/>
    <x v="7"/>
    <n v="5"/>
  </r>
  <r>
    <x v="0"/>
    <x v="1"/>
    <x v="0"/>
    <x v="0"/>
    <x v="1"/>
    <x v="0"/>
    <x v="6"/>
    <n v="16"/>
  </r>
  <r>
    <x v="0"/>
    <x v="1"/>
    <x v="0"/>
    <x v="0"/>
    <x v="1"/>
    <x v="0"/>
    <x v="10"/>
    <n v="27"/>
  </r>
  <r>
    <x v="0"/>
    <x v="1"/>
    <x v="0"/>
    <x v="0"/>
    <x v="1"/>
    <x v="0"/>
    <x v="1"/>
    <n v="3"/>
  </r>
  <r>
    <x v="0"/>
    <x v="1"/>
    <x v="0"/>
    <x v="1"/>
    <x v="2"/>
    <x v="14"/>
    <x v="4"/>
    <n v="2"/>
  </r>
  <r>
    <x v="0"/>
    <x v="1"/>
    <x v="0"/>
    <x v="1"/>
    <x v="2"/>
    <x v="14"/>
    <x v="5"/>
    <n v="1"/>
  </r>
  <r>
    <x v="0"/>
    <x v="1"/>
    <x v="0"/>
    <x v="1"/>
    <x v="2"/>
    <x v="13"/>
    <x v="3"/>
    <n v="1"/>
  </r>
  <r>
    <x v="0"/>
    <x v="1"/>
    <x v="0"/>
    <x v="1"/>
    <x v="2"/>
    <x v="13"/>
    <x v="4"/>
    <n v="1"/>
  </r>
  <r>
    <x v="0"/>
    <x v="1"/>
    <x v="0"/>
    <x v="1"/>
    <x v="2"/>
    <x v="2"/>
    <x v="4"/>
    <n v="1"/>
  </r>
  <r>
    <x v="0"/>
    <x v="1"/>
    <x v="0"/>
    <x v="1"/>
    <x v="2"/>
    <x v="2"/>
    <x v="5"/>
    <n v="1"/>
  </r>
  <r>
    <x v="0"/>
    <x v="1"/>
    <x v="0"/>
    <x v="1"/>
    <x v="2"/>
    <x v="3"/>
    <x v="10"/>
    <n v="1"/>
  </r>
  <r>
    <x v="0"/>
    <x v="1"/>
    <x v="0"/>
    <x v="1"/>
    <x v="2"/>
    <x v="3"/>
    <x v="3"/>
    <n v="1"/>
  </r>
  <r>
    <x v="0"/>
    <x v="1"/>
    <x v="0"/>
    <x v="1"/>
    <x v="2"/>
    <x v="4"/>
    <x v="7"/>
    <n v="1"/>
  </r>
  <r>
    <x v="0"/>
    <x v="1"/>
    <x v="0"/>
    <x v="1"/>
    <x v="2"/>
    <x v="4"/>
    <x v="12"/>
    <n v="1"/>
  </r>
  <r>
    <x v="0"/>
    <x v="1"/>
    <x v="0"/>
    <x v="1"/>
    <x v="2"/>
    <x v="4"/>
    <x v="4"/>
    <n v="1"/>
  </r>
  <r>
    <x v="0"/>
    <x v="1"/>
    <x v="0"/>
    <x v="1"/>
    <x v="2"/>
    <x v="5"/>
    <x v="7"/>
    <n v="1"/>
  </r>
  <r>
    <x v="0"/>
    <x v="1"/>
    <x v="0"/>
    <x v="1"/>
    <x v="2"/>
    <x v="5"/>
    <x v="6"/>
    <n v="1"/>
  </r>
  <r>
    <x v="0"/>
    <x v="1"/>
    <x v="0"/>
    <x v="1"/>
    <x v="2"/>
    <x v="5"/>
    <x v="10"/>
    <n v="1"/>
  </r>
  <r>
    <x v="0"/>
    <x v="0"/>
    <x v="5"/>
    <x v="13"/>
    <x v="17"/>
    <x v="13"/>
    <x v="18"/>
    <n v="125"/>
  </r>
  <r>
    <x v="0"/>
    <x v="0"/>
    <x v="5"/>
    <x v="13"/>
    <x v="17"/>
    <x v="2"/>
    <x v="5"/>
    <n v="8"/>
  </r>
  <r>
    <x v="0"/>
    <x v="0"/>
    <x v="5"/>
    <x v="13"/>
    <x v="17"/>
    <x v="2"/>
    <x v="2"/>
    <n v="45"/>
  </r>
  <r>
    <x v="0"/>
    <x v="0"/>
    <x v="5"/>
    <x v="13"/>
    <x v="17"/>
    <x v="2"/>
    <x v="13"/>
    <n v="48"/>
  </r>
  <r>
    <x v="0"/>
    <x v="0"/>
    <x v="5"/>
    <x v="13"/>
    <x v="17"/>
    <x v="2"/>
    <x v="11"/>
    <n v="74"/>
  </r>
  <r>
    <x v="0"/>
    <x v="0"/>
    <x v="5"/>
    <x v="13"/>
    <x v="17"/>
    <x v="2"/>
    <x v="14"/>
    <n v="68"/>
  </r>
  <r>
    <x v="0"/>
    <x v="0"/>
    <x v="5"/>
    <x v="13"/>
    <x v="17"/>
    <x v="2"/>
    <x v="17"/>
    <n v="63"/>
  </r>
  <r>
    <x v="0"/>
    <x v="0"/>
    <x v="5"/>
    <x v="13"/>
    <x v="17"/>
    <x v="2"/>
    <x v="19"/>
    <n v="784"/>
  </r>
  <r>
    <x v="0"/>
    <x v="0"/>
    <x v="5"/>
    <x v="13"/>
    <x v="17"/>
    <x v="10"/>
    <x v="5"/>
    <n v="4"/>
  </r>
  <r>
    <x v="0"/>
    <x v="0"/>
    <x v="5"/>
    <x v="13"/>
    <x v="17"/>
    <x v="10"/>
    <x v="2"/>
    <n v="30"/>
  </r>
  <r>
    <x v="0"/>
    <x v="0"/>
    <x v="5"/>
    <x v="13"/>
    <x v="17"/>
    <x v="10"/>
    <x v="13"/>
    <n v="63"/>
  </r>
  <r>
    <x v="0"/>
    <x v="0"/>
    <x v="5"/>
    <x v="13"/>
    <x v="17"/>
    <x v="10"/>
    <x v="11"/>
    <n v="45"/>
  </r>
  <r>
    <x v="0"/>
    <x v="0"/>
    <x v="5"/>
    <x v="13"/>
    <x v="17"/>
    <x v="10"/>
    <x v="14"/>
    <n v="53"/>
  </r>
  <r>
    <x v="0"/>
    <x v="0"/>
    <x v="5"/>
    <x v="13"/>
    <x v="17"/>
    <x v="10"/>
    <x v="17"/>
    <n v="49"/>
  </r>
  <r>
    <x v="0"/>
    <x v="0"/>
    <x v="5"/>
    <x v="13"/>
    <x v="17"/>
    <x v="3"/>
    <x v="5"/>
    <n v="4"/>
  </r>
  <r>
    <x v="0"/>
    <x v="0"/>
    <x v="5"/>
    <x v="13"/>
    <x v="17"/>
    <x v="3"/>
    <x v="2"/>
    <n v="21"/>
  </r>
  <r>
    <x v="0"/>
    <x v="0"/>
    <x v="5"/>
    <x v="13"/>
    <x v="17"/>
    <x v="3"/>
    <x v="13"/>
    <n v="24"/>
  </r>
  <r>
    <x v="0"/>
    <x v="0"/>
    <x v="5"/>
    <x v="13"/>
    <x v="17"/>
    <x v="3"/>
    <x v="11"/>
    <n v="24"/>
  </r>
  <r>
    <x v="0"/>
    <x v="0"/>
    <x v="5"/>
    <x v="13"/>
    <x v="17"/>
    <x v="3"/>
    <x v="14"/>
    <n v="33"/>
  </r>
  <r>
    <x v="0"/>
    <x v="0"/>
    <x v="5"/>
    <x v="13"/>
    <x v="17"/>
    <x v="3"/>
    <x v="18"/>
    <n v="36"/>
  </r>
  <r>
    <x v="0"/>
    <x v="0"/>
    <x v="5"/>
    <x v="13"/>
    <x v="17"/>
    <x v="4"/>
    <x v="5"/>
    <n v="2"/>
  </r>
  <r>
    <x v="0"/>
    <x v="0"/>
    <x v="5"/>
    <x v="13"/>
    <x v="17"/>
    <x v="4"/>
    <x v="2"/>
    <n v="8"/>
  </r>
  <r>
    <x v="0"/>
    <x v="0"/>
    <x v="5"/>
    <x v="13"/>
    <x v="17"/>
    <x v="4"/>
    <x v="13"/>
    <n v="15"/>
  </r>
  <r>
    <x v="0"/>
    <x v="0"/>
    <x v="5"/>
    <x v="13"/>
    <x v="17"/>
    <x v="4"/>
    <x v="11"/>
    <n v="21"/>
  </r>
  <r>
    <x v="0"/>
    <x v="0"/>
    <x v="5"/>
    <x v="13"/>
    <x v="17"/>
    <x v="4"/>
    <x v="0"/>
    <n v="23"/>
  </r>
  <r>
    <x v="0"/>
    <x v="0"/>
    <x v="5"/>
    <x v="13"/>
    <x v="17"/>
    <x v="4"/>
    <x v="18"/>
    <n v="16"/>
  </r>
  <r>
    <x v="0"/>
    <x v="0"/>
    <x v="5"/>
    <x v="13"/>
    <x v="17"/>
    <x v="5"/>
    <x v="2"/>
    <n v="3"/>
  </r>
  <r>
    <x v="0"/>
    <x v="0"/>
    <x v="5"/>
    <x v="13"/>
    <x v="17"/>
    <x v="5"/>
    <x v="13"/>
    <n v="15"/>
  </r>
  <r>
    <x v="0"/>
    <x v="0"/>
    <x v="5"/>
    <x v="13"/>
    <x v="17"/>
    <x v="5"/>
    <x v="0"/>
    <n v="17"/>
  </r>
  <r>
    <x v="0"/>
    <x v="0"/>
    <x v="5"/>
    <x v="13"/>
    <x v="17"/>
    <x v="5"/>
    <x v="18"/>
    <n v="23"/>
  </r>
  <r>
    <x v="0"/>
    <x v="0"/>
    <x v="5"/>
    <x v="13"/>
    <x v="17"/>
    <x v="11"/>
    <x v="0"/>
    <n v="17"/>
  </r>
  <r>
    <x v="0"/>
    <x v="0"/>
    <x v="5"/>
    <x v="13"/>
    <x v="17"/>
    <x v="11"/>
    <x v="18"/>
    <n v="10"/>
  </r>
  <r>
    <x v="0"/>
    <x v="0"/>
    <x v="5"/>
    <x v="13"/>
    <x v="17"/>
    <x v="6"/>
    <x v="0"/>
    <n v="12"/>
  </r>
  <r>
    <x v="0"/>
    <x v="0"/>
    <x v="5"/>
    <x v="13"/>
    <x v="17"/>
    <x v="6"/>
    <x v="18"/>
    <n v="10"/>
  </r>
  <r>
    <x v="0"/>
    <x v="0"/>
    <x v="5"/>
    <x v="13"/>
    <x v="17"/>
    <x v="9"/>
    <x v="0"/>
    <n v="5"/>
  </r>
  <r>
    <x v="0"/>
    <x v="0"/>
    <x v="5"/>
    <x v="13"/>
    <x v="17"/>
    <x v="9"/>
    <x v="18"/>
    <n v="4"/>
  </r>
  <r>
    <x v="0"/>
    <x v="0"/>
    <x v="5"/>
    <x v="13"/>
    <x v="17"/>
    <x v="12"/>
    <x v="0"/>
    <n v="7"/>
  </r>
  <r>
    <x v="0"/>
    <x v="0"/>
    <x v="5"/>
    <x v="13"/>
    <x v="17"/>
    <x v="12"/>
    <x v="18"/>
    <n v="7"/>
  </r>
  <r>
    <x v="0"/>
    <x v="0"/>
    <x v="5"/>
    <x v="13"/>
    <x v="17"/>
    <x v="7"/>
    <x v="13"/>
    <n v="1"/>
  </r>
  <r>
    <x v="0"/>
    <x v="0"/>
    <x v="5"/>
    <x v="13"/>
    <x v="17"/>
    <x v="7"/>
    <x v="11"/>
    <n v="3"/>
  </r>
  <r>
    <x v="0"/>
    <x v="0"/>
    <x v="5"/>
    <x v="13"/>
    <x v="17"/>
    <x v="7"/>
    <x v="14"/>
    <n v="6"/>
  </r>
  <r>
    <x v="0"/>
    <x v="0"/>
    <x v="5"/>
    <x v="13"/>
    <x v="17"/>
    <x v="7"/>
    <x v="17"/>
    <n v="3"/>
  </r>
  <r>
    <x v="0"/>
    <x v="0"/>
    <x v="5"/>
    <x v="13"/>
    <x v="17"/>
    <x v="1"/>
    <x v="0"/>
    <n v="3"/>
  </r>
  <r>
    <x v="0"/>
    <x v="0"/>
    <x v="5"/>
    <x v="13"/>
    <x v="17"/>
    <x v="8"/>
    <x v="11"/>
    <n v="1"/>
  </r>
  <r>
    <x v="0"/>
    <x v="0"/>
    <x v="5"/>
    <x v="16"/>
    <x v="0"/>
    <x v="9"/>
    <x v="19"/>
    <n v="1"/>
  </r>
  <r>
    <x v="0"/>
    <x v="0"/>
    <x v="5"/>
    <x v="16"/>
    <x v="0"/>
    <x v="8"/>
    <x v="0"/>
    <n v="1"/>
  </r>
  <r>
    <x v="0"/>
    <x v="0"/>
    <x v="5"/>
    <x v="16"/>
    <x v="19"/>
    <x v="11"/>
    <x v="0"/>
    <n v="1"/>
  </r>
  <r>
    <x v="0"/>
    <x v="0"/>
    <x v="5"/>
    <x v="17"/>
    <x v="12"/>
    <x v="4"/>
    <x v="19"/>
    <n v="1"/>
  </r>
  <r>
    <x v="0"/>
    <x v="0"/>
    <x v="5"/>
    <x v="17"/>
    <x v="12"/>
    <x v="7"/>
    <x v="19"/>
    <n v="2"/>
  </r>
  <r>
    <x v="0"/>
    <x v="0"/>
    <x v="5"/>
    <x v="17"/>
    <x v="12"/>
    <x v="8"/>
    <x v="19"/>
    <n v="1"/>
  </r>
  <r>
    <x v="0"/>
    <x v="0"/>
    <x v="5"/>
    <x v="17"/>
    <x v="2"/>
    <x v="4"/>
    <x v="18"/>
    <n v="2"/>
  </r>
  <r>
    <x v="0"/>
    <x v="0"/>
    <x v="5"/>
    <x v="17"/>
    <x v="2"/>
    <x v="5"/>
    <x v="18"/>
    <n v="2"/>
  </r>
  <r>
    <x v="0"/>
    <x v="0"/>
    <x v="5"/>
    <x v="17"/>
    <x v="2"/>
    <x v="11"/>
    <x v="0"/>
    <n v="1"/>
  </r>
  <r>
    <x v="0"/>
    <x v="0"/>
    <x v="5"/>
    <x v="17"/>
    <x v="2"/>
    <x v="11"/>
    <x v="18"/>
    <n v="2"/>
  </r>
  <r>
    <x v="0"/>
    <x v="0"/>
    <x v="5"/>
    <x v="17"/>
    <x v="2"/>
    <x v="6"/>
    <x v="0"/>
    <n v="1"/>
  </r>
  <r>
    <x v="0"/>
    <x v="0"/>
    <x v="5"/>
    <x v="17"/>
    <x v="1"/>
    <x v="0"/>
    <x v="19"/>
    <n v="3"/>
  </r>
  <r>
    <x v="0"/>
    <x v="0"/>
    <x v="5"/>
    <x v="17"/>
    <x v="3"/>
    <x v="0"/>
    <x v="14"/>
    <n v="1"/>
  </r>
  <r>
    <x v="0"/>
    <x v="0"/>
    <x v="5"/>
    <x v="17"/>
    <x v="7"/>
    <x v="0"/>
    <x v="14"/>
    <n v="1"/>
  </r>
  <r>
    <x v="0"/>
    <x v="0"/>
    <x v="5"/>
    <x v="17"/>
    <x v="9"/>
    <x v="14"/>
    <x v="19"/>
    <n v="1"/>
  </r>
  <r>
    <x v="0"/>
    <x v="0"/>
    <x v="5"/>
    <x v="17"/>
    <x v="9"/>
    <x v="13"/>
    <x v="11"/>
    <n v="1"/>
  </r>
  <r>
    <x v="0"/>
    <x v="0"/>
    <x v="5"/>
    <x v="17"/>
    <x v="9"/>
    <x v="13"/>
    <x v="19"/>
    <n v="3"/>
  </r>
  <r>
    <x v="0"/>
    <x v="0"/>
    <x v="5"/>
    <x v="17"/>
    <x v="9"/>
    <x v="2"/>
    <x v="19"/>
    <n v="3"/>
  </r>
  <r>
    <x v="0"/>
    <x v="0"/>
    <x v="5"/>
    <x v="17"/>
    <x v="9"/>
    <x v="10"/>
    <x v="17"/>
    <n v="1"/>
  </r>
  <r>
    <x v="0"/>
    <x v="0"/>
    <x v="5"/>
    <x v="17"/>
    <x v="9"/>
    <x v="10"/>
    <x v="19"/>
    <n v="9"/>
  </r>
  <r>
    <x v="0"/>
    <x v="0"/>
    <x v="5"/>
    <x v="17"/>
    <x v="9"/>
    <x v="3"/>
    <x v="14"/>
    <n v="1"/>
  </r>
  <r>
    <x v="0"/>
    <x v="0"/>
    <x v="5"/>
    <x v="17"/>
    <x v="9"/>
    <x v="3"/>
    <x v="17"/>
    <n v="1"/>
  </r>
  <r>
    <x v="0"/>
    <x v="0"/>
    <x v="5"/>
    <x v="17"/>
    <x v="9"/>
    <x v="3"/>
    <x v="19"/>
    <n v="5"/>
  </r>
  <r>
    <x v="0"/>
    <x v="0"/>
    <x v="5"/>
    <x v="17"/>
    <x v="9"/>
    <x v="4"/>
    <x v="11"/>
    <n v="1"/>
  </r>
  <r>
    <x v="0"/>
    <x v="0"/>
    <x v="5"/>
    <x v="17"/>
    <x v="9"/>
    <x v="4"/>
    <x v="19"/>
    <n v="4"/>
  </r>
  <r>
    <x v="0"/>
    <x v="0"/>
    <x v="5"/>
    <x v="17"/>
    <x v="9"/>
    <x v="5"/>
    <x v="13"/>
    <n v="1"/>
  </r>
  <r>
    <x v="0"/>
    <x v="0"/>
    <x v="5"/>
    <x v="17"/>
    <x v="9"/>
    <x v="5"/>
    <x v="19"/>
    <n v="2"/>
  </r>
  <r>
    <x v="0"/>
    <x v="0"/>
    <x v="5"/>
    <x v="17"/>
    <x v="9"/>
    <x v="11"/>
    <x v="19"/>
    <n v="2"/>
  </r>
  <r>
    <x v="0"/>
    <x v="0"/>
    <x v="5"/>
    <x v="17"/>
    <x v="9"/>
    <x v="6"/>
    <x v="19"/>
    <n v="2"/>
  </r>
  <r>
    <x v="0"/>
    <x v="0"/>
    <x v="5"/>
    <x v="19"/>
    <x v="7"/>
    <x v="2"/>
    <x v="11"/>
    <n v="1"/>
  </r>
  <r>
    <x v="0"/>
    <x v="0"/>
    <x v="5"/>
    <x v="19"/>
    <x v="7"/>
    <x v="10"/>
    <x v="11"/>
    <n v="2"/>
  </r>
  <r>
    <x v="0"/>
    <x v="0"/>
    <x v="5"/>
    <x v="19"/>
    <x v="7"/>
    <x v="3"/>
    <x v="11"/>
    <n v="1"/>
  </r>
  <r>
    <x v="0"/>
    <x v="0"/>
    <x v="6"/>
    <x v="0"/>
    <x v="12"/>
    <x v="19"/>
    <x v="18"/>
    <n v="37"/>
  </r>
  <r>
    <x v="0"/>
    <x v="0"/>
    <x v="6"/>
    <x v="0"/>
    <x v="12"/>
    <x v="16"/>
    <x v="19"/>
    <n v="768"/>
  </r>
  <r>
    <x v="0"/>
    <x v="0"/>
    <x v="6"/>
    <x v="0"/>
    <x v="12"/>
    <x v="15"/>
    <x v="19"/>
    <n v="421"/>
  </r>
  <r>
    <x v="0"/>
    <x v="0"/>
    <x v="6"/>
    <x v="0"/>
    <x v="12"/>
    <x v="14"/>
    <x v="19"/>
    <n v="223"/>
  </r>
  <r>
    <x v="0"/>
    <x v="0"/>
    <x v="7"/>
    <x v="0"/>
    <x v="16"/>
    <x v="6"/>
    <x v="19"/>
    <n v="1"/>
  </r>
  <r>
    <x v="0"/>
    <x v="0"/>
    <x v="7"/>
    <x v="0"/>
    <x v="16"/>
    <x v="9"/>
    <x v="19"/>
    <n v="1"/>
  </r>
  <r>
    <x v="0"/>
    <x v="0"/>
    <x v="7"/>
    <x v="0"/>
    <x v="16"/>
    <x v="12"/>
    <x v="19"/>
    <n v="1"/>
  </r>
  <r>
    <x v="0"/>
    <x v="0"/>
    <x v="7"/>
    <x v="0"/>
    <x v="16"/>
    <x v="0"/>
    <x v="17"/>
    <n v="1"/>
  </r>
  <r>
    <x v="0"/>
    <x v="0"/>
    <x v="7"/>
    <x v="1"/>
    <x v="2"/>
    <x v="19"/>
    <x v="11"/>
    <n v="3"/>
  </r>
  <r>
    <x v="0"/>
    <x v="0"/>
    <x v="7"/>
    <x v="1"/>
    <x v="2"/>
    <x v="19"/>
    <x v="14"/>
    <n v="10"/>
  </r>
  <r>
    <x v="0"/>
    <x v="0"/>
    <x v="7"/>
    <x v="1"/>
    <x v="2"/>
    <x v="19"/>
    <x v="17"/>
    <n v="2"/>
  </r>
  <r>
    <x v="0"/>
    <x v="0"/>
    <x v="7"/>
    <x v="1"/>
    <x v="2"/>
    <x v="16"/>
    <x v="2"/>
    <n v="2"/>
  </r>
  <r>
    <x v="0"/>
    <x v="0"/>
    <x v="7"/>
    <x v="1"/>
    <x v="2"/>
    <x v="15"/>
    <x v="0"/>
    <n v="3"/>
  </r>
  <r>
    <x v="0"/>
    <x v="0"/>
    <x v="7"/>
    <x v="1"/>
    <x v="2"/>
    <x v="15"/>
    <x v="18"/>
    <n v="7"/>
  </r>
  <r>
    <x v="0"/>
    <x v="0"/>
    <x v="7"/>
    <x v="1"/>
    <x v="2"/>
    <x v="14"/>
    <x v="0"/>
    <n v="1"/>
  </r>
  <r>
    <x v="0"/>
    <x v="0"/>
    <x v="7"/>
    <x v="1"/>
    <x v="2"/>
    <x v="10"/>
    <x v="19"/>
    <n v="1"/>
  </r>
  <r>
    <x v="0"/>
    <x v="0"/>
    <x v="7"/>
    <x v="1"/>
    <x v="2"/>
    <x v="3"/>
    <x v="17"/>
    <n v="1"/>
  </r>
  <r>
    <x v="0"/>
    <x v="0"/>
    <x v="7"/>
    <x v="1"/>
    <x v="2"/>
    <x v="3"/>
    <x v="19"/>
    <n v="3"/>
  </r>
  <r>
    <x v="0"/>
    <x v="0"/>
    <x v="7"/>
    <x v="1"/>
    <x v="2"/>
    <x v="4"/>
    <x v="19"/>
    <n v="4"/>
  </r>
  <r>
    <x v="0"/>
    <x v="0"/>
    <x v="7"/>
    <x v="1"/>
    <x v="2"/>
    <x v="5"/>
    <x v="11"/>
    <n v="1"/>
  </r>
  <r>
    <x v="0"/>
    <x v="0"/>
    <x v="7"/>
    <x v="1"/>
    <x v="2"/>
    <x v="5"/>
    <x v="19"/>
    <n v="3"/>
  </r>
  <r>
    <x v="0"/>
    <x v="0"/>
    <x v="7"/>
    <x v="1"/>
    <x v="2"/>
    <x v="11"/>
    <x v="13"/>
    <n v="2"/>
  </r>
  <r>
    <x v="0"/>
    <x v="0"/>
    <x v="7"/>
    <x v="1"/>
    <x v="2"/>
    <x v="11"/>
    <x v="11"/>
    <n v="2"/>
  </r>
  <r>
    <x v="0"/>
    <x v="0"/>
    <x v="7"/>
    <x v="1"/>
    <x v="2"/>
    <x v="11"/>
    <x v="17"/>
    <n v="2"/>
  </r>
  <r>
    <x v="0"/>
    <x v="0"/>
    <x v="7"/>
    <x v="1"/>
    <x v="2"/>
    <x v="11"/>
    <x v="19"/>
    <n v="1"/>
  </r>
  <r>
    <x v="0"/>
    <x v="0"/>
    <x v="7"/>
    <x v="1"/>
    <x v="2"/>
    <x v="6"/>
    <x v="2"/>
    <n v="1"/>
  </r>
  <r>
    <x v="0"/>
    <x v="0"/>
    <x v="7"/>
    <x v="1"/>
    <x v="2"/>
    <x v="6"/>
    <x v="14"/>
    <n v="1"/>
  </r>
  <r>
    <x v="0"/>
    <x v="0"/>
    <x v="7"/>
    <x v="1"/>
    <x v="2"/>
    <x v="9"/>
    <x v="11"/>
    <n v="1"/>
  </r>
  <r>
    <x v="0"/>
    <x v="0"/>
    <x v="7"/>
    <x v="1"/>
    <x v="2"/>
    <x v="9"/>
    <x v="19"/>
    <n v="2"/>
  </r>
  <r>
    <x v="0"/>
    <x v="0"/>
    <x v="7"/>
    <x v="1"/>
    <x v="2"/>
    <x v="0"/>
    <x v="11"/>
    <n v="1"/>
  </r>
  <r>
    <x v="0"/>
    <x v="0"/>
    <x v="7"/>
    <x v="2"/>
    <x v="6"/>
    <x v="11"/>
    <x v="13"/>
    <n v="1"/>
  </r>
  <r>
    <x v="0"/>
    <x v="0"/>
    <x v="7"/>
    <x v="3"/>
    <x v="8"/>
    <x v="18"/>
    <x v="11"/>
    <n v="1"/>
  </r>
  <r>
    <x v="0"/>
    <x v="0"/>
    <x v="7"/>
    <x v="3"/>
    <x v="8"/>
    <x v="18"/>
    <x v="14"/>
    <n v="8"/>
  </r>
  <r>
    <x v="0"/>
    <x v="0"/>
    <x v="7"/>
    <x v="3"/>
    <x v="8"/>
    <x v="18"/>
    <x v="17"/>
    <n v="36"/>
  </r>
  <r>
    <x v="0"/>
    <x v="0"/>
    <x v="7"/>
    <x v="3"/>
    <x v="8"/>
    <x v="18"/>
    <x v="19"/>
    <n v="499"/>
  </r>
  <r>
    <x v="0"/>
    <x v="0"/>
    <x v="7"/>
    <x v="3"/>
    <x v="8"/>
    <x v="19"/>
    <x v="0"/>
    <n v="28"/>
  </r>
  <r>
    <x v="0"/>
    <x v="0"/>
    <x v="7"/>
    <x v="3"/>
    <x v="8"/>
    <x v="19"/>
    <x v="18"/>
    <n v="36"/>
  </r>
  <r>
    <x v="0"/>
    <x v="0"/>
    <x v="7"/>
    <x v="3"/>
    <x v="8"/>
    <x v="16"/>
    <x v="0"/>
    <n v="9"/>
  </r>
  <r>
    <x v="0"/>
    <x v="0"/>
    <x v="7"/>
    <x v="3"/>
    <x v="8"/>
    <x v="13"/>
    <x v="19"/>
    <n v="43"/>
  </r>
  <r>
    <x v="0"/>
    <x v="0"/>
    <x v="7"/>
    <x v="3"/>
    <x v="8"/>
    <x v="2"/>
    <x v="19"/>
    <n v="22"/>
  </r>
  <r>
    <x v="0"/>
    <x v="0"/>
    <x v="7"/>
    <x v="3"/>
    <x v="8"/>
    <x v="12"/>
    <x v="18"/>
    <n v="1"/>
  </r>
  <r>
    <x v="0"/>
    <x v="0"/>
    <x v="7"/>
    <x v="3"/>
    <x v="8"/>
    <x v="7"/>
    <x v="19"/>
    <n v="1"/>
  </r>
  <r>
    <x v="0"/>
    <x v="0"/>
    <x v="7"/>
    <x v="3"/>
    <x v="9"/>
    <x v="5"/>
    <x v="18"/>
    <n v="1"/>
  </r>
  <r>
    <x v="0"/>
    <x v="0"/>
    <x v="7"/>
    <x v="4"/>
    <x v="8"/>
    <x v="2"/>
    <x v="2"/>
    <n v="1"/>
  </r>
  <r>
    <x v="0"/>
    <x v="0"/>
    <x v="7"/>
    <x v="4"/>
    <x v="8"/>
    <x v="3"/>
    <x v="13"/>
    <n v="1"/>
  </r>
  <r>
    <x v="0"/>
    <x v="0"/>
    <x v="7"/>
    <x v="4"/>
    <x v="18"/>
    <x v="10"/>
    <x v="19"/>
    <n v="1"/>
  </r>
  <r>
    <x v="0"/>
    <x v="0"/>
    <x v="7"/>
    <x v="5"/>
    <x v="3"/>
    <x v="15"/>
    <x v="17"/>
    <n v="14"/>
  </r>
  <r>
    <x v="0"/>
    <x v="0"/>
    <x v="7"/>
    <x v="5"/>
    <x v="3"/>
    <x v="15"/>
    <x v="19"/>
    <n v="29"/>
  </r>
  <r>
    <x v="0"/>
    <x v="0"/>
    <x v="7"/>
    <x v="5"/>
    <x v="3"/>
    <x v="14"/>
    <x v="11"/>
    <n v="10"/>
  </r>
  <r>
    <x v="0"/>
    <x v="0"/>
    <x v="7"/>
    <x v="5"/>
    <x v="3"/>
    <x v="14"/>
    <x v="14"/>
    <n v="9"/>
  </r>
  <r>
    <x v="0"/>
    <x v="0"/>
    <x v="7"/>
    <x v="5"/>
    <x v="3"/>
    <x v="14"/>
    <x v="17"/>
    <n v="14"/>
  </r>
  <r>
    <x v="0"/>
    <x v="0"/>
    <x v="7"/>
    <x v="5"/>
    <x v="3"/>
    <x v="13"/>
    <x v="2"/>
    <n v="2"/>
  </r>
  <r>
    <x v="0"/>
    <x v="0"/>
    <x v="7"/>
    <x v="5"/>
    <x v="3"/>
    <x v="13"/>
    <x v="13"/>
    <n v="4"/>
  </r>
  <r>
    <x v="0"/>
    <x v="0"/>
    <x v="7"/>
    <x v="5"/>
    <x v="3"/>
    <x v="13"/>
    <x v="11"/>
    <n v="5"/>
  </r>
  <r>
    <x v="0"/>
    <x v="0"/>
    <x v="7"/>
    <x v="5"/>
    <x v="3"/>
    <x v="2"/>
    <x v="5"/>
    <n v="2"/>
  </r>
  <r>
    <x v="0"/>
    <x v="0"/>
    <x v="7"/>
    <x v="5"/>
    <x v="3"/>
    <x v="2"/>
    <x v="2"/>
    <n v="3"/>
  </r>
  <r>
    <x v="0"/>
    <x v="0"/>
    <x v="7"/>
    <x v="5"/>
    <x v="3"/>
    <x v="2"/>
    <x v="0"/>
    <n v="7"/>
  </r>
  <r>
    <x v="0"/>
    <x v="0"/>
    <x v="7"/>
    <x v="5"/>
    <x v="3"/>
    <x v="2"/>
    <x v="18"/>
    <n v="6"/>
  </r>
  <r>
    <x v="0"/>
    <x v="0"/>
    <x v="7"/>
    <x v="5"/>
    <x v="3"/>
    <x v="10"/>
    <x v="0"/>
    <n v="1"/>
  </r>
  <r>
    <x v="0"/>
    <x v="0"/>
    <x v="7"/>
    <x v="5"/>
    <x v="3"/>
    <x v="10"/>
    <x v="18"/>
    <n v="4"/>
  </r>
  <r>
    <x v="0"/>
    <x v="0"/>
    <x v="7"/>
    <x v="5"/>
    <x v="3"/>
    <x v="3"/>
    <x v="0"/>
    <n v="3"/>
  </r>
  <r>
    <x v="0"/>
    <x v="0"/>
    <x v="7"/>
    <x v="5"/>
    <x v="3"/>
    <x v="3"/>
    <x v="18"/>
    <n v="5"/>
  </r>
  <r>
    <x v="0"/>
    <x v="0"/>
    <x v="7"/>
    <x v="5"/>
    <x v="3"/>
    <x v="4"/>
    <x v="0"/>
    <n v="2"/>
  </r>
  <r>
    <x v="0"/>
    <x v="0"/>
    <x v="7"/>
    <x v="5"/>
    <x v="3"/>
    <x v="4"/>
    <x v="18"/>
    <n v="4"/>
  </r>
  <r>
    <x v="0"/>
    <x v="0"/>
    <x v="7"/>
    <x v="5"/>
    <x v="3"/>
    <x v="5"/>
    <x v="0"/>
    <n v="3"/>
  </r>
  <r>
    <x v="0"/>
    <x v="0"/>
    <x v="7"/>
    <x v="5"/>
    <x v="3"/>
    <x v="5"/>
    <x v="18"/>
    <n v="2"/>
  </r>
  <r>
    <x v="0"/>
    <x v="0"/>
    <x v="7"/>
    <x v="5"/>
    <x v="3"/>
    <x v="11"/>
    <x v="0"/>
    <n v="1"/>
  </r>
  <r>
    <x v="0"/>
    <x v="0"/>
    <x v="7"/>
    <x v="5"/>
    <x v="3"/>
    <x v="11"/>
    <x v="18"/>
    <n v="1"/>
  </r>
  <r>
    <x v="0"/>
    <x v="0"/>
    <x v="7"/>
    <x v="5"/>
    <x v="6"/>
    <x v="4"/>
    <x v="0"/>
    <n v="1"/>
  </r>
  <r>
    <x v="0"/>
    <x v="0"/>
    <x v="7"/>
    <x v="6"/>
    <x v="2"/>
    <x v="19"/>
    <x v="19"/>
    <n v="84"/>
  </r>
  <r>
    <x v="0"/>
    <x v="0"/>
    <x v="7"/>
    <x v="6"/>
    <x v="2"/>
    <x v="16"/>
    <x v="13"/>
    <n v="6"/>
  </r>
  <r>
    <x v="0"/>
    <x v="0"/>
    <x v="7"/>
    <x v="6"/>
    <x v="2"/>
    <x v="16"/>
    <x v="11"/>
    <n v="7"/>
  </r>
  <r>
    <x v="0"/>
    <x v="0"/>
    <x v="7"/>
    <x v="6"/>
    <x v="2"/>
    <x v="16"/>
    <x v="14"/>
    <n v="17"/>
  </r>
  <r>
    <x v="0"/>
    <x v="0"/>
    <x v="7"/>
    <x v="6"/>
    <x v="2"/>
    <x v="16"/>
    <x v="17"/>
    <n v="23"/>
  </r>
  <r>
    <x v="0"/>
    <x v="0"/>
    <x v="7"/>
    <x v="6"/>
    <x v="2"/>
    <x v="16"/>
    <x v="19"/>
    <n v="46"/>
  </r>
  <r>
    <x v="0"/>
    <x v="0"/>
    <x v="7"/>
    <x v="6"/>
    <x v="2"/>
    <x v="15"/>
    <x v="5"/>
    <n v="1"/>
  </r>
  <r>
    <x v="0"/>
    <x v="0"/>
    <x v="7"/>
    <x v="6"/>
    <x v="2"/>
    <x v="15"/>
    <x v="2"/>
    <n v="4"/>
  </r>
  <r>
    <x v="0"/>
    <x v="0"/>
    <x v="7"/>
    <x v="6"/>
    <x v="2"/>
    <x v="15"/>
    <x v="13"/>
    <n v="5"/>
  </r>
  <r>
    <x v="0"/>
    <x v="0"/>
    <x v="7"/>
    <x v="6"/>
    <x v="2"/>
    <x v="15"/>
    <x v="11"/>
    <n v="3"/>
  </r>
  <r>
    <x v="0"/>
    <x v="0"/>
    <x v="7"/>
    <x v="6"/>
    <x v="2"/>
    <x v="15"/>
    <x v="14"/>
    <n v="8"/>
  </r>
  <r>
    <x v="0"/>
    <x v="0"/>
    <x v="7"/>
    <x v="6"/>
    <x v="2"/>
    <x v="15"/>
    <x v="17"/>
    <n v="3"/>
  </r>
  <r>
    <x v="0"/>
    <x v="0"/>
    <x v="7"/>
    <x v="6"/>
    <x v="2"/>
    <x v="14"/>
    <x v="5"/>
    <n v="4"/>
  </r>
  <r>
    <x v="0"/>
    <x v="0"/>
    <x v="7"/>
    <x v="6"/>
    <x v="2"/>
    <x v="14"/>
    <x v="2"/>
    <n v="1"/>
  </r>
  <r>
    <x v="0"/>
    <x v="0"/>
    <x v="7"/>
    <x v="6"/>
    <x v="2"/>
    <x v="14"/>
    <x v="11"/>
    <n v="7"/>
  </r>
  <r>
    <x v="0"/>
    <x v="0"/>
    <x v="7"/>
    <x v="6"/>
    <x v="2"/>
    <x v="14"/>
    <x v="18"/>
    <n v="5"/>
  </r>
  <r>
    <x v="0"/>
    <x v="0"/>
    <x v="7"/>
    <x v="6"/>
    <x v="2"/>
    <x v="13"/>
    <x v="0"/>
    <n v="2"/>
  </r>
  <r>
    <x v="0"/>
    <x v="0"/>
    <x v="7"/>
    <x v="6"/>
    <x v="2"/>
    <x v="13"/>
    <x v="18"/>
    <n v="3"/>
  </r>
  <r>
    <x v="0"/>
    <x v="0"/>
    <x v="7"/>
    <x v="6"/>
    <x v="2"/>
    <x v="2"/>
    <x v="4"/>
    <n v="1"/>
  </r>
  <r>
    <x v="0"/>
    <x v="0"/>
    <x v="7"/>
    <x v="6"/>
    <x v="2"/>
    <x v="2"/>
    <x v="0"/>
    <n v="1"/>
  </r>
  <r>
    <x v="0"/>
    <x v="0"/>
    <x v="7"/>
    <x v="6"/>
    <x v="2"/>
    <x v="2"/>
    <x v="18"/>
    <n v="2"/>
  </r>
  <r>
    <x v="0"/>
    <x v="0"/>
    <x v="7"/>
    <x v="6"/>
    <x v="2"/>
    <x v="10"/>
    <x v="0"/>
    <n v="3"/>
  </r>
  <r>
    <x v="0"/>
    <x v="0"/>
    <x v="7"/>
    <x v="9"/>
    <x v="13"/>
    <x v="5"/>
    <x v="0"/>
    <n v="1"/>
  </r>
  <r>
    <x v="0"/>
    <x v="0"/>
    <x v="7"/>
    <x v="7"/>
    <x v="0"/>
    <x v="2"/>
    <x v="13"/>
    <n v="1"/>
  </r>
  <r>
    <x v="0"/>
    <x v="0"/>
    <x v="7"/>
    <x v="7"/>
    <x v="0"/>
    <x v="2"/>
    <x v="17"/>
    <n v="1"/>
  </r>
  <r>
    <x v="0"/>
    <x v="0"/>
    <x v="7"/>
    <x v="7"/>
    <x v="0"/>
    <x v="3"/>
    <x v="13"/>
    <n v="1"/>
  </r>
  <r>
    <x v="0"/>
    <x v="0"/>
    <x v="7"/>
    <x v="7"/>
    <x v="0"/>
    <x v="3"/>
    <x v="17"/>
    <n v="1"/>
  </r>
  <r>
    <x v="0"/>
    <x v="0"/>
    <x v="7"/>
    <x v="7"/>
    <x v="0"/>
    <x v="4"/>
    <x v="17"/>
    <n v="1"/>
  </r>
  <r>
    <x v="0"/>
    <x v="0"/>
    <x v="7"/>
    <x v="7"/>
    <x v="0"/>
    <x v="5"/>
    <x v="14"/>
    <n v="1"/>
  </r>
  <r>
    <x v="0"/>
    <x v="0"/>
    <x v="7"/>
    <x v="7"/>
    <x v="0"/>
    <x v="11"/>
    <x v="18"/>
    <n v="1"/>
  </r>
  <r>
    <x v="0"/>
    <x v="0"/>
    <x v="7"/>
    <x v="8"/>
    <x v="13"/>
    <x v="16"/>
    <x v="19"/>
    <n v="4"/>
  </r>
  <r>
    <x v="0"/>
    <x v="0"/>
    <x v="7"/>
    <x v="8"/>
    <x v="13"/>
    <x v="15"/>
    <x v="17"/>
    <n v="1"/>
  </r>
  <r>
    <x v="0"/>
    <x v="0"/>
    <x v="7"/>
    <x v="8"/>
    <x v="13"/>
    <x v="13"/>
    <x v="0"/>
    <n v="1"/>
  </r>
  <r>
    <x v="0"/>
    <x v="0"/>
    <x v="7"/>
    <x v="8"/>
    <x v="7"/>
    <x v="19"/>
    <x v="19"/>
    <n v="2"/>
  </r>
  <r>
    <x v="0"/>
    <x v="0"/>
    <x v="7"/>
    <x v="8"/>
    <x v="10"/>
    <x v="4"/>
    <x v="14"/>
    <n v="1"/>
  </r>
  <r>
    <x v="0"/>
    <x v="0"/>
    <x v="7"/>
    <x v="8"/>
    <x v="10"/>
    <x v="7"/>
    <x v="19"/>
    <n v="3"/>
  </r>
  <r>
    <x v="0"/>
    <x v="0"/>
    <x v="7"/>
    <x v="8"/>
    <x v="10"/>
    <x v="1"/>
    <x v="18"/>
    <n v="1"/>
  </r>
  <r>
    <x v="0"/>
    <x v="0"/>
    <x v="7"/>
    <x v="8"/>
    <x v="10"/>
    <x v="8"/>
    <x v="19"/>
    <n v="1"/>
  </r>
  <r>
    <x v="0"/>
    <x v="0"/>
    <x v="7"/>
    <x v="8"/>
    <x v="10"/>
    <x v="0"/>
    <x v="0"/>
    <n v="1"/>
  </r>
  <r>
    <x v="0"/>
    <x v="0"/>
    <x v="7"/>
    <x v="8"/>
    <x v="10"/>
    <x v="0"/>
    <x v="18"/>
    <n v="1"/>
  </r>
  <r>
    <x v="0"/>
    <x v="0"/>
    <x v="7"/>
    <x v="8"/>
    <x v="18"/>
    <x v="6"/>
    <x v="19"/>
    <n v="1"/>
  </r>
  <r>
    <x v="0"/>
    <x v="0"/>
    <x v="7"/>
    <x v="8"/>
    <x v="18"/>
    <x v="9"/>
    <x v="19"/>
    <n v="1"/>
  </r>
  <r>
    <x v="0"/>
    <x v="0"/>
    <x v="7"/>
    <x v="8"/>
    <x v="18"/>
    <x v="12"/>
    <x v="19"/>
    <n v="1"/>
  </r>
  <r>
    <x v="0"/>
    <x v="0"/>
    <x v="7"/>
    <x v="8"/>
    <x v="18"/>
    <x v="1"/>
    <x v="19"/>
    <n v="2"/>
  </r>
  <r>
    <x v="0"/>
    <x v="0"/>
    <x v="7"/>
    <x v="8"/>
    <x v="18"/>
    <x v="0"/>
    <x v="19"/>
    <n v="1"/>
  </r>
  <r>
    <x v="0"/>
    <x v="0"/>
    <x v="7"/>
    <x v="10"/>
    <x v="16"/>
    <x v="2"/>
    <x v="2"/>
    <n v="1"/>
  </r>
  <r>
    <x v="0"/>
    <x v="0"/>
    <x v="7"/>
    <x v="10"/>
    <x v="16"/>
    <x v="10"/>
    <x v="13"/>
    <n v="1"/>
  </r>
  <r>
    <x v="0"/>
    <x v="0"/>
    <x v="7"/>
    <x v="10"/>
    <x v="10"/>
    <x v="8"/>
    <x v="19"/>
    <n v="1"/>
  </r>
  <r>
    <x v="0"/>
    <x v="0"/>
    <x v="7"/>
    <x v="11"/>
    <x v="0"/>
    <x v="7"/>
    <x v="13"/>
    <n v="1"/>
  </r>
  <r>
    <x v="0"/>
    <x v="0"/>
    <x v="7"/>
    <x v="11"/>
    <x v="8"/>
    <x v="15"/>
    <x v="5"/>
    <n v="2"/>
  </r>
  <r>
    <x v="0"/>
    <x v="0"/>
    <x v="7"/>
    <x v="11"/>
    <x v="7"/>
    <x v="7"/>
    <x v="19"/>
    <n v="2"/>
  </r>
  <r>
    <x v="0"/>
    <x v="0"/>
    <x v="7"/>
    <x v="11"/>
    <x v="9"/>
    <x v="8"/>
    <x v="19"/>
    <n v="1"/>
  </r>
  <r>
    <x v="0"/>
    <x v="0"/>
    <x v="7"/>
    <x v="12"/>
    <x v="1"/>
    <x v="15"/>
    <x v="14"/>
    <n v="1"/>
  </r>
  <r>
    <x v="0"/>
    <x v="0"/>
    <x v="7"/>
    <x v="12"/>
    <x v="1"/>
    <x v="15"/>
    <x v="17"/>
    <n v="2"/>
  </r>
  <r>
    <x v="0"/>
    <x v="0"/>
    <x v="7"/>
    <x v="12"/>
    <x v="1"/>
    <x v="15"/>
    <x v="19"/>
    <n v="1"/>
  </r>
  <r>
    <x v="0"/>
    <x v="0"/>
    <x v="7"/>
    <x v="12"/>
    <x v="1"/>
    <x v="13"/>
    <x v="5"/>
    <n v="1"/>
  </r>
  <r>
    <x v="0"/>
    <x v="0"/>
    <x v="7"/>
    <x v="12"/>
    <x v="1"/>
    <x v="13"/>
    <x v="13"/>
    <n v="1"/>
  </r>
  <r>
    <x v="0"/>
    <x v="0"/>
    <x v="7"/>
    <x v="12"/>
    <x v="1"/>
    <x v="2"/>
    <x v="0"/>
    <n v="1"/>
  </r>
  <r>
    <x v="0"/>
    <x v="0"/>
    <x v="7"/>
    <x v="12"/>
    <x v="1"/>
    <x v="2"/>
    <x v="18"/>
    <n v="1"/>
  </r>
  <r>
    <x v="0"/>
    <x v="0"/>
    <x v="7"/>
    <x v="12"/>
    <x v="1"/>
    <x v="10"/>
    <x v="18"/>
    <n v="2"/>
  </r>
  <r>
    <x v="0"/>
    <x v="0"/>
    <x v="7"/>
    <x v="12"/>
    <x v="1"/>
    <x v="3"/>
    <x v="0"/>
    <n v="2"/>
  </r>
  <r>
    <x v="0"/>
    <x v="0"/>
    <x v="7"/>
    <x v="12"/>
    <x v="1"/>
    <x v="5"/>
    <x v="18"/>
    <n v="1"/>
  </r>
  <r>
    <x v="0"/>
    <x v="0"/>
    <x v="7"/>
    <x v="12"/>
    <x v="6"/>
    <x v="19"/>
    <x v="2"/>
    <n v="1"/>
  </r>
  <r>
    <x v="0"/>
    <x v="0"/>
    <x v="7"/>
    <x v="12"/>
    <x v="6"/>
    <x v="3"/>
    <x v="14"/>
    <n v="1"/>
  </r>
  <r>
    <x v="0"/>
    <x v="0"/>
    <x v="7"/>
    <x v="13"/>
    <x v="6"/>
    <x v="2"/>
    <x v="17"/>
    <n v="1"/>
  </r>
  <r>
    <x v="0"/>
    <x v="0"/>
    <x v="7"/>
    <x v="13"/>
    <x v="6"/>
    <x v="5"/>
    <x v="2"/>
    <n v="1"/>
  </r>
  <r>
    <x v="0"/>
    <x v="0"/>
    <x v="7"/>
    <x v="13"/>
    <x v="6"/>
    <x v="7"/>
    <x v="19"/>
    <n v="12"/>
  </r>
  <r>
    <x v="0"/>
    <x v="0"/>
    <x v="7"/>
    <x v="13"/>
    <x v="6"/>
    <x v="1"/>
    <x v="18"/>
    <n v="1"/>
  </r>
  <r>
    <x v="0"/>
    <x v="0"/>
    <x v="7"/>
    <x v="13"/>
    <x v="6"/>
    <x v="8"/>
    <x v="19"/>
    <n v="8"/>
  </r>
  <r>
    <x v="0"/>
    <x v="0"/>
    <x v="7"/>
    <x v="13"/>
    <x v="17"/>
    <x v="19"/>
    <x v="0"/>
    <n v="1"/>
  </r>
  <r>
    <x v="0"/>
    <x v="0"/>
    <x v="7"/>
    <x v="13"/>
    <x v="17"/>
    <x v="19"/>
    <x v="18"/>
    <n v="19"/>
  </r>
  <r>
    <x v="0"/>
    <x v="0"/>
    <x v="7"/>
    <x v="13"/>
    <x v="17"/>
    <x v="2"/>
    <x v="13"/>
    <n v="5"/>
  </r>
  <r>
    <x v="0"/>
    <x v="0"/>
    <x v="7"/>
    <x v="13"/>
    <x v="17"/>
    <x v="10"/>
    <x v="2"/>
    <n v="2"/>
  </r>
  <r>
    <x v="0"/>
    <x v="0"/>
    <x v="7"/>
    <x v="13"/>
    <x v="17"/>
    <x v="3"/>
    <x v="5"/>
    <n v="1"/>
  </r>
  <r>
    <x v="0"/>
    <x v="0"/>
    <x v="7"/>
    <x v="13"/>
    <x v="17"/>
    <x v="5"/>
    <x v="0"/>
    <n v="1"/>
  </r>
  <r>
    <x v="0"/>
    <x v="0"/>
    <x v="7"/>
    <x v="13"/>
    <x v="17"/>
    <x v="5"/>
    <x v="18"/>
    <n v="1"/>
  </r>
  <r>
    <x v="0"/>
    <x v="0"/>
    <x v="7"/>
    <x v="14"/>
    <x v="16"/>
    <x v="13"/>
    <x v="13"/>
    <n v="1"/>
  </r>
  <r>
    <x v="0"/>
    <x v="0"/>
    <x v="7"/>
    <x v="14"/>
    <x v="16"/>
    <x v="10"/>
    <x v="4"/>
    <n v="2"/>
  </r>
  <r>
    <x v="0"/>
    <x v="0"/>
    <x v="7"/>
    <x v="18"/>
    <x v="8"/>
    <x v="7"/>
    <x v="19"/>
    <n v="5"/>
  </r>
  <r>
    <x v="0"/>
    <x v="0"/>
    <x v="7"/>
    <x v="18"/>
    <x v="8"/>
    <x v="8"/>
    <x v="19"/>
    <n v="1"/>
  </r>
  <r>
    <x v="0"/>
    <x v="0"/>
    <x v="7"/>
    <x v="16"/>
    <x v="19"/>
    <x v="0"/>
    <x v="19"/>
    <n v="3"/>
  </r>
  <r>
    <x v="0"/>
    <x v="0"/>
    <x v="7"/>
    <x v="17"/>
    <x v="2"/>
    <x v="3"/>
    <x v="19"/>
    <n v="1"/>
  </r>
  <r>
    <x v="0"/>
    <x v="0"/>
    <x v="7"/>
    <x v="17"/>
    <x v="3"/>
    <x v="0"/>
    <x v="11"/>
    <n v="2"/>
  </r>
  <r>
    <x v="0"/>
    <x v="0"/>
    <x v="7"/>
    <x v="17"/>
    <x v="9"/>
    <x v="18"/>
    <x v="19"/>
    <n v="13"/>
  </r>
  <r>
    <x v="0"/>
    <x v="0"/>
    <x v="7"/>
    <x v="17"/>
    <x v="9"/>
    <x v="19"/>
    <x v="19"/>
    <n v="48"/>
  </r>
  <r>
    <x v="0"/>
    <x v="0"/>
    <x v="7"/>
    <x v="17"/>
    <x v="9"/>
    <x v="10"/>
    <x v="19"/>
    <n v="43"/>
  </r>
  <r>
    <x v="0"/>
    <x v="0"/>
    <x v="7"/>
    <x v="17"/>
    <x v="9"/>
    <x v="3"/>
    <x v="19"/>
    <n v="33"/>
  </r>
  <r>
    <x v="0"/>
    <x v="0"/>
    <x v="7"/>
    <x v="17"/>
    <x v="9"/>
    <x v="4"/>
    <x v="14"/>
    <n v="1"/>
  </r>
  <r>
    <x v="0"/>
    <x v="0"/>
    <x v="7"/>
    <x v="17"/>
    <x v="9"/>
    <x v="4"/>
    <x v="19"/>
    <n v="25"/>
  </r>
  <r>
    <x v="0"/>
    <x v="0"/>
    <x v="7"/>
    <x v="17"/>
    <x v="9"/>
    <x v="5"/>
    <x v="19"/>
    <n v="13"/>
  </r>
  <r>
    <x v="0"/>
    <x v="0"/>
    <x v="7"/>
    <x v="17"/>
    <x v="9"/>
    <x v="11"/>
    <x v="17"/>
    <n v="1"/>
  </r>
  <r>
    <x v="0"/>
    <x v="0"/>
    <x v="7"/>
    <x v="17"/>
    <x v="9"/>
    <x v="11"/>
    <x v="19"/>
    <n v="12"/>
  </r>
  <r>
    <x v="0"/>
    <x v="0"/>
    <x v="7"/>
    <x v="17"/>
    <x v="9"/>
    <x v="6"/>
    <x v="19"/>
    <n v="11"/>
  </r>
  <r>
    <x v="0"/>
    <x v="0"/>
    <x v="7"/>
    <x v="17"/>
    <x v="9"/>
    <x v="9"/>
    <x v="19"/>
    <n v="8"/>
  </r>
  <r>
    <x v="0"/>
    <x v="0"/>
    <x v="7"/>
    <x v="19"/>
    <x v="14"/>
    <x v="4"/>
    <x v="11"/>
    <n v="1"/>
  </r>
  <r>
    <x v="0"/>
    <x v="0"/>
    <x v="7"/>
    <x v="8"/>
    <x v="10"/>
    <x v="0"/>
    <x v="19"/>
    <n v="3"/>
  </r>
  <r>
    <x v="0"/>
    <x v="0"/>
    <x v="7"/>
    <x v="8"/>
    <x v="18"/>
    <x v="8"/>
    <x v="19"/>
    <n v="1"/>
  </r>
  <r>
    <x v="0"/>
    <x v="0"/>
    <x v="7"/>
    <x v="10"/>
    <x v="10"/>
    <x v="0"/>
    <x v="19"/>
    <n v="6"/>
  </r>
  <r>
    <x v="0"/>
    <x v="0"/>
    <x v="7"/>
    <x v="11"/>
    <x v="0"/>
    <x v="12"/>
    <x v="2"/>
    <n v="1"/>
  </r>
  <r>
    <x v="0"/>
    <x v="0"/>
    <x v="7"/>
    <x v="11"/>
    <x v="8"/>
    <x v="13"/>
    <x v="5"/>
    <n v="1"/>
  </r>
  <r>
    <x v="0"/>
    <x v="0"/>
    <x v="7"/>
    <x v="11"/>
    <x v="8"/>
    <x v="2"/>
    <x v="3"/>
    <n v="1"/>
  </r>
  <r>
    <x v="0"/>
    <x v="0"/>
    <x v="7"/>
    <x v="11"/>
    <x v="8"/>
    <x v="2"/>
    <x v="2"/>
    <n v="2"/>
  </r>
  <r>
    <x v="0"/>
    <x v="0"/>
    <x v="7"/>
    <x v="11"/>
    <x v="7"/>
    <x v="0"/>
    <x v="17"/>
    <n v="1"/>
  </r>
  <r>
    <x v="0"/>
    <x v="0"/>
    <x v="7"/>
    <x v="12"/>
    <x v="1"/>
    <x v="14"/>
    <x v="0"/>
    <n v="1"/>
  </r>
  <r>
    <x v="0"/>
    <x v="0"/>
    <x v="7"/>
    <x v="12"/>
    <x v="1"/>
    <x v="2"/>
    <x v="14"/>
    <n v="1"/>
  </r>
  <r>
    <x v="0"/>
    <x v="0"/>
    <x v="7"/>
    <x v="12"/>
    <x v="1"/>
    <x v="2"/>
    <x v="17"/>
    <n v="1"/>
  </r>
  <r>
    <x v="0"/>
    <x v="0"/>
    <x v="7"/>
    <x v="12"/>
    <x v="1"/>
    <x v="2"/>
    <x v="19"/>
    <n v="2"/>
  </r>
  <r>
    <x v="0"/>
    <x v="0"/>
    <x v="7"/>
    <x v="12"/>
    <x v="1"/>
    <x v="10"/>
    <x v="17"/>
    <n v="1"/>
  </r>
  <r>
    <x v="0"/>
    <x v="0"/>
    <x v="7"/>
    <x v="12"/>
    <x v="1"/>
    <x v="10"/>
    <x v="19"/>
    <n v="1"/>
  </r>
  <r>
    <x v="0"/>
    <x v="0"/>
    <x v="7"/>
    <x v="12"/>
    <x v="1"/>
    <x v="4"/>
    <x v="14"/>
    <n v="1"/>
  </r>
  <r>
    <x v="0"/>
    <x v="0"/>
    <x v="7"/>
    <x v="12"/>
    <x v="1"/>
    <x v="4"/>
    <x v="17"/>
    <n v="2"/>
  </r>
  <r>
    <x v="0"/>
    <x v="0"/>
    <x v="7"/>
    <x v="12"/>
    <x v="1"/>
    <x v="5"/>
    <x v="2"/>
    <n v="1"/>
  </r>
  <r>
    <x v="0"/>
    <x v="0"/>
    <x v="7"/>
    <x v="12"/>
    <x v="1"/>
    <x v="5"/>
    <x v="13"/>
    <n v="1"/>
  </r>
  <r>
    <x v="0"/>
    <x v="0"/>
    <x v="7"/>
    <x v="12"/>
    <x v="1"/>
    <x v="5"/>
    <x v="11"/>
    <n v="1"/>
  </r>
  <r>
    <x v="0"/>
    <x v="0"/>
    <x v="7"/>
    <x v="12"/>
    <x v="1"/>
    <x v="5"/>
    <x v="14"/>
    <n v="1"/>
  </r>
  <r>
    <x v="0"/>
    <x v="0"/>
    <x v="7"/>
    <x v="12"/>
    <x v="1"/>
    <x v="11"/>
    <x v="2"/>
    <n v="1"/>
  </r>
  <r>
    <x v="0"/>
    <x v="0"/>
    <x v="7"/>
    <x v="12"/>
    <x v="6"/>
    <x v="16"/>
    <x v="13"/>
    <n v="1"/>
  </r>
  <r>
    <x v="0"/>
    <x v="0"/>
    <x v="7"/>
    <x v="12"/>
    <x v="6"/>
    <x v="14"/>
    <x v="2"/>
    <n v="1"/>
  </r>
  <r>
    <x v="0"/>
    <x v="0"/>
    <x v="7"/>
    <x v="12"/>
    <x v="6"/>
    <x v="3"/>
    <x v="0"/>
    <n v="1"/>
  </r>
  <r>
    <x v="0"/>
    <x v="0"/>
    <x v="7"/>
    <x v="13"/>
    <x v="6"/>
    <x v="2"/>
    <x v="0"/>
    <n v="1"/>
  </r>
  <r>
    <x v="0"/>
    <x v="0"/>
    <x v="7"/>
    <x v="13"/>
    <x v="6"/>
    <x v="2"/>
    <x v="18"/>
    <n v="2"/>
  </r>
  <r>
    <x v="0"/>
    <x v="0"/>
    <x v="7"/>
    <x v="13"/>
    <x v="6"/>
    <x v="6"/>
    <x v="19"/>
    <n v="13"/>
  </r>
  <r>
    <x v="0"/>
    <x v="0"/>
    <x v="7"/>
    <x v="13"/>
    <x v="6"/>
    <x v="9"/>
    <x v="19"/>
    <n v="12"/>
  </r>
  <r>
    <x v="0"/>
    <x v="0"/>
    <x v="7"/>
    <x v="13"/>
    <x v="6"/>
    <x v="12"/>
    <x v="19"/>
    <n v="11"/>
  </r>
  <r>
    <x v="0"/>
    <x v="0"/>
    <x v="7"/>
    <x v="13"/>
    <x v="6"/>
    <x v="1"/>
    <x v="19"/>
    <n v="4"/>
  </r>
  <r>
    <x v="0"/>
    <x v="0"/>
    <x v="7"/>
    <x v="13"/>
    <x v="6"/>
    <x v="0"/>
    <x v="19"/>
    <n v="9"/>
  </r>
  <r>
    <x v="0"/>
    <x v="0"/>
    <x v="7"/>
    <x v="13"/>
    <x v="17"/>
    <x v="18"/>
    <x v="19"/>
    <n v="159"/>
  </r>
  <r>
    <x v="0"/>
    <x v="0"/>
    <x v="7"/>
    <x v="13"/>
    <x v="17"/>
    <x v="19"/>
    <x v="11"/>
    <n v="1"/>
  </r>
  <r>
    <x v="0"/>
    <x v="0"/>
    <x v="7"/>
    <x v="13"/>
    <x v="17"/>
    <x v="19"/>
    <x v="17"/>
    <n v="5"/>
  </r>
  <r>
    <x v="0"/>
    <x v="0"/>
    <x v="7"/>
    <x v="13"/>
    <x v="17"/>
    <x v="19"/>
    <x v="19"/>
    <n v="617"/>
  </r>
  <r>
    <x v="0"/>
    <x v="0"/>
    <x v="7"/>
    <x v="13"/>
    <x v="17"/>
    <x v="16"/>
    <x v="2"/>
    <n v="2"/>
  </r>
  <r>
    <x v="0"/>
    <x v="0"/>
    <x v="7"/>
    <x v="13"/>
    <x v="17"/>
    <x v="16"/>
    <x v="13"/>
    <n v="4"/>
  </r>
  <r>
    <x v="0"/>
    <x v="0"/>
    <x v="7"/>
    <x v="13"/>
    <x v="17"/>
    <x v="16"/>
    <x v="11"/>
    <n v="8"/>
  </r>
  <r>
    <x v="0"/>
    <x v="0"/>
    <x v="7"/>
    <x v="13"/>
    <x v="17"/>
    <x v="15"/>
    <x v="5"/>
    <n v="1"/>
  </r>
  <r>
    <x v="0"/>
    <x v="0"/>
    <x v="7"/>
    <x v="13"/>
    <x v="17"/>
    <x v="15"/>
    <x v="2"/>
    <n v="8"/>
  </r>
  <r>
    <x v="0"/>
    <x v="0"/>
    <x v="7"/>
    <x v="13"/>
    <x v="17"/>
    <x v="4"/>
    <x v="19"/>
    <n v="1"/>
  </r>
  <r>
    <x v="0"/>
    <x v="0"/>
    <x v="7"/>
    <x v="13"/>
    <x v="17"/>
    <x v="5"/>
    <x v="19"/>
    <n v="2"/>
  </r>
  <r>
    <x v="0"/>
    <x v="0"/>
    <x v="7"/>
    <x v="13"/>
    <x v="17"/>
    <x v="11"/>
    <x v="17"/>
    <n v="1"/>
  </r>
  <r>
    <x v="0"/>
    <x v="0"/>
    <x v="7"/>
    <x v="13"/>
    <x v="17"/>
    <x v="11"/>
    <x v="19"/>
    <n v="1"/>
  </r>
  <r>
    <x v="0"/>
    <x v="0"/>
    <x v="7"/>
    <x v="13"/>
    <x v="17"/>
    <x v="9"/>
    <x v="19"/>
    <n v="1"/>
  </r>
  <r>
    <x v="0"/>
    <x v="0"/>
    <x v="7"/>
    <x v="13"/>
    <x v="17"/>
    <x v="12"/>
    <x v="19"/>
    <n v="1"/>
  </r>
  <r>
    <x v="0"/>
    <x v="0"/>
    <x v="7"/>
    <x v="14"/>
    <x v="16"/>
    <x v="10"/>
    <x v="11"/>
    <n v="2"/>
  </r>
  <r>
    <x v="0"/>
    <x v="0"/>
    <x v="7"/>
    <x v="14"/>
    <x v="16"/>
    <x v="3"/>
    <x v="11"/>
    <n v="1"/>
  </r>
  <r>
    <x v="0"/>
    <x v="0"/>
    <x v="7"/>
    <x v="18"/>
    <x v="8"/>
    <x v="1"/>
    <x v="19"/>
    <n v="1"/>
  </r>
  <r>
    <x v="0"/>
    <x v="0"/>
    <x v="7"/>
    <x v="18"/>
    <x v="8"/>
    <x v="0"/>
    <x v="19"/>
    <n v="3"/>
  </r>
  <r>
    <x v="0"/>
    <x v="0"/>
    <x v="7"/>
    <x v="17"/>
    <x v="9"/>
    <x v="9"/>
    <x v="0"/>
    <n v="1"/>
  </r>
  <r>
    <x v="0"/>
    <x v="0"/>
    <x v="7"/>
    <x v="19"/>
    <x v="7"/>
    <x v="18"/>
    <x v="19"/>
    <n v="8"/>
  </r>
  <r>
    <x v="0"/>
    <x v="0"/>
    <x v="7"/>
    <x v="19"/>
    <x v="7"/>
    <x v="19"/>
    <x v="13"/>
    <n v="20"/>
  </r>
  <r>
    <x v="0"/>
    <x v="0"/>
    <x v="7"/>
    <x v="19"/>
    <x v="7"/>
    <x v="19"/>
    <x v="11"/>
    <n v="22"/>
  </r>
  <r>
    <x v="0"/>
    <x v="0"/>
    <x v="7"/>
    <x v="19"/>
    <x v="7"/>
    <x v="19"/>
    <x v="14"/>
    <n v="22"/>
  </r>
  <r>
    <x v="0"/>
    <x v="0"/>
    <x v="7"/>
    <x v="19"/>
    <x v="7"/>
    <x v="19"/>
    <x v="17"/>
    <n v="10"/>
  </r>
  <r>
    <x v="0"/>
    <x v="0"/>
    <x v="7"/>
    <x v="19"/>
    <x v="7"/>
    <x v="19"/>
    <x v="19"/>
    <n v="6"/>
  </r>
  <r>
    <x v="0"/>
    <x v="0"/>
    <x v="7"/>
    <x v="19"/>
    <x v="7"/>
    <x v="16"/>
    <x v="4"/>
    <n v="5"/>
  </r>
  <r>
    <x v="0"/>
    <x v="0"/>
    <x v="7"/>
    <x v="19"/>
    <x v="7"/>
    <x v="16"/>
    <x v="5"/>
    <n v="21"/>
  </r>
  <r>
    <x v="0"/>
    <x v="0"/>
    <x v="7"/>
    <x v="19"/>
    <x v="7"/>
    <x v="16"/>
    <x v="2"/>
    <n v="23"/>
  </r>
  <r>
    <x v="0"/>
    <x v="0"/>
    <x v="7"/>
    <x v="19"/>
    <x v="7"/>
    <x v="16"/>
    <x v="13"/>
    <n v="19"/>
  </r>
  <r>
    <x v="0"/>
    <x v="0"/>
    <x v="7"/>
    <x v="19"/>
    <x v="7"/>
    <x v="16"/>
    <x v="11"/>
    <n v="20"/>
  </r>
  <r>
    <x v="0"/>
    <x v="0"/>
    <x v="7"/>
    <x v="19"/>
    <x v="7"/>
    <x v="15"/>
    <x v="4"/>
    <n v="6"/>
  </r>
  <r>
    <x v="0"/>
    <x v="0"/>
    <x v="7"/>
    <x v="19"/>
    <x v="7"/>
    <x v="15"/>
    <x v="5"/>
    <n v="16"/>
  </r>
  <r>
    <x v="0"/>
    <x v="0"/>
    <x v="7"/>
    <x v="19"/>
    <x v="7"/>
    <x v="15"/>
    <x v="2"/>
    <n v="9"/>
  </r>
  <r>
    <x v="0"/>
    <x v="0"/>
    <x v="7"/>
    <x v="19"/>
    <x v="7"/>
    <x v="14"/>
    <x v="4"/>
    <n v="3"/>
  </r>
  <r>
    <x v="0"/>
    <x v="0"/>
    <x v="7"/>
    <x v="19"/>
    <x v="10"/>
    <x v="9"/>
    <x v="11"/>
    <n v="1"/>
  </r>
  <r>
    <x v="0"/>
    <x v="0"/>
    <x v="7"/>
    <x v="19"/>
    <x v="10"/>
    <x v="12"/>
    <x v="2"/>
    <n v="1"/>
  </r>
  <r>
    <x v="0"/>
    <x v="0"/>
    <x v="7"/>
    <x v="19"/>
    <x v="10"/>
    <x v="12"/>
    <x v="13"/>
    <n v="1"/>
  </r>
  <r>
    <x v="0"/>
    <x v="0"/>
    <x v="7"/>
    <x v="19"/>
    <x v="10"/>
    <x v="12"/>
    <x v="14"/>
    <n v="1"/>
  </r>
  <r>
    <x v="0"/>
    <x v="1"/>
    <x v="0"/>
    <x v="0"/>
    <x v="1"/>
    <x v="5"/>
    <x v="8"/>
    <n v="2"/>
  </r>
  <r>
    <x v="0"/>
    <x v="1"/>
    <x v="0"/>
    <x v="0"/>
    <x v="1"/>
    <x v="11"/>
    <x v="8"/>
    <n v="27"/>
  </r>
  <r>
    <x v="0"/>
    <x v="1"/>
    <x v="0"/>
    <x v="0"/>
    <x v="1"/>
    <x v="6"/>
    <x v="8"/>
    <n v="41"/>
  </r>
  <r>
    <x v="0"/>
    <x v="1"/>
    <x v="0"/>
    <x v="0"/>
    <x v="1"/>
    <x v="9"/>
    <x v="8"/>
    <n v="17"/>
  </r>
  <r>
    <x v="0"/>
    <x v="1"/>
    <x v="0"/>
    <x v="0"/>
    <x v="1"/>
    <x v="12"/>
    <x v="8"/>
    <n v="5"/>
  </r>
  <r>
    <x v="0"/>
    <x v="1"/>
    <x v="0"/>
    <x v="0"/>
    <x v="1"/>
    <x v="1"/>
    <x v="9"/>
    <n v="1"/>
  </r>
  <r>
    <x v="0"/>
    <x v="1"/>
    <x v="0"/>
    <x v="0"/>
    <x v="1"/>
    <x v="0"/>
    <x v="12"/>
    <n v="3"/>
  </r>
  <r>
    <x v="0"/>
    <x v="1"/>
    <x v="0"/>
    <x v="0"/>
    <x v="1"/>
    <x v="0"/>
    <x v="9"/>
    <n v="1"/>
  </r>
  <r>
    <x v="0"/>
    <x v="1"/>
    <x v="0"/>
    <x v="0"/>
    <x v="1"/>
    <x v="0"/>
    <x v="3"/>
    <n v="2"/>
  </r>
  <r>
    <x v="0"/>
    <x v="0"/>
    <x v="7"/>
    <x v="19"/>
    <x v="7"/>
    <x v="18"/>
    <x v="2"/>
    <n v="1"/>
  </r>
  <r>
    <x v="0"/>
    <x v="0"/>
    <x v="7"/>
    <x v="19"/>
    <x v="7"/>
    <x v="18"/>
    <x v="13"/>
    <n v="9"/>
  </r>
  <r>
    <x v="0"/>
    <x v="0"/>
    <x v="7"/>
    <x v="19"/>
    <x v="7"/>
    <x v="18"/>
    <x v="18"/>
    <n v="3"/>
  </r>
  <r>
    <x v="0"/>
    <x v="0"/>
    <x v="7"/>
    <x v="19"/>
    <x v="7"/>
    <x v="19"/>
    <x v="0"/>
    <n v="16"/>
  </r>
  <r>
    <x v="0"/>
    <x v="0"/>
    <x v="7"/>
    <x v="19"/>
    <x v="7"/>
    <x v="19"/>
    <x v="18"/>
    <n v="3"/>
  </r>
  <r>
    <x v="0"/>
    <x v="0"/>
    <x v="7"/>
    <x v="19"/>
    <x v="7"/>
    <x v="2"/>
    <x v="13"/>
    <n v="1"/>
  </r>
  <r>
    <x v="0"/>
    <x v="0"/>
    <x v="7"/>
    <x v="19"/>
    <x v="7"/>
    <x v="10"/>
    <x v="2"/>
    <n v="1"/>
  </r>
  <r>
    <x v="0"/>
    <x v="0"/>
    <x v="7"/>
    <x v="19"/>
    <x v="7"/>
    <x v="5"/>
    <x v="0"/>
    <n v="1"/>
  </r>
  <r>
    <x v="0"/>
    <x v="1"/>
    <x v="0"/>
    <x v="0"/>
    <x v="1"/>
    <x v="9"/>
    <x v="10"/>
    <n v="1"/>
  </r>
  <r>
    <x v="0"/>
    <x v="1"/>
    <x v="0"/>
    <x v="0"/>
    <x v="1"/>
    <x v="1"/>
    <x v="6"/>
    <n v="5"/>
  </r>
  <r>
    <x v="0"/>
    <x v="1"/>
    <x v="0"/>
    <x v="0"/>
    <x v="19"/>
    <x v="4"/>
    <x v="4"/>
    <n v="1"/>
  </r>
  <r>
    <x v="0"/>
    <x v="1"/>
    <x v="0"/>
    <x v="1"/>
    <x v="2"/>
    <x v="2"/>
    <x v="9"/>
    <n v="1"/>
  </r>
  <r>
    <x v="0"/>
    <x v="1"/>
    <x v="0"/>
    <x v="1"/>
    <x v="2"/>
    <x v="2"/>
    <x v="3"/>
    <n v="1"/>
  </r>
  <r>
    <x v="0"/>
    <x v="1"/>
    <x v="0"/>
    <x v="1"/>
    <x v="2"/>
    <x v="3"/>
    <x v="12"/>
    <n v="1"/>
  </r>
  <r>
    <x v="0"/>
    <x v="1"/>
    <x v="0"/>
    <x v="1"/>
    <x v="1"/>
    <x v="7"/>
    <x v="7"/>
    <n v="2"/>
  </r>
  <r>
    <x v="0"/>
    <x v="1"/>
    <x v="0"/>
    <x v="1"/>
    <x v="1"/>
    <x v="8"/>
    <x v="10"/>
    <n v="1"/>
  </r>
  <r>
    <x v="0"/>
    <x v="1"/>
    <x v="0"/>
    <x v="1"/>
    <x v="3"/>
    <x v="11"/>
    <x v="1"/>
    <n v="1"/>
  </r>
  <r>
    <x v="0"/>
    <x v="1"/>
    <x v="0"/>
    <x v="2"/>
    <x v="0"/>
    <x v="5"/>
    <x v="13"/>
    <n v="2"/>
  </r>
  <r>
    <x v="0"/>
    <x v="1"/>
    <x v="0"/>
    <x v="2"/>
    <x v="0"/>
    <x v="9"/>
    <x v="4"/>
    <n v="1"/>
  </r>
  <r>
    <x v="0"/>
    <x v="1"/>
    <x v="0"/>
    <x v="2"/>
    <x v="0"/>
    <x v="1"/>
    <x v="9"/>
    <n v="1"/>
  </r>
  <r>
    <x v="0"/>
    <x v="1"/>
    <x v="0"/>
    <x v="2"/>
    <x v="0"/>
    <x v="0"/>
    <x v="12"/>
    <n v="2"/>
  </r>
  <r>
    <x v="0"/>
    <x v="1"/>
    <x v="0"/>
    <x v="2"/>
    <x v="5"/>
    <x v="7"/>
    <x v="7"/>
    <n v="1"/>
  </r>
  <r>
    <x v="0"/>
    <x v="1"/>
    <x v="0"/>
    <x v="2"/>
    <x v="5"/>
    <x v="0"/>
    <x v="10"/>
    <n v="1"/>
  </r>
  <r>
    <x v="0"/>
    <x v="1"/>
    <x v="0"/>
    <x v="2"/>
    <x v="5"/>
    <x v="0"/>
    <x v="1"/>
    <n v="1"/>
  </r>
  <r>
    <x v="0"/>
    <x v="1"/>
    <x v="0"/>
    <x v="2"/>
    <x v="6"/>
    <x v="6"/>
    <x v="7"/>
    <n v="21"/>
  </r>
  <r>
    <x v="0"/>
    <x v="1"/>
    <x v="0"/>
    <x v="2"/>
    <x v="6"/>
    <x v="7"/>
    <x v="9"/>
    <n v="1"/>
  </r>
  <r>
    <x v="0"/>
    <x v="1"/>
    <x v="0"/>
    <x v="2"/>
    <x v="6"/>
    <x v="8"/>
    <x v="1"/>
    <n v="2"/>
  </r>
  <r>
    <x v="0"/>
    <x v="1"/>
    <x v="0"/>
    <x v="2"/>
    <x v="6"/>
    <x v="0"/>
    <x v="5"/>
    <n v="1"/>
  </r>
  <r>
    <x v="0"/>
    <x v="1"/>
    <x v="0"/>
    <x v="3"/>
    <x v="1"/>
    <x v="0"/>
    <x v="10"/>
    <n v="2"/>
  </r>
  <r>
    <x v="0"/>
    <x v="1"/>
    <x v="0"/>
    <x v="3"/>
    <x v="7"/>
    <x v="7"/>
    <x v="10"/>
    <n v="1"/>
  </r>
  <r>
    <x v="0"/>
    <x v="1"/>
    <x v="0"/>
    <x v="3"/>
    <x v="7"/>
    <x v="0"/>
    <x v="12"/>
    <n v="1"/>
  </r>
  <r>
    <x v="0"/>
    <x v="1"/>
    <x v="0"/>
    <x v="3"/>
    <x v="7"/>
    <x v="0"/>
    <x v="3"/>
    <n v="1"/>
  </r>
  <r>
    <x v="0"/>
    <x v="1"/>
    <x v="0"/>
    <x v="3"/>
    <x v="6"/>
    <x v="9"/>
    <x v="5"/>
    <n v="1"/>
  </r>
  <r>
    <x v="0"/>
    <x v="1"/>
    <x v="0"/>
    <x v="3"/>
    <x v="10"/>
    <x v="0"/>
    <x v="1"/>
    <n v="1"/>
  </r>
  <r>
    <x v="0"/>
    <x v="1"/>
    <x v="0"/>
    <x v="3"/>
    <x v="10"/>
    <x v="0"/>
    <x v="12"/>
    <n v="1"/>
  </r>
  <r>
    <x v="0"/>
    <x v="1"/>
    <x v="0"/>
    <x v="4"/>
    <x v="8"/>
    <x v="13"/>
    <x v="10"/>
    <n v="3"/>
  </r>
  <r>
    <x v="0"/>
    <x v="1"/>
    <x v="0"/>
    <x v="4"/>
    <x v="8"/>
    <x v="13"/>
    <x v="1"/>
    <n v="2"/>
  </r>
  <r>
    <x v="0"/>
    <x v="1"/>
    <x v="0"/>
    <x v="4"/>
    <x v="8"/>
    <x v="2"/>
    <x v="6"/>
    <n v="26"/>
  </r>
  <r>
    <x v="0"/>
    <x v="1"/>
    <x v="0"/>
    <x v="4"/>
    <x v="8"/>
    <x v="10"/>
    <x v="6"/>
    <n v="14"/>
  </r>
  <r>
    <x v="0"/>
    <x v="1"/>
    <x v="0"/>
    <x v="4"/>
    <x v="8"/>
    <x v="3"/>
    <x v="7"/>
    <n v="42"/>
  </r>
  <r>
    <x v="0"/>
    <x v="1"/>
    <x v="0"/>
    <x v="4"/>
    <x v="8"/>
    <x v="4"/>
    <x v="7"/>
    <n v="45"/>
  </r>
  <r>
    <x v="0"/>
    <x v="1"/>
    <x v="0"/>
    <x v="4"/>
    <x v="8"/>
    <x v="6"/>
    <x v="8"/>
    <n v="4"/>
  </r>
  <r>
    <x v="0"/>
    <x v="1"/>
    <x v="0"/>
    <x v="4"/>
    <x v="8"/>
    <x v="12"/>
    <x v="3"/>
    <n v="1"/>
  </r>
  <r>
    <x v="0"/>
    <x v="1"/>
    <x v="0"/>
    <x v="4"/>
    <x v="8"/>
    <x v="7"/>
    <x v="10"/>
    <n v="3"/>
  </r>
  <r>
    <x v="0"/>
    <x v="1"/>
    <x v="0"/>
    <x v="4"/>
    <x v="8"/>
    <x v="1"/>
    <x v="5"/>
    <n v="1"/>
  </r>
  <r>
    <x v="0"/>
    <x v="1"/>
    <x v="0"/>
    <x v="4"/>
    <x v="8"/>
    <x v="8"/>
    <x v="6"/>
    <n v="1"/>
  </r>
  <r>
    <x v="0"/>
    <x v="1"/>
    <x v="0"/>
    <x v="4"/>
    <x v="8"/>
    <x v="8"/>
    <x v="10"/>
    <n v="7"/>
  </r>
  <r>
    <x v="0"/>
    <x v="1"/>
    <x v="0"/>
    <x v="4"/>
    <x v="8"/>
    <x v="0"/>
    <x v="12"/>
    <n v="1"/>
  </r>
  <r>
    <x v="0"/>
    <x v="1"/>
    <x v="0"/>
    <x v="4"/>
    <x v="7"/>
    <x v="8"/>
    <x v="10"/>
    <n v="2"/>
  </r>
  <r>
    <x v="0"/>
    <x v="1"/>
    <x v="0"/>
    <x v="4"/>
    <x v="7"/>
    <x v="0"/>
    <x v="1"/>
    <n v="2"/>
  </r>
  <r>
    <x v="0"/>
    <x v="1"/>
    <x v="0"/>
    <x v="4"/>
    <x v="7"/>
    <x v="0"/>
    <x v="12"/>
    <n v="2"/>
  </r>
  <r>
    <x v="0"/>
    <x v="1"/>
    <x v="0"/>
    <x v="5"/>
    <x v="3"/>
    <x v="4"/>
    <x v="5"/>
    <n v="2"/>
  </r>
  <r>
    <x v="0"/>
    <x v="1"/>
    <x v="0"/>
    <x v="5"/>
    <x v="3"/>
    <x v="11"/>
    <x v="4"/>
    <n v="1"/>
  </r>
  <r>
    <x v="0"/>
    <x v="1"/>
    <x v="0"/>
    <x v="5"/>
    <x v="3"/>
    <x v="6"/>
    <x v="9"/>
    <n v="1"/>
  </r>
  <r>
    <x v="0"/>
    <x v="1"/>
    <x v="0"/>
    <x v="5"/>
    <x v="3"/>
    <x v="9"/>
    <x v="12"/>
    <n v="1"/>
  </r>
  <r>
    <x v="0"/>
    <x v="1"/>
    <x v="0"/>
    <x v="5"/>
    <x v="10"/>
    <x v="5"/>
    <x v="12"/>
    <n v="1"/>
  </r>
  <r>
    <x v="0"/>
    <x v="1"/>
    <x v="0"/>
    <x v="5"/>
    <x v="10"/>
    <x v="11"/>
    <x v="1"/>
    <n v="5"/>
  </r>
  <r>
    <x v="0"/>
    <x v="1"/>
    <x v="0"/>
    <x v="5"/>
    <x v="10"/>
    <x v="11"/>
    <x v="12"/>
    <n v="2"/>
  </r>
  <r>
    <x v="0"/>
    <x v="1"/>
    <x v="0"/>
    <x v="5"/>
    <x v="10"/>
    <x v="11"/>
    <x v="3"/>
    <n v="1"/>
  </r>
  <r>
    <x v="0"/>
    <x v="1"/>
    <x v="0"/>
    <x v="5"/>
    <x v="10"/>
    <x v="6"/>
    <x v="1"/>
    <n v="6"/>
  </r>
  <r>
    <x v="0"/>
    <x v="1"/>
    <x v="0"/>
    <x v="5"/>
    <x v="10"/>
    <x v="6"/>
    <x v="12"/>
    <n v="2"/>
  </r>
  <r>
    <x v="0"/>
    <x v="1"/>
    <x v="0"/>
    <x v="5"/>
    <x v="10"/>
    <x v="9"/>
    <x v="10"/>
    <n v="24"/>
  </r>
  <r>
    <x v="0"/>
    <x v="1"/>
    <x v="0"/>
    <x v="5"/>
    <x v="10"/>
    <x v="9"/>
    <x v="1"/>
    <n v="6"/>
  </r>
  <r>
    <x v="0"/>
    <x v="1"/>
    <x v="0"/>
    <x v="5"/>
    <x v="10"/>
    <x v="9"/>
    <x v="12"/>
    <n v="4"/>
  </r>
  <r>
    <x v="0"/>
    <x v="1"/>
    <x v="0"/>
    <x v="5"/>
    <x v="10"/>
    <x v="12"/>
    <x v="10"/>
    <n v="32"/>
  </r>
  <r>
    <x v="0"/>
    <x v="1"/>
    <x v="0"/>
    <x v="5"/>
    <x v="10"/>
    <x v="12"/>
    <x v="1"/>
    <n v="9"/>
  </r>
  <r>
    <x v="0"/>
    <x v="1"/>
    <x v="0"/>
    <x v="5"/>
    <x v="10"/>
    <x v="1"/>
    <x v="10"/>
    <n v="11"/>
  </r>
  <r>
    <x v="0"/>
    <x v="1"/>
    <x v="0"/>
    <x v="5"/>
    <x v="10"/>
    <x v="1"/>
    <x v="1"/>
    <n v="1"/>
  </r>
  <r>
    <x v="0"/>
    <x v="1"/>
    <x v="0"/>
    <x v="5"/>
    <x v="10"/>
    <x v="0"/>
    <x v="1"/>
    <n v="6"/>
  </r>
  <r>
    <x v="0"/>
    <x v="1"/>
    <x v="0"/>
    <x v="5"/>
    <x v="11"/>
    <x v="4"/>
    <x v="1"/>
    <n v="1"/>
  </r>
  <r>
    <x v="0"/>
    <x v="1"/>
    <x v="0"/>
    <x v="5"/>
    <x v="11"/>
    <x v="5"/>
    <x v="7"/>
    <n v="1"/>
  </r>
  <r>
    <x v="0"/>
    <x v="1"/>
    <x v="0"/>
    <x v="5"/>
    <x v="11"/>
    <x v="5"/>
    <x v="6"/>
    <n v="1"/>
  </r>
  <r>
    <x v="0"/>
    <x v="1"/>
    <x v="0"/>
    <x v="5"/>
    <x v="11"/>
    <x v="11"/>
    <x v="7"/>
    <n v="3"/>
  </r>
  <r>
    <x v="0"/>
    <x v="1"/>
    <x v="0"/>
    <x v="0"/>
    <x v="19"/>
    <x v="11"/>
    <x v="7"/>
    <n v="1"/>
  </r>
  <r>
    <x v="0"/>
    <x v="1"/>
    <x v="0"/>
    <x v="0"/>
    <x v="19"/>
    <x v="12"/>
    <x v="7"/>
    <n v="1"/>
  </r>
  <r>
    <x v="0"/>
    <x v="1"/>
    <x v="0"/>
    <x v="1"/>
    <x v="2"/>
    <x v="3"/>
    <x v="7"/>
    <n v="1"/>
  </r>
  <r>
    <x v="0"/>
    <x v="1"/>
    <x v="0"/>
    <x v="1"/>
    <x v="2"/>
    <x v="3"/>
    <x v="2"/>
    <n v="1"/>
  </r>
  <r>
    <x v="0"/>
    <x v="1"/>
    <x v="0"/>
    <x v="1"/>
    <x v="2"/>
    <x v="4"/>
    <x v="8"/>
    <n v="1"/>
  </r>
  <r>
    <x v="0"/>
    <x v="1"/>
    <x v="0"/>
    <x v="1"/>
    <x v="2"/>
    <x v="5"/>
    <x v="2"/>
    <n v="2"/>
  </r>
  <r>
    <x v="0"/>
    <x v="1"/>
    <x v="0"/>
    <x v="1"/>
    <x v="2"/>
    <x v="11"/>
    <x v="8"/>
    <n v="1"/>
  </r>
  <r>
    <x v="0"/>
    <x v="1"/>
    <x v="0"/>
    <x v="1"/>
    <x v="2"/>
    <x v="11"/>
    <x v="3"/>
    <n v="2"/>
  </r>
  <r>
    <x v="0"/>
    <x v="1"/>
    <x v="0"/>
    <x v="1"/>
    <x v="2"/>
    <x v="6"/>
    <x v="9"/>
    <n v="1"/>
  </r>
  <r>
    <x v="0"/>
    <x v="1"/>
    <x v="0"/>
    <x v="1"/>
    <x v="2"/>
    <x v="6"/>
    <x v="5"/>
    <n v="2"/>
  </r>
  <r>
    <x v="0"/>
    <x v="1"/>
    <x v="0"/>
    <x v="1"/>
    <x v="2"/>
    <x v="6"/>
    <x v="2"/>
    <n v="1"/>
  </r>
  <r>
    <x v="0"/>
    <x v="1"/>
    <x v="0"/>
    <x v="1"/>
    <x v="2"/>
    <x v="6"/>
    <x v="11"/>
    <n v="1"/>
  </r>
  <r>
    <x v="0"/>
    <x v="1"/>
    <x v="0"/>
    <x v="1"/>
    <x v="2"/>
    <x v="9"/>
    <x v="5"/>
    <n v="1"/>
  </r>
  <r>
    <x v="0"/>
    <x v="1"/>
    <x v="0"/>
    <x v="1"/>
    <x v="2"/>
    <x v="9"/>
    <x v="2"/>
    <n v="1"/>
  </r>
  <r>
    <x v="0"/>
    <x v="1"/>
    <x v="0"/>
    <x v="1"/>
    <x v="2"/>
    <x v="12"/>
    <x v="5"/>
    <n v="2"/>
  </r>
  <r>
    <x v="0"/>
    <x v="1"/>
    <x v="0"/>
    <x v="1"/>
    <x v="2"/>
    <x v="7"/>
    <x v="6"/>
    <n v="1"/>
  </r>
  <r>
    <x v="0"/>
    <x v="1"/>
    <x v="0"/>
    <x v="1"/>
    <x v="2"/>
    <x v="0"/>
    <x v="12"/>
    <n v="1"/>
  </r>
  <r>
    <x v="0"/>
    <x v="1"/>
    <x v="0"/>
    <x v="1"/>
    <x v="2"/>
    <x v="0"/>
    <x v="9"/>
    <n v="2"/>
  </r>
  <r>
    <x v="0"/>
    <x v="1"/>
    <x v="0"/>
    <x v="1"/>
    <x v="1"/>
    <x v="12"/>
    <x v="6"/>
    <n v="2"/>
  </r>
  <r>
    <x v="0"/>
    <x v="1"/>
    <x v="0"/>
    <x v="1"/>
    <x v="1"/>
    <x v="1"/>
    <x v="7"/>
    <n v="1"/>
  </r>
  <r>
    <x v="0"/>
    <x v="1"/>
    <x v="0"/>
    <x v="1"/>
    <x v="1"/>
    <x v="0"/>
    <x v="6"/>
    <n v="2"/>
  </r>
  <r>
    <x v="0"/>
    <x v="1"/>
    <x v="0"/>
    <x v="1"/>
    <x v="1"/>
    <x v="0"/>
    <x v="10"/>
    <n v="1"/>
  </r>
  <r>
    <x v="0"/>
    <x v="1"/>
    <x v="0"/>
    <x v="1"/>
    <x v="3"/>
    <x v="13"/>
    <x v="10"/>
    <n v="1"/>
  </r>
  <r>
    <x v="0"/>
    <x v="1"/>
    <x v="0"/>
    <x v="1"/>
    <x v="3"/>
    <x v="13"/>
    <x v="1"/>
    <n v="1"/>
  </r>
  <r>
    <x v="0"/>
    <x v="1"/>
    <x v="0"/>
    <x v="1"/>
    <x v="3"/>
    <x v="2"/>
    <x v="7"/>
    <n v="2"/>
  </r>
  <r>
    <x v="0"/>
    <x v="1"/>
    <x v="0"/>
    <x v="1"/>
    <x v="3"/>
    <x v="2"/>
    <x v="6"/>
    <n v="13"/>
  </r>
  <r>
    <x v="0"/>
    <x v="1"/>
    <x v="0"/>
    <x v="1"/>
    <x v="3"/>
    <x v="10"/>
    <x v="7"/>
    <n v="7"/>
  </r>
  <r>
    <x v="0"/>
    <x v="1"/>
    <x v="0"/>
    <x v="1"/>
    <x v="3"/>
    <x v="10"/>
    <x v="6"/>
    <n v="10"/>
  </r>
  <r>
    <x v="0"/>
    <x v="1"/>
    <x v="0"/>
    <x v="1"/>
    <x v="3"/>
    <x v="10"/>
    <x v="10"/>
    <n v="4"/>
  </r>
  <r>
    <x v="0"/>
    <x v="1"/>
    <x v="0"/>
    <x v="1"/>
    <x v="3"/>
    <x v="3"/>
    <x v="7"/>
    <n v="6"/>
  </r>
  <r>
    <x v="0"/>
    <x v="1"/>
    <x v="0"/>
    <x v="1"/>
    <x v="3"/>
    <x v="3"/>
    <x v="6"/>
    <n v="7"/>
  </r>
  <r>
    <x v="0"/>
    <x v="1"/>
    <x v="0"/>
    <x v="1"/>
    <x v="3"/>
    <x v="4"/>
    <x v="8"/>
    <n v="2"/>
  </r>
  <r>
    <x v="0"/>
    <x v="1"/>
    <x v="0"/>
    <x v="1"/>
    <x v="3"/>
    <x v="4"/>
    <x v="7"/>
    <n v="7"/>
  </r>
  <r>
    <x v="0"/>
    <x v="1"/>
    <x v="0"/>
    <x v="1"/>
    <x v="3"/>
    <x v="4"/>
    <x v="6"/>
    <n v="10"/>
  </r>
  <r>
    <x v="0"/>
    <x v="1"/>
    <x v="0"/>
    <x v="1"/>
    <x v="3"/>
    <x v="5"/>
    <x v="8"/>
    <n v="1"/>
  </r>
  <r>
    <x v="0"/>
    <x v="1"/>
    <x v="0"/>
    <x v="1"/>
    <x v="3"/>
    <x v="5"/>
    <x v="7"/>
    <n v="4"/>
  </r>
  <r>
    <x v="0"/>
    <x v="1"/>
    <x v="0"/>
    <x v="1"/>
    <x v="3"/>
    <x v="11"/>
    <x v="7"/>
    <n v="3"/>
  </r>
  <r>
    <x v="0"/>
    <x v="1"/>
    <x v="0"/>
    <x v="2"/>
    <x v="0"/>
    <x v="12"/>
    <x v="6"/>
    <n v="1"/>
  </r>
  <r>
    <x v="0"/>
    <x v="1"/>
    <x v="0"/>
    <x v="2"/>
    <x v="0"/>
    <x v="7"/>
    <x v="3"/>
    <n v="1"/>
  </r>
  <r>
    <x v="0"/>
    <x v="1"/>
    <x v="0"/>
    <x v="2"/>
    <x v="5"/>
    <x v="9"/>
    <x v="6"/>
    <n v="1"/>
  </r>
  <r>
    <x v="0"/>
    <x v="1"/>
    <x v="0"/>
    <x v="2"/>
    <x v="6"/>
    <x v="5"/>
    <x v="4"/>
    <n v="1"/>
  </r>
  <r>
    <x v="0"/>
    <x v="1"/>
    <x v="0"/>
    <x v="2"/>
    <x v="6"/>
    <x v="5"/>
    <x v="2"/>
    <n v="1"/>
  </r>
  <r>
    <x v="0"/>
    <x v="1"/>
    <x v="0"/>
    <x v="2"/>
    <x v="6"/>
    <x v="11"/>
    <x v="12"/>
    <n v="1"/>
  </r>
  <r>
    <x v="0"/>
    <x v="1"/>
    <x v="0"/>
    <x v="2"/>
    <x v="6"/>
    <x v="11"/>
    <x v="5"/>
    <n v="1"/>
  </r>
  <r>
    <x v="0"/>
    <x v="1"/>
    <x v="0"/>
    <x v="2"/>
    <x v="6"/>
    <x v="6"/>
    <x v="9"/>
    <n v="1"/>
  </r>
  <r>
    <x v="0"/>
    <x v="1"/>
    <x v="0"/>
    <x v="2"/>
    <x v="6"/>
    <x v="6"/>
    <x v="3"/>
    <n v="1"/>
  </r>
  <r>
    <x v="0"/>
    <x v="1"/>
    <x v="0"/>
    <x v="2"/>
    <x v="6"/>
    <x v="6"/>
    <x v="4"/>
    <n v="2"/>
  </r>
  <r>
    <x v="0"/>
    <x v="1"/>
    <x v="0"/>
    <x v="2"/>
    <x v="6"/>
    <x v="12"/>
    <x v="3"/>
    <n v="1"/>
  </r>
  <r>
    <x v="0"/>
    <x v="1"/>
    <x v="0"/>
    <x v="2"/>
    <x v="6"/>
    <x v="1"/>
    <x v="1"/>
    <n v="1"/>
  </r>
  <r>
    <x v="0"/>
    <x v="1"/>
    <x v="0"/>
    <x v="2"/>
    <x v="6"/>
    <x v="1"/>
    <x v="12"/>
    <n v="1"/>
  </r>
  <r>
    <x v="0"/>
    <x v="1"/>
    <x v="0"/>
    <x v="2"/>
    <x v="6"/>
    <x v="0"/>
    <x v="10"/>
    <n v="8"/>
  </r>
  <r>
    <x v="0"/>
    <x v="1"/>
    <x v="0"/>
    <x v="2"/>
    <x v="6"/>
    <x v="0"/>
    <x v="1"/>
    <n v="4"/>
  </r>
  <r>
    <x v="0"/>
    <x v="1"/>
    <x v="0"/>
    <x v="2"/>
    <x v="6"/>
    <x v="0"/>
    <x v="12"/>
    <n v="2"/>
  </r>
  <r>
    <x v="0"/>
    <x v="1"/>
    <x v="0"/>
    <x v="3"/>
    <x v="7"/>
    <x v="1"/>
    <x v="10"/>
    <n v="1"/>
  </r>
  <r>
    <x v="0"/>
    <x v="1"/>
    <x v="0"/>
    <x v="3"/>
    <x v="7"/>
    <x v="0"/>
    <x v="1"/>
    <n v="1"/>
  </r>
  <r>
    <x v="0"/>
    <x v="1"/>
    <x v="0"/>
    <x v="4"/>
    <x v="8"/>
    <x v="14"/>
    <x v="7"/>
    <n v="1"/>
  </r>
  <r>
    <x v="0"/>
    <x v="1"/>
    <x v="0"/>
    <x v="4"/>
    <x v="8"/>
    <x v="13"/>
    <x v="8"/>
    <n v="2"/>
  </r>
  <r>
    <x v="0"/>
    <x v="1"/>
    <x v="0"/>
    <x v="4"/>
    <x v="8"/>
    <x v="13"/>
    <x v="7"/>
    <n v="15"/>
  </r>
  <r>
    <x v="0"/>
    <x v="1"/>
    <x v="0"/>
    <x v="4"/>
    <x v="8"/>
    <x v="2"/>
    <x v="15"/>
    <n v="75"/>
  </r>
  <r>
    <x v="0"/>
    <x v="1"/>
    <x v="0"/>
    <x v="4"/>
    <x v="8"/>
    <x v="2"/>
    <x v="8"/>
    <n v="25"/>
  </r>
  <r>
    <x v="0"/>
    <x v="1"/>
    <x v="0"/>
    <x v="4"/>
    <x v="8"/>
    <x v="2"/>
    <x v="9"/>
    <n v="2"/>
  </r>
  <r>
    <x v="0"/>
    <x v="1"/>
    <x v="0"/>
    <x v="4"/>
    <x v="8"/>
    <x v="2"/>
    <x v="4"/>
    <n v="2"/>
  </r>
  <r>
    <x v="0"/>
    <x v="1"/>
    <x v="0"/>
    <x v="4"/>
    <x v="8"/>
    <x v="2"/>
    <x v="5"/>
    <n v="1"/>
  </r>
  <r>
    <x v="0"/>
    <x v="1"/>
    <x v="0"/>
    <x v="4"/>
    <x v="8"/>
    <x v="10"/>
    <x v="15"/>
    <n v="93"/>
  </r>
  <r>
    <x v="0"/>
    <x v="1"/>
    <x v="0"/>
    <x v="4"/>
    <x v="8"/>
    <x v="10"/>
    <x v="12"/>
    <n v="6"/>
  </r>
  <r>
    <x v="0"/>
    <x v="1"/>
    <x v="0"/>
    <x v="4"/>
    <x v="8"/>
    <x v="10"/>
    <x v="9"/>
    <n v="6"/>
  </r>
  <r>
    <x v="0"/>
    <x v="1"/>
    <x v="0"/>
    <x v="4"/>
    <x v="8"/>
    <x v="10"/>
    <x v="3"/>
    <n v="3"/>
  </r>
  <r>
    <x v="0"/>
    <x v="1"/>
    <x v="0"/>
    <x v="4"/>
    <x v="8"/>
    <x v="10"/>
    <x v="4"/>
    <n v="1"/>
  </r>
  <r>
    <x v="0"/>
    <x v="1"/>
    <x v="0"/>
    <x v="4"/>
    <x v="8"/>
    <x v="10"/>
    <x v="5"/>
    <n v="2"/>
  </r>
  <r>
    <x v="0"/>
    <x v="1"/>
    <x v="0"/>
    <x v="4"/>
    <x v="8"/>
    <x v="3"/>
    <x v="15"/>
    <n v="33"/>
  </r>
  <r>
    <x v="0"/>
    <x v="1"/>
    <x v="0"/>
    <x v="4"/>
    <x v="8"/>
    <x v="3"/>
    <x v="12"/>
    <n v="4"/>
  </r>
  <r>
    <x v="0"/>
    <x v="1"/>
    <x v="0"/>
    <x v="4"/>
    <x v="8"/>
    <x v="3"/>
    <x v="9"/>
    <n v="4"/>
  </r>
  <r>
    <x v="0"/>
    <x v="1"/>
    <x v="0"/>
    <x v="1"/>
    <x v="2"/>
    <x v="5"/>
    <x v="9"/>
    <n v="1"/>
  </r>
  <r>
    <x v="0"/>
    <x v="1"/>
    <x v="0"/>
    <x v="1"/>
    <x v="2"/>
    <x v="11"/>
    <x v="7"/>
    <n v="2"/>
  </r>
  <r>
    <x v="0"/>
    <x v="1"/>
    <x v="0"/>
    <x v="1"/>
    <x v="2"/>
    <x v="11"/>
    <x v="10"/>
    <n v="2"/>
  </r>
  <r>
    <x v="0"/>
    <x v="1"/>
    <x v="0"/>
    <x v="1"/>
    <x v="2"/>
    <x v="11"/>
    <x v="9"/>
    <n v="1"/>
  </r>
  <r>
    <x v="0"/>
    <x v="1"/>
    <x v="0"/>
    <x v="1"/>
    <x v="2"/>
    <x v="6"/>
    <x v="6"/>
    <n v="1"/>
  </r>
  <r>
    <x v="0"/>
    <x v="1"/>
    <x v="0"/>
    <x v="1"/>
    <x v="2"/>
    <x v="9"/>
    <x v="6"/>
    <n v="3"/>
  </r>
  <r>
    <x v="0"/>
    <x v="1"/>
    <x v="0"/>
    <x v="1"/>
    <x v="2"/>
    <x v="7"/>
    <x v="1"/>
    <n v="2"/>
  </r>
  <r>
    <x v="0"/>
    <x v="1"/>
    <x v="0"/>
    <x v="1"/>
    <x v="2"/>
    <x v="8"/>
    <x v="1"/>
    <n v="2"/>
  </r>
  <r>
    <x v="0"/>
    <x v="1"/>
    <x v="0"/>
    <x v="1"/>
    <x v="1"/>
    <x v="7"/>
    <x v="8"/>
    <n v="2"/>
  </r>
  <r>
    <x v="0"/>
    <x v="1"/>
    <x v="0"/>
    <x v="1"/>
    <x v="3"/>
    <x v="2"/>
    <x v="3"/>
    <n v="1"/>
  </r>
  <r>
    <x v="0"/>
    <x v="1"/>
    <x v="0"/>
    <x v="1"/>
    <x v="3"/>
    <x v="10"/>
    <x v="8"/>
    <n v="4"/>
  </r>
  <r>
    <x v="0"/>
    <x v="1"/>
    <x v="0"/>
    <x v="1"/>
    <x v="3"/>
    <x v="10"/>
    <x v="12"/>
    <n v="1"/>
  </r>
  <r>
    <x v="0"/>
    <x v="1"/>
    <x v="0"/>
    <x v="1"/>
    <x v="3"/>
    <x v="3"/>
    <x v="8"/>
    <n v="5"/>
  </r>
  <r>
    <x v="0"/>
    <x v="1"/>
    <x v="0"/>
    <x v="1"/>
    <x v="3"/>
    <x v="3"/>
    <x v="12"/>
    <n v="1"/>
  </r>
  <r>
    <x v="0"/>
    <x v="1"/>
    <x v="0"/>
    <x v="1"/>
    <x v="3"/>
    <x v="9"/>
    <x v="1"/>
    <n v="2"/>
  </r>
  <r>
    <x v="0"/>
    <x v="1"/>
    <x v="0"/>
    <x v="2"/>
    <x v="0"/>
    <x v="4"/>
    <x v="13"/>
    <n v="1"/>
  </r>
  <r>
    <x v="0"/>
    <x v="1"/>
    <x v="0"/>
    <x v="2"/>
    <x v="0"/>
    <x v="5"/>
    <x v="12"/>
    <n v="1"/>
  </r>
  <r>
    <x v="0"/>
    <x v="1"/>
    <x v="0"/>
    <x v="2"/>
    <x v="0"/>
    <x v="5"/>
    <x v="3"/>
    <n v="1"/>
  </r>
  <r>
    <x v="0"/>
    <x v="1"/>
    <x v="0"/>
    <x v="2"/>
    <x v="0"/>
    <x v="5"/>
    <x v="5"/>
    <n v="3"/>
  </r>
  <r>
    <x v="0"/>
    <x v="1"/>
    <x v="0"/>
    <x v="2"/>
    <x v="0"/>
    <x v="5"/>
    <x v="2"/>
    <n v="1"/>
  </r>
  <r>
    <x v="0"/>
    <x v="1"/>
    <x v="0"/>
    <x v="2"/>
    <x v="0"/>
    <x v="11"/>
    <x v="9"/>
    <n v="1"/>
  </r>
  <r>
    <x v="0"/>
    <x v="1"/>
    <x v="0"/>
    <x v="2"/>
    <x v="0"/>
    <x v="11"/>
    <x v="5"/>
    <n v="1"/>
  </r>
  <r>
    <x v="0"/>
    <x v="1"/>
    <x v="0"/>
    <x v="2"/>
    <x v="0"/>
    <x v="6"/>
    <x v="3"/>
    <n v="1"/>
  </r>
  <r>
    <x v="0"/>
    <x v="1"/>
    <x v="0"/>
    <x v="2"/>
    <x v="0"/>
    <x v="6"/>
    <x v="4"/>
    <n v="1"/>
  </r>
  <r>
    <x v="0"/>
    <x v="1"/>
    <x v="0"/>
    <x v="2"/>
    <x v="0"/>
    <x v="9"/>
    <x v="9"/>
    <n v="1"/>
  </r>
  <r>
    <x v="0"/>
    <x v="1"/>
    <x v="0"/>
    <x v="2"/>
    <x v="0"/>
    <x v="12"/>
    <x v="12"/>
    <n v="1"/>
  </r>
  <r>
    <x v="0"/>
    <x v="1"/>
    <x v="0"/>
    <x v="2"/>
    <x v="0"/>
    <x v="12"/>
    <x v="9"/>
    <n v="2"/>
  </r>
  <r>
    <x v="0"/>
    <x v="1"/>
    <x v="0"/>
    <x v="2"/>
    <x v="0"/>
    <x v="7"/>
    <x v="10"/>
    <n v="3"/>
  </r>
  <r>
    <x v="0"/>
    <x v="1"/>
    <x v="0"/>
    <x v="2"/>
    <x v="0"/>
    <x v="7"/>
    <x v="1"/>
    <n v="3"/>
  </r>
  <r>
    <x v="0"/>
    <x v="1"/>
    <x v="0"/>
    <x v="2"/>
    <x v="0"/>
    <x v="7"/>
    <x v="4"/>
    <n v="1"/>
  </r>
  <r>
    <x v="0"/>
    <x v="1"/>
    <x v="0"/>
    <x v="2"/>
    <x v="0"/>
    <x v="8"/>
    <x v="10"/>
    <n v="5"/>
  </r>
  <r>
    <x v="0"/>
    <x v="1"/>
    <x v="0"/>
    <x v="2"/>
    <x v="0"/>
    <x v="8"/>
    <x v="1"/>
    <n v="5"/>
  </r>
  <r>
    <x v="0"/>
    <x v="1"/>
    <x v="0"/>
    <x v="2"/>
    <x v="0"/>
    <x v="8"/>
    <x v="13"/>
    <n v="2"/>
  </r>
  <r>
    <x v="0"/>
    <x v="1"/>
    <x v="0"/>
    <x v="2"/>
    <x v="4"/>
    <x v="0"/>
    <x v="1"/>
    <n v="1"/>
  </r>
  <r>
    <x v="0"/>
    <x v="1"/>
    <x v="0"/>
    <x v="2"/>
    <x v="5"/>
    <x v="0"/>
    <x v="6"/>
    <n v="1"/>
  </r>
  <r>
    <x v="0"/>
    <x v="1"/>
    <x v="0"/>
    <x v="2"/>
    <x v="7"/>
    <x v="9"/>
    <x v="1"/>
    <n v="1"/>
  </r>
  <r>
    <x v="0"/>
    <x v="1"/>
    <x v="0"/>
    <x v="2"/>
    <x v="7"/>
    <x v="12"/>
    <x v="5"/>
    <n v="1"/>
  </r>
  <r>
    <x v="0"/>
    <x v="1"/>
    <x v="0"/>
    <x v="2"/>
    <x v="6"/>
    <x v="5"/>
    <x v="10"/>
    <n v="2"/>
  </r>
  <r>
    <x v="0"/>
    <x v="1"/>
    <x v="0"/>
    <x v="2"/>
    <x v="6"/>
    <x v="11"/>
    <x v="6"/>
    <n v="4"/>
  </r>
  <r>
    <x v="0"/>
    <x v="1"/>
    <x v="0"/>
    <x v="2"/>
    <x v="6"/>
    <x v="11"/>
    <x v="10"/>
    <n v="3"/>
  </r>
  <r>
    <x v="0"/>
    <x v="1"/>
    <x v="0"/>
    <x v="2"/>
    <x v="6"/>
    <x v="6"/>
    <x v="6"/>
    <n v="7"/>
  </r>
  <r>
    <x v="0"/>
    <x v="1"/>
    <x v="0"/>
    <x v="2"/>
    <x v="6"/>
    <x v="6"/>
    <x v="10"/>
    <n v="3"/>
  </r>
  <r>
    <x v="0"/>
    <x v="1"/>
    <x v="0"/>
    <x v="2"/>
    <x v="6"/>
    <x v="9"/>
    <x v="7"/>
    <n v="118"/>
  </r>
  <r>
    <x v="0"/>
    <x v="1"/>
    <x v="0"/>
    <x v="2"/>
    <x v="6"/>
    <x v="9"/>
    <x v="6"/>
    <n v="15"/>
  </r>
  <r>
    <x v="0"/>
    <x v="1"/>
    <x v="0"/>
    <x v="2"/>
    <x v="6"/>
    <x v="9"/>
    <x v="10"/>
    <n v="1"/>
  </r>
  <r>
    <x v="0"/>
    <x v="1"/>
    <x v="0"/>
    <x v="2"/>
    <x v="6"/>
    <x v="9"/>
    <x v="1"/>
    <n v="2"/>
  </r>
  <r>
    <x v="0"/>
    <x v="1"/>
    <x v="0"/>
    <x v="2"/>
    <x v="6"/>
    <x v="12"/>
    <x v="7"/>
    <n v="51"/>
  </r>
  <r>
    <x v="0"/>
    <x v="1"/>
    <x v="0"/>
    <x v="2"/>
    <x v="6"/>
    <x v="12"/>
    <x v="6"/>
    <n v="35"/>
  </r>
  <r>
    <x v="0"/>
    <x v="1"/>
    <x v="0"/>
    <x v="2"/>
    <x v="6"/>
    <x v="12"/>
    <x v="10"/>
    <n v="4"/>
  </r>
  <r>
    <x v="0"/>
    <x v="1"/>
    <x v="0"/>
    <x v="2"/>
    <x v="6"/>
    <x v="1"/>
    <x v="6"/>
    <n v="24"/>
  </r>
  <r>
    <x v="0"/>
    <x v="1"/>
    <x v="0"/>
    <x v="2"/>
    <x v="6"/>
    <x v="1"/>
    <x v="10"/>
    <n v="4"/>
  </r>
  <r>
    <x v="0"/>
    <x v="1"/>
    <x v="0"/>
    <x v="2"/>
    <x v="6"/>
    <x v="0"/>
    <x v="6"/>
    <n v="1"/>
  </r>
  <r>
    <x v="0"/>
    <x v="1"/>
    <x v="0"/>
    <x v="2"/>
    <x v="6"/>
    <x v="0"/>
    <x v="3"/>
    <n v="1"/>
  </r>
  <r>
    <x v="0"/>
    <x v="1"/>
    <x v="0"/>
    <x v="3"/>
    <x v="1"/>
    <x v="0"/>
    <x v="9"/>
    <n v="1"/>
  </r>
  <r>
    <x v="0"/>
    <x v="1"/>
    <x v="0"/>
    <x v="4"/>
    <x v="8"/>
    <x v="14"/>
    <x v="2"/>
    <n v="1"/>
  </r>
  <r>
    <x v="0"/>
    <x v="1"/>
    <x v="0"/>
    <x v="4"/>
    <x v="8"/>
    <x v="13"/>
    <x v="6"/>
    <n v="8"/>
  </r>
  <r>
    <x v="0"/>
    <x v="1"/>
    <x v="0"/>
    <x v="4"/>
    <x v="8"/>
    <x v="13"/>
    <x v="9"/>
    <n v="1"/>
  </r>
  <r>
    <x v="0"/>
    <x v="1"/>
    <x v="0"/>
    <x v="4"/>
    <x v="8"/>
    <x v="13"/>
    <x v="3"/>
    <n v="1"/>
  </r>
  <r>
    <x v="0"/>
    <x v="1"/>
    <x v="0"/>
    <x v="4"/>
    <x v="8"/>
    <x v="13"/>
    <x v="4"/>
    <n v="2"/>
  </r>
  <r>
    <x v="0"/>
    <x v="1"/>
    <x v="0"/>
    <x v="4"/>
    <x v="8"/>
    <x v="2"/>
    <x v="10"/>
    <n v="2"/>
  </r>
  <r>
    <x v="0"/>
    <x v="1"/>
    <x v="0"/>
    <x v="4"/>
    <x v="8"/>
    <x v="2"/>
    <x v="1"/>
    <n v="4"/>
  </r>
  <r>
    <x v="0"/>
    <x v="1"/>
    <x v="0"/>
    <x v="4"/>
    <x v="8"/>
    <x v="10"/>
    <x v="10"/>
    <n v="9"/>
  </r>
  <r>
    <x v="0"/>
    <x v="1"/>
    <x v="0"/>
    <x v="4"/>
    <x v="8"/>
    <x v="10"/>
    <x v="1"/>
    <n v="3"/>
  </r>
  <r>
    <x v="0"/>
    <x v="1"/>
    <x v="0"/>
    <x v="4"/>
    <x v="8"/>
    <x v="3"/>
    <x v="6"/>
    <n v="19"/>
  </r>
  <r>
    <x v="0"/>
    <x v="1"/>
    <x v="0"/>
    <x v="4"/>
    <x v="8"/>
    <x v="3"/>
    <x v="10"/>
    <n v="6"/>
  </r>
  <r>
    <x v="0"/>
    <x v="1"/>
    <x v="0"/>
    <x v="4"/>
    <x v="8"/>
    <x v="3"/>
    <x v="1"/>
    <n v="5"/>
  </r>
  <r>
    <x v="0"/>
    <x v="1"/>
    <x v="0"/>
    <x v="4"/>
    <x v="8"/>
    <x v="4"/>
    <x v="6"/>
    <n v="13"/>
  </r>
  <r>
    <x v="0"/>
    <x v="1"/>
    <x v="0"/>
    <x v="4"/>
    <x v="8"/>
    <x v="4"/>
    <x v="10"/>
    <n v="4"/>
  </r>
  <r>
    <x v="0"/>
    <x v="1"/>
    <x v="0"/>
    <x v="4"/>
    <x v="8"/>
    <x v="4"/>
    <x v="1"/>
    <n v="2"/>
  </r>
  <r>
    <x v="0"/>
    <x v="1"/>
    <x v="0"/>
    <x v="4"/>
    <x v="8"/>
    <x v="5"/>
    <x v="7"/>
    <n v="58"/>
  </r>
  <r>
    <x v="0"/>
    <x v="1"/>
    <x v="0"/>
    <x v="4"/>
    <x v="8"/>
    <x v="5"/>
    <x v="6"/>
    <n v="8"/>
  </r>
  <r>
    <x v="0"/>
    <x v="1"/>
    <x v="0"/>
    <x v="4"/>
    <x v="8"/>
    <x v="5"/>
    <x v="10"/>
    <n v="2"/>
  </r>
  <r>
    <x v="0"/>
    <x v="1"/>
    <x v="0"/>
    <x v="4"/>
    <x v="8"/>
    <x v="5"/>
    <x v="1"/>
    <n v="4"/>
  </r>
  <r>
    <x v="0"/>
    <x v="1"/>
    <x v="0"/>
    <x v="4"/>
    <x v="8"/>
    <x v="5"/>
    <x v="2"/>
    <n v="1"/>
  </r>
  <r>
    <x v="0"/>
    <x v="1"/>
    <x v="0"/>
    <x v="4"/>
    <x v="8"/>
    <x v="11"/>
    <x v="7"/>
    <n v="35"/>
  </r>
  <r>
    <x v="0"/>
    <x v="1"/>
    <x v="0"/>
    <x v="4"/>
    <x v="8"/>
    <x v="11"/>
    <x v="6"/>
    <n v="18"/>
  </r>
  <r>
    <x v="0"/>
    <x v="1"/>
    <x v="0"/>
    <x v="4"/>
    <x v="8"/>
    <x v="11"/>
    <x v="10"/>
    <n v="4"/>
  </r>
  <r>
    <x v="0"/>
    <x v="1"/>
    <x v="0"/>
    <x v="4"/>
    <x v="8"/>
    <x v="6"/>
    <x v="7"/>
    <n v="42"/>
  </r>
  <r>
    <x v="0"/>
    <x v="1"/>
    <x v="0"/>
    <x v="4"/>
    <x v="8"/>
    <x v="6"/>
    <x v="6"/>
    <n v="12"/>
  </r>
  <r>
    <x v="0"/>
    <x v="1"/>
    <x v="0"/>
    <x v="4"/>
    <x v="8"/>
    <x v="6"/>
    <x v="10"/>
    <n v="6"/>
  </r>
  <r>
    <x v="0"/>
    <x v="1"/>
    <x v="0"/>
    <x v="4"/>
    <x v="8"/>
    <x v="6"/>
    <x v="3"/>
    <n v="1"/>
  </r>
  <r>
    <x v="0"/>
    <x v="1"/>
    <x v="0"/>
    <x v="4"/>
    <x v="8"/>
    <x v="9"/>
    <x v="7"/>
    <n v="16"/>
  </r>
  <r>
    <x v="0"/>
    <x v="1"/>
    <x v="0"/>
    <x v="4"/>
    <x v="8"/>
    <x v="9"/>
    <x v="6"/>
    <n v="18"/>
  </r>
  <r>
    <x v="0"/>
    <x v="1"/>
    <x v="0"/>
    <x v="4"/>
    <x v="8"/>
    <x v="12"/>
    <x v="7"/>
    <n v="4"/>
  </r>
  <r>
    <x v="0"/>
    <x v="1"/>
    <x v="0"/>
    <x v="4"/>
    <x v="8"/>
    <x v="12"/>
    <x v="6"/>
    <n v="16"/>
  </r>
  <r>
    <x v="0"/>
    <x v="1"/>
    <x v="0"/>
    <x v="4"/>
    <x v="7"/>
    <x v="8"/>
    <x v="1"/>
    <n v="3"/>
  </r>
  <r>
    <x v="0"/>
    <x v="1"/>
    <x v="0"/>
    <x v="5"/>
    <x v="1"/>
    <x v="7"/>
    <x v="6"/>
    <n v="1"/>
  </r>
  <r>
    <x v="0"/>
    <x v="1"/>
    <x v="0"/>
    <x v="5"/>
    <x v="3"/>
    <x v="10"/>
    <x v="5"/>
    <n v="3"/>
  </r>
  <r>
    <x v="0"/>
    <x v="1"/>
    <x v="0"/>
    <x v="5"/>
    <x v="3"/>
    <x v="3"/>
    <x v="4"/>
    <n v="2"/>
  </r>
  <r>
    <x v="0"/>
    <x v="1"/>
    <x v="0"/>
    <x v="5"/>
    <x v="3"/>
    <x v="3"/>
    <x v="5"/>
    <n v="1"/>
  </r>
  <r>
    <x v="0"/>
    <x v="1"/>
    <x v="0"/>
    <x v="5"/>
    <x v="3"/>
    <x v="4"/>
    <x v="4"/>
    <n v="1"/>
  </r>
  <r>
    <x v="0"/>
    <x v="1"/>
    <x v="0"/>
    <x v="5"/>
    <x v="3"/>
    <x v="7"/>
    <x v="11"/>
    <n v="1"/>
  </r>
  <r>
    <x v="0"/>
    <x v="1"/>
    <x v="0"/>
    <x v="5"/>
    <x v="10"/>
    <x v="7"/>
    <x v="6"/>
    <n v="4"/>
  </r>
  <r>
    <x v="0"/>
    <x v="1"/>
    <x v="0"/>
    <x v="5"/>
    <x v="10"/>
    <x v="7"/>
    <x v="12"/>
    <n v="2"/>
  </r>
  <r>
    <x v="0"/>
    <x v="1"/>
    <x v="0"/>
    <x v="5"/>
    <x v="10"/>
    <x v="8"/>
    <x v="12"/>
    <n v="2"/>
  </r>
  <r>
    <x v="0"/>
    <x v="1"/>
    <x v="0"/>
    <x v="5"/>
    <x v="11"/>
    <x v="5"/>
    <x v="5"/>
    <n v="1"/>
  </r>
  <r>
    <x v="0"/>
    <x v="1"/>
    <x v="0"/>
    <x v="5"/>
    <x v="11"/>
    <x v="11"/>
    <x v="5"/>
    <n v="2"/>
  </r>
  <r>
    <x v="0"/>
    <x v="1"/>
    <x v="0"/>
    <x v="5"/>
    <x v="11"/>
    <x v="12"/>
    <x v="6"/>
    <n v="3"/>
  </r>
  <r>
    <x v="0"/>
    <x v="1"/>
    <x v="0"/>
    <x v="5"/>
    <x v="11"/>
    <x v="12"/>
    <x v="12"/>
    <n v="1"/>
  </r>
  <r>
    <x v="0"/>
    <x v="1"/>
    <x v="0"/>
    <x v="5"/>
    <x v="11"/>
    <x v="12"/>
    <x v="5"/>
    <n v="1"/>
  </r>
  <r>
    <x v="0"/>
    <x v="1"/>
    <x v="0"/>
    <x v="5"/>
    <x v="11"/>
    <x v="1"/>
    <x v="12"/>
    <n v="1"/>
  </r>
  <r>
    <x v="0"/>
    <x v="1"/>
    <x v="0"/>
    <x v="5"/>
    <x v="11"/>
    <x v="1"/>
    <x v="9"/>
    <n v="1"/>
  </r>
  <r>
    <x v="0"/>
    <x v="1"/>
    <x v="0"/>
    <x v="5"/>
    <x v="11"/>
    <x v="0"/>
    <x v="12"/>
    <n v="1"/>
  </r>
  <r>
    <x v="0"/>
    <x v="1"/>
    <x v="0"/>
    <x v="6"/>
    <x v="3"/>
    <x v="2"/>
    <x v="7"/>
    <n v="1"/>
  </r>
  <r>
    <x v="0"/>
    <x v="1"/>
    <x v="0"/>
    <x v="6"/>
    <x v="3"/>
    <x v="10"/>
    <x v="7"/>
    <n v="1"/>
  </r>
  <r>
    <x v="0"/>
    <x v="1"/>
    <x v="0"/>
    <x v="6"/>
    <x v="3"/>
    <x v="10"/>
    <x v="6"/>
    <n v="4"/>
  </r>
  <r>
    <x v="0"/>
    <x v="1"/>
    <x v="0"/>
    <x v="6"/>
    <x v="3"/>
    <x v="3"/>
    <x v="7"/>
    <n v="2"/>
  </r>
  <r>
    <x v="0"/>
    <x v="1"/>
    <x v="0"/>
    <x v="6"/>
    <x v="3"/>
    <x v="3"/>
    <x v="6"/>
    <n v="3"/>
  </r>
  <r>
    <x v="0"/>
    <x v="1"/>
    <x v="0"/>
    <x v="6"/>
    <x v="3"/>
    <x v="4"/>
    <x v="7"/>
    <n v="3"/>
  </r>
  <r>
    <x v="0"/>
    <x v="1"/>
    <x v="0"/>
    <x v="6"/>
    <x v="3"/>
    <x v="4"/>
    <x v="6"/>
    <n v="2"/>
  </r>
  <r>
    <x v="0"/>
    <x v="1"/>
    <x v="0"/>
    <x v="7"/>
    <x v="12"/>
    <x v="8"/>
    <x v="10"/>
    <n v="1"/>
  </r>
  <r>
    <x v="0"/>
    <x v="1"/>
    <x v="0"/>
    <x v="7"/>
    <x v="12"/>
    <x v="0"/>
    <x v="1"/>
    <n v="28"/>
  </r>
  <r>
    <x v="0"/>
    <x v="1"/>
    <x v="0"/>
    <x v="7"/>
    <x v="13"/>
    <x v="12"/>
    <x v="4"/>
    <n v="1"/>
  </r>
  <r>
    <x v="0"/>
    <x v="1"/>
    <x v="0"/>
    <x v="7"/>
    <x v="13"/>
    <x v="1"/>
    <x v="10"/>
    <n v="7"/>
  </r>
  <r>
    <x v="0"/>
    <x v="1"/>
    <x v="0"/>
    <x v="7"/>
    <x v="13"/>
    <x v="0"/>
    <x v="12"/>
    <n v="3"/>
  </r>
  <r>
    <x v="0"/>
    <x v="1"/>
    <x v="0"/>
    <x v="7"/>
    <x v="6"/>
    <x v="8"/>
    <x v="10"/>
    <n v="1"/>
  </r>
  <r>
    <x v="0"/>
    <x v="1"/>
    <x v="0"/>
    <x v="8"/>
    <x v="13"/>
    <x v="5"/>
    <x v="2"/>
    <n v="1"/>
  </r>
  <r>
    <x v="0"/>
    <x v="1"/>
    <x v="0"/>
    <x v="8"/>
    <x v="13"/>
    <x v="6"/>
    <x v="5"/>
    <n v="1"/>
  </r>
  <r>
    <x v="0"/>
    <x v="1"/>
    <x v="0"/>
    <x v="8"/>
    <x v="13"/>
    <x v="1"/>
    <x v="4"/>
    <n v="1"/>
  </r>
  <r>
    <x v="0"/>
    <x v="1"/>
    <x v="0"/>
    <x v="8"/>
    <x v="14"/>
    <x v="1"/>
    <x v="6"/>
    <n v="1"/>
  </r>
  <r>
    <x v="0"/>
    <x v="1"/>
    <x v="0"/>
    <x v="8"/>
    <x v="10"/>
    <x v="10"/>
    <x v="6"/>
    <n v="1"/>
  </r>
  <r>
    <x v="0"/>
    <x v="1"/>
    <x v="0"/>
    <x v="8"/>
    <x v="10"/>
    <x v="10"/>
    <x v="4"/>
    <n v="1"/>
  </r>
  <r>
    <x v="0"/>
    <x v="1"/>
    <x v="0"/>
    <x v="8"/>
    <x v="10"/>
    <x v="3"/>
    <x v="6"/>
    <n v="3"/>
  </r>
  <r>
    <x v="0"/>
    <x v="1"/>
    <x v="0"/>
    <x v="8"/>
    <x v="10"/>
    <x v="4"/>
    <x v="7"/>
    <n v="4"/>
  </r>
  <r>
    <x v="0"/>
    <x v="1"/>
    <x v="0"/>
    <x v="8"/>
    <x v="10"/>
    <x v="5"/>
    <x v="7"/>
    <n v="10"/>
  </r>
  <r>
    <x v="0"/>
    <x v="1"/>
    <x v="0"/>
    <x v="8"/>
    <x v="10"/>
    <x v="5"/>
    <x v="12"/>
    <n v="2"/>
  </r>
  <r>
    <x v="0"/>
    <x v="1"/>
    <x v="0"/>
    <x v="8"/>
    <x v="10"/>
    <x v="5"/>
    <x v="9"/>
    <n v="2"/>
  </r>
  <r>
    <x v="0"/>
    <x v="1"/>
    <x v="0"/>
    <x v="8"/>
    <x v="10"/>
    <x v="11"/>
    <x v="9"/>
    <n v="1"/>
  </r>
  <r>
    <x v="0"/>
    <x v="1"/>
    <x v="0"/>
    <x v="8"/>
    <x v="10"/>
    <x v="7"/>
    <x v="6"/>
    <n v="2"/>
  </r>
  <r>
    <x v="0"/>
    <x v="1"/>
    <x v="0"/>
    <x v="8"/>
    <x v="10"/>
    <x v="7"/>
    <x v="10"/>
    <n v="2"/>
  </r>
  <r>
    <x v="0"/>
    <x v="1"/>
    <x v="0"/>
    <x v="8"/>
    <x v="10"/>
    <x v="7"/>
    <x v="1"/>
    <n v="1"/>
  </r>
  <r>
    <x v="0"/>
    <x v="1"/>
    <x v="0"/>
    <x v="8"/>
    <x v="10"/>
    <x v="8"/>
    <x v="10"/>
    <n v="1"/>
  </r>
  <r>
    <x v="0"/>
    <x v="1"/>
    <x v="0"/>
    <x v="8"/>
    <x v="10"/>
    <x v="8"/>
    <x v="1"/>
    <n v="2"/>
  </r>
  <r>
    <x v="0"/>
    <x v="1"/>
    <x v="0"/>
    <x v="8"/>
    <x v="10"/>
    <x v="8"/>
    <x v="5"/>
    <n v="1"/>
  </r>
  <r>
    <x v="0"/>
    <x v="1"/>
    <x v="0"/>
    <x v="8"/>
    <x v="11"/>
    <x v="5"/>
    <x v="1"/>
    <n v="3"/>
  </r>
  <r>
    <x v="0"/>
    <x v="1"/>
    <x v="0"/>
    <x v="8"/>
    <x v="11"/>
    <x v="11"/>
    <x v="1"/>
    <n v="5"/>
  </r>
  <r>
    <x v="0"/>
    <x v="1"/>
    <x v="0"/>
    <x v="8"/>
    <x v="11"/>
    <x v="6"/>
    <x v="10"/>
    <n v="6"/>
  </r>
  <r>
    <x v="0"/>
    <x v="1"/>
    <x v="0"/>
    <x v="8"/>
    <x v="11"/>
    <x v="6"/>
    <x v="1"/>
    <n v="1"/>
  </r>
  <r>
    <x v="0"/>
    <x v="1"/>
    <x v="0"/>
    <x v="8"/>
    <x v="11"/>
    <x v="6"/>
    <x v="11"/>
    <n v="1"/>
  </r>
  <r>
    <x v="0"/>
    <x v="1"/>
    <x v="0"/>
    <x v="8"/>
    <x v="11"/>
    <x v="9"/>
    <x v="10"/>
    <n v="14"/>
  </r>
  <r>
    <x v="0"/>
    <x v="1"/>
    <x v="0"/>
    <x v="8"/>
    <x v="11"/>
    <x v="9"/>
    <x v="1"/>
    <n v="4"/>
  </r>
  <r>
    <x v="0"/>
    <x v="1"/>
    <x v="0"/>
    <x v="8"/>
    <x v="11"/>
    <x v="12"/>
    <x v="6"/>
    <n v="29"/>
  </r>
  <r>
    <x v="0"/>
    <x v="1"/>
    <x v="0"/>
    <x v="8"/>
    <x v="11"/>
    <x v="12"/>
    <x v="10"/>
    <n v="9"/>
  </r>
  <r>
    <x v="0"/>
    <x v="1"/>
    <x v="0"/>
    <x v="8"/>
    <x v="11"/>
    <x v="12"/>
    <x v="1"/>
    <n v="12"/>
  </r>
  <r>
    <x v="0"/>
    <x v="1"/>
    <x v="0"/>
    <x v="5"/>
    <x v="11"/>
    <x v="11"/>
    <x v="6"/>
    <n v="1"/>
  </r>
  <r>
    <x v="0"/>
    <x v="1"/>
    <x v="0"/>
    <x v="5"/>
    <x v="11"/>
    <x v="6"/>
    <x v="6"/>
    <n v="3"/>
  </r>
  <r>
    <x v="0"/>
    <x v="1"/>
    <x v="0"/>
    <x v="5"/>
    <x v="11"/>
    <x v="9"/>
    <x v="6"/>
    <n v="4"/>
  </r>
  <r>
    <x v="0"/>
    <x v="1"/>
    <x v="0"/>
    <x v="5"/>
    <x v="11"/>
    <x v="7"/>
    <x v="10"/>
    <n v="2"/>
  </r>
  <r>
    <x v="0"/>
    <x v="1"/>
    <x v="0"/>
    <x v="9"/>
    <x v="13"/>
    <x v="6"/>
    <x v="5"/>
    <n v="1"/>
  </r>
  <r>
    <x v="0"/>
    <x v="1"/>
    <x v="0"/>
    <x v="7"/>
    <x v="12"/>
    <x v="0"/>
    <x v="10"/>
    <n v="31"/>
  </r>
  <r>
    <x v="0"/>
    <x v="1"/>
    <x v="0"/>
    <x v="7"/>
    <x v="13"/>
    <x v="6"/>
    <x v="12"/>
    <n v="1"/>
  </r>
  <r>
    <x v="0"/>
    <x v="1"/>
    <x v="0"/>
    <x v="7"/>
    <x v="13"/>
    <x v="12"/>
    <x v="1"/>
    <n v="1"/>
  </r>
  <r>
    <x v="0"/>
    <x v="1"/>
    <x v="0"/>
    <x v="7"/>
    <x v="13"/>
    <x v="7"/>
    <x v="6"/>
    <n v="4"/>
  </r>
  <r>
    <x v="0"/>
    <x v="1"/>
    <x v="0"/>
    <x v="7"/>
    <x v="13"/>
    <x v="1"/>
    <x v="1"/>
    <n v="4"/>
  </r>
  <r>
    <x v="0"/>
    <x v="1"/>
    <x v="0"/>
    <x v="7"/>
    <x v="13"/>
    <x v="1"/>
    <x v="12"/>
    <n v="1"/>
  </r>
  <r>
    <x v="0"/>
    <x v="1"/>
    <x v="0"/>
    <x v="7"/>
    <x v="13"/>
    <x v="0"/>
    <x v="10"/>
    <n v="1"/>
  </r>
  <r>
    <x v="0"/>
    <x v="1"/>
    <x v="0"/>
    <x v="7"/>
    <x v="13"/>
    <x v="0"/>
    <x v="1"/>
    <n v="12"/>
  </r>
  <r>
    <x v="0"/>
    <x v="1"/>
    <x v="0"/>
    <x v="7"/>
    <x v="6"/>
    <x v="12"/>
    <x v="6"/>
    <n v="1"/>
  </r>
  <r>
    <x v="0"/>
    <x v="1"/>
    <x v="0"/>
    <x v="8"/>
    <x v="13"/>
    <x v="10"/>
    <x v="2"/>
    <n v="1"/>
  </r>
  <r>
    <x v="0"/>
    <x v="1"/>
    <x v="0"/>
    <x v="8"/>
    <x v="13"/>
    <x v="3"/>
    <x v="5"/>
    <n v="1"/>
  </r>
  <r>
    <x v="0"/>
    <x v="1"/>
    <x v="0"/>
    <x v="8"/>
    <x v="13"/>
    <x v="4"/>
    <x v="4"/>
    <n v="1"/>
  </r>
  <r>
    <x v="0"/>
    <x v="1"/>
    <x v="0"/>
    <x v="8"/>
    <x v="14"/>
    <x v="8"/>
    <x v="7"/>
    <n v="1"/>
  </r>
  <r>
    <x v="0"/>
    <x v="1"/>
    <x v="0"/>
    <x v="8"/>
    <x v="10"/>
    <x v="3"/>
    <x v="1"/>
    <n v="1"/>
  </r>
  <r>
    <x v="0"/>
    <x v="1"/>
    <x v="0"/>
    <x v="8"/>
    <x v="10"/>
    <x v="4"/>
    <x v="6"/>
    <n v="1"/>
  </r>
  <r>
    <x v="0"/>
    <x v="1"/>
    <x v="0"/>
    <x v="8"/>
    <x v="10"/>
    <x v="4"/>
    <x v="10"/>
    <n v="1"/>
  </r>
  <r>
    <x v="0"/>
    <x v="1"/>
    <x v="0"/>
    <x v="8"/>
    <x v="10"/>
    <x v="4"/>
    <x v="1"/>
    <n v="1"/>
  </r>
  <r>
    <x v="0"/>
    <x v="1"/>
    <x v="0"/>
    <x v="8"/>
    <x v="10"/>
    <x v="5"/>
    <x v="6"/>
    <n v="7"/>
  </r>
  <r>
    <x v="0"/>
    <x v="1"/>
    <x v="0"/>
    <x v="8"/>
    <x v="10"/>
    <x v="5"/>
    <x v="10"/>
    <n v="2"/>
  </r>
  <r>
    <x v="0"/>
    <x v="1"/>
    <x v="0"/>
    <x v="8"/>
    <x v="10"/>
    <x v="11"/>
    <x v="7"/>
    <n v="4"/>
  </r>
  <r>
    <x v="0"/>
    <x v="1"/>
    <x v="0"/>
    <x v="8"/>
    <x v="10"/>
    <x v="11"/>
    <x v="6"/>
    <n v="10"/>
  </r>
  <r>
    <x v="0"/>
    <x v="1"/>
    <x v="0"/>
    <x v="8"/>
    <x v="10"/>
    <x v="11"/>
    <x v="10"/>
    <n v="5"/>
  </r>
  <r>
    <x v="0"/>
    <x v="1"/>
    <x v="0"/>
    <x v="8"/>
    <x v="10"/>
    <x v="6"/>
    <x v="7"/>
    <n v="5"/>
  </r>
  <r>
    <x v="0"/>
    <x v="1"/>
    <x v="0"/>
    <x v="8"/>
    <x v="10"/>
    <x v="6"/>
    <x v="6"/>
    <n v="5"/>
  </r>
  <r>
    <x v="0"/>
    <x v="1"/>
    <x v="0"/>
    <x v="8"/>
    <x v="10"/>
    <x v="9"/>
    <x v="6"/>
    <n v="6"/>
  </r>
  <r>
    <x v="0"/>
    <x v="1"/>
    <x v="0"/>
    <x v="8"/>
    <x v="10"/>
    <x v="7"/>
    <x v="12"/>
    <n v="6"/>
  </r>
  <r>
    <x v="0"/>
    <x v="1"/>
    <x v="0"/>
    <x v="8"/>
    <x v="10"/>
    <x v="7"/>
    <x v="3"/>
    <n v="3"/>
  </r>
  <r>
    <x v="0"/>
    <x v="1"/>
    <x v="0"/>
    <x v="8"/>
    <x v="10"/>
    <x v="7"/>
    <x v="4"/>
    <n v="1"/>
  </r>
  <r>
    <x v="0"/>
    <x v="1"/>
    <x v="0"/>
    <x v="8"/>
    <x v="10"/>
    <x v="8"/>
    <x v="12"/>
    <n v="4"/>
  </r>
  <r>
    <x v="0"/>
    <x v="1"/>
    <x v="0"/>
    <x v="8"/>
    <x v="10"/>
    <x v="8"/>
    <x v="9"/>
    <n v="5"/>
  </r>
  <r>
    <x v="0"/>
    <x v="1"/>
    <x v="0"/>
    <x v="8"/>
    <x v="10"/>
    <x v="8"/>
    <x v="3"/>
    <n v="1"/>
  </r>
  <r>
    <x v="0"/>
    <x v="1"/>
    <x v="0"/>
    <x v="8"/>
    <x v="10"/>
    <x v="8"/>
    <x v="4"/>
    <n v="2"/>
  </r>
  <r>
    <x v="0"/>
    <x v="1"/>
    <x v="0"/>
    <x v="8"/>
    <x v="10"/>
    <x v="0"/>
    <x v="5"/>
    <n v="8"/>
  </r>
  <r>
    <x v="0"/>
    <x v="1"/>
    <x v="0"/>
    <x v="8"/>
    <x v="10"/>
    <x v="0"/>
    <x v="2"/>
    <n v="11"/>
  </r>
  <r>
    <x v="0"/>
    <x v="1"/>
    <x v="0"/>
    <x v="8"/>
    <x v="10"/>
    <x v="0"/>
    <x v="13"/>
    <n v="2"/>
  </r>
  <r>
    <x v="0"/>
    <x v="1"/>
    <x v="0"/>
    <x v="8"/>
    <x v="10"/>
    <x v="0"/>
    <x v="11"/>
    <n v="1"/>
  </r>
  <r>
    <x v="0"/>
    <x v="1"/>
    <x v="0"/>
    <x v="8"/>
    <x v="11"/>
    <x v="5"/>
    <x v="8"/>
    <n v="1"/>
  </r>
  <r>
    <x v="0"/>
    <x v="1"/>
    <x v="0"/>
    <x v="8"/>
    <x v="11"/>
    <x v="11"/>
    <x v="5"/>
    <n v="1"/>
  </r>
  <r>
    <x v="0"/>
    <x v="1"/>
    <x v="0"/>
    <x v="8"/>
    <x v="11"/>
    <x v="11"/>
    <x v="2"/>
    <n v="1"/>
  </r>
  <r>
    <x v="0"/>
    <x v="1"/>
    <x v="0"/>
    <x v="8"/>
    <x v="11"/>
    <x v="6"/>
    <x v="8"/>
    <n v="1"/>
  </r>
  <r>
    <x v="0"/>
    <x v="1"/>
    <x v="0"/>
    <x v="8"/>
    <x v="11"/>
    <x v="6"/>
    <x v="9"/>
    <n v="1"/>
  </r>
  <r>
    <x v="0"/>
    <x v="1"/>
    <x v="0"/>
    <x v="8"/>
    <x v="11"/>
    <x v="6"/>
    <x v="3"/>
    <n v="1"/>
  </r>
  <r>
    <x v="0"/>
    <x v="1"/>
    <x v="0"/>
    <x v="8"/>
    <x v="11"/>
    <x v="6"/>
    <x v="4"/>
    <n v="1"/>
  </r>
  <r>
    <x v="0"/>
    <x v="1"/>
    <x v="0"/>
    <x v="8"/>
    <x v="11"/>
    <x v="6"/>
    <x v="2"/>
    <n v="2"/>
  </r>
  <r>
    <x v="0"/>
    <x v="1"/>
    <x v="0"/>
    <x v="8"/>
    <x v="11"/>
    <x v="9"/>
    <x v="12"/>
    <n v="2"/>
  </r>
  <r>
    <x v="0"/>
    <x v="1"/>
    <x v="0"/>
    <x v="8"/>
    <x v="11"/>
    <x v="9"/>
    <x v="3"/>
    <n v="1"/>
  </r>
  <r>
    <x v="0"/>
    <x v="1"/>
    <x v="0"/>
    <x v="8"/>
    <x v="11"/>
    <x v="9"/>
    <x v="2"/>
    <n v="1"/>
  </r>
  <r>
    <x v="0"/>
    <x v="1"/>
    <x v="0"/>
    <x v="8"/>
    <x v="11"/>
    <x v="12"/>
    <x v="12"/>
    <n v="2"/>
  </r>
  <r>
    <x v="0"/>
    <x v="1"/>
    <x v="0"/>
    <x v="8"/>
    <x v="11"/>
    <x v="12"/>
    <x v="9"/>
    <n v="3"/>
  </r>
  <r>
    <x v="0"/>
    <x v="1"/>
    <x v="0"/>
    <x v="8"/>
    <x v="11"/>
    <x v="12"/>
    <x v="3"/>
    <n v="1"/>
  </r>
  <r>
    <x v="0"/>
    <x v="1"/>
    <x v="0"/>
    <x v="8"/>
    <x v="11"/>
    <x v="12"/>
    <x v="4"/>
    <n v="1"/>
  </r>
  <r>
    <x v="0"/>
    <x v="1"/>
    <x v="0"/>
    <x v="8"/>
    <x v="11"/>
    <x v="12"/>
    <x v="5"/>
    <n v="3"/>
  </r>
  <r>
    <x v="0"/>
    <x v="1"/>
    <x v="0"/>
    <x v="8"/>
    <x v="11"/>
    <x v="7"/>
    <x v="2"/>
    <n v="1"/>
  </r>
  <r>
    <x v="0"/>
    <x v="1"/>
    <x v="0"/>
    <x v="8"/>
    <x v="11"/>
    <x v="1"/>
    <x v="12"/>
    <n v="1"/>
  </r>
  <r>
    <x v="0"/>
    <x v="1"/>
    <x v="0"/>
    <x v="8"/>
    <x v="11"/>
    <x v="1"/>
    <x v="3"/>
    <n v="1"/>
  </r>
  <r>
    <x v="0"/>
    <x v="1"/>
    <x v="0"/>
    <x v="8"/>
    <x v="11"/>
    <x v="1"/>
    <x v="4"/>
    <n v="1"/>
  </r>
  <r>
    <x v="0"/>
    <x v="1"/>
    <x v="0"/>
    <x v="8"/>
    <x v="11"/>
    <x v="8"/>
    <x v="5"/>
    <n v="1"/>
  </r>
  <r>
    <x v="0"/>
    <x v="1"/>
    <x v="0"/>
    <x v="8"/>
    <x v="11"/>
    <x v="0"/>
    <x v="9"/>
    <n v="4"/>
  </r>
  <r>
    <x v="0"/>
    <x v="1"/>
    <x v="0"/>
    <x v="10"/>
    <x v="16"/>
    <x v="2"/>
    <x v="6"/>
    <n v="4"/>
  </r>
  <r>
    <x v="0"/>
    <x v="1"/>
    <x v="0"/>
    <x v="10"/>
    <x v="16"/>
    <x v="10"/>
    <x v="6"/>
    <n v="3"/>
  </r>
  <r>
    <x v="0"/>
    <x v="1"/>
    <x v="0"/>
    <x v="10"/>
    <x v="16"/>
    <x v="3"/>
    <x v="7"/>
    <n v="10"/>
  </r>
  <r>
    <x v="0"/>
    <x v="1"/>
    <x v="0"/>
    <x v="10"/>
    <x v="16"/>
    <x v="4"/>
    <x v="7"/>
    <n v="44"/>
  </r>
  <r>
    <x v="0"/>
    <x v="1"/>
    <x v="0"/>
    <x v="10"/>
    <x v="16"/>
    <x v="11"/>
    <x v="2"/>
    <n v="1"/>
  </r>
  <r>
    <x v="0"/>
    <x v="1"/>
    <x v="0"/>
    <x v="10"/>
    <x v="16"/>
    <x v="6"/>
    <x v="13"/>
    <n v="1"/>
  </r>
  <r>
    <x v="0"/>
    <x v="1"/>
    <x v="0"/>
    <x v="10"/>
    <x v="16"/>
    <x v="9"/>
    <x v="5"/>
    <n v="1"/>
  </r>
  <r>
    <x v="0"/>
    <x v="1"/>
    <x v="0"/>
    <x v="10"/>
    <x v="16"/>
    <x v="12"/>
    <x v="2"/>
    <n v="1"/>
  </r>
  <r>
    <x v="0"/>
    <x v="1"/>
    <x v="0"/>
    <x v="10"/>
    <x v="16"/>
    <x v="7"/>
    <x v="10"/>
    <n v="1"/>
  </r>
  <r>
    <x v="0"/>
    <x v="1"/>
    <x v="0"/>
    <x v="4"/>
    <x v="8"/>
    <x v="3"/>
    <x v="3"/>
    <n v="1"/>
  </r>
  <r>
    <x v="0"/>
    <x v="1"/>
    <x v="0"/>
    <x v="4"/>
    <x v="8"/>
    <x v="3"/>
    <x v="4"/>
    <n v="1"/>
  </r>
  <r>
    <x v="0"/>
    <x v="1"/>
    <x v="0"/>
    <x v="4"/>
    <x v="8"/>
    <x v="3"/>
    <x v="5"/>
    <n v="1"/>
  </r>
  <r>
    <x v="0"/>
    <x v="1"/>
    <x v="0"/>
    <x v="4"/>
    <x v="8"/>
    <x v="3"/>
    <x v="2"/>
    <n v="3"/>
  </r>
  <r>
    <x v="0"/>
    <x v="1"/>
    <x v="0"/>
    <x v="4"/>
    <x v="8"/>
    <x v="4"/>
    <x v="15"/>
    <n v="10"/>
  </r>
  <r>
    <x v="0"/>
    <x v="1"/>
    <x v="0"/>
    <x v="4"/>
    <x v="8"/>
    <x v="4"/>
    <x v="12"/>
    <n v="4"/>
  </r>
  <r>
    <x v="0"/>
    <x v="1"/>
    <x v="0"/>
    <x v="4"/>
    <x v="8"/>
    <x v="4"/>
    <x v="9"/>
    <n v="6"/>
  </r>
  <r>
    <x v="0"/>
    <x v="1"/>
    <x v="0"/>
    <x v="4"/>
    <x v="8"/>
    <x v="4"/>
    <x v="3"/>
    <n v="1"/>
  </r>
  <r>
    <x v="0"/>
    <x v="1"/>
    <x v="0"/>
    <x v="4"/>
    <x v="8"/>
    <x v="4"/>
    <x v="4"/>
    <n v="1"/>
  </r>
  <r>
    <x v="0"/>
    <x v="1"/>
    <x v="0"/>
    <x v="4"/>
    <x v="8"/>
    <x v="5"/>
    <x v="12"/>
    <n v="4"/>
  </r>
  <r>
    <x v="0"/>
    <x v="1"/>
    <x v="0"/>
    <x v="4"/>
    <x v="8"/>
    <x v="5"/>
    <x v="3"/>
    <n v="1"/>
  </r>
  <r>
    <x v="0"/>
    <x v="1"/>
    <x v="0"/>
    <x v="4"/>
    <x v="8"/>
    <x v="5"/>
    <x v="4"/>
    <n v="2"/>
  </r>
  <r>
    <x v="0"/>
    <x v="1"/>
    <x v="0"/>
    <x v="4"/>
    <x v="8"/>
    <x v="11"/>
    <x v="1"/>
    <n v="1"/>
  </r>
  <r>
    <x v="0"/>
    <x v="1"/>
    <x v="0"/>
    <x v="4"/>
    <x v="8"/>
    <x v="11"/>
    <x v="9"/>
    <n v="2"/>
  </r>
  <r>
    <x v="0"/>
    <x v="1"/>
    <x v="0"/>
    <x v="4"/>
    <x v="8"/>
    <x v="11"/>
    <x v="3"/>
    <n v="1"/>
  </r>
  <r>
    <x v="0"/>
    <x v="1"/>
    <x v="0"/>
    <x v="4"/>
    <x v="8"/>
    <x v="6"/>
    <x v="1"/>
    <n v="1"/>
  </r>
  <r>
    <x v="0"/>
    <x v="1"/>
    <x v="0"/>
    <x v="4"/>
    <x v="8"/>
    <x v="6"/>
    <x v="12"/>
    <n v="1"/>
  </r>
  <r>
    <x v="0"/>
    <x v="1"/>
    <x v="0"/>
    <x v="4"/>
    <x v="8"/>
    <x v="9"/>
    <x v="10"/>
    <n v="3"/>
  </r>
  <r>
    <x v="0"/>
    <x v="1"/>
    <x v="0"/>
    <x v="4"/>
    <x v="8"/>
    <x v="9"/>
    <x v="1"/>
    <n v="1"/>
  </r>
  <r>
    <x v="0"/>
    <x v="1"/>
    <x v="0"/>
    <x v="4"/>
    <x v="8"/>
    <x v="12"/>
    <x v="10"/>
    <n v="3"/>
  </r>
  <r>
    <x v="0"/>
    <x v="1"/>
    <x v="0"/>
    <x v="4"/>
    <x v="8"/>
    <x v="12"/>
    <x v="1"/>
    <n v="2"/>
  </r>
  <r>
    <x v="0"/>
    <x v="1"/>
    <x v="0"/>
    <x v="4"/>
    <x v="8"/>
    <x v="7"/>
    <x v="3"/>
    <n v="1"/>
  </r>
  <r>
    <x v="0"/>
    <x v="1"/>
    <x v="0"/>
    <x v="4"/>
    <x v="8"/>
    <x v="1"/>
    <x v="6"/>
    <n v="6"/>
  </r>
  <r>
    <x v="0"/>
    <x v="1"/>
    <x v="0"/>
    <x v="4"/>
    <x v="8"/>
    <x v="1"/>
    <x v="10"/>
    <n v="1"/>
  </r>
  <r>
    <x v="0"/>
    <x v="1"/>
    <x v="0"/>
    <x v="4"/>
    <x v="8"/>
    <x v="8"/>
    <x v="3"/>
    <n v="1"/>
  </r>
  <r>
    <x v="0"/>
    <x v="1"/>
    <x v="0"/>
    <x v="4"/>
    <x v="8"/>
    <x v="0"/>
    <x v="10"/>
    <n v="5"/>
  </r>
  <r>
    <x v="0"/>
    <x v="1"/>
    <x v="0"/>
    <x v="4"/>
    <x v="8"/>
    <x v="0"/>
    <x v="1"/>
    <n v="3"/>
  </r>
  <r>
    <x v="0"/>
    <x v="1"/>
    <x v="0"/>
    <x v="4"/>
    <x v="7"/>
    <x v="12"/>
    <x v="1"/>
    <n v="1"/>
  </r>
  <r>
    <x v="0"/>
    <x v="1"/>
    <x v="0"/>
    <x v="4"/>
    <x v="7"/>
    <x v="7"/>
    <x v="12"/>
    <n v="1"/>
  </r>
  <r>
    <x v="0"/>
    <x v="1"/>
    <x v="0"/>
    <x v="5"/>
    <x v="1"/>
    <x v="0"/>
    <x v="12"/>
    <n v="1"/>
  </r>
  <r>
    <x v="0"/>
    <x v="1"/>
    <x v="0"/>
    <x v="5"/>
    <x v="1"/>
    <x v="0"/>
    <x v="9"/>
    <n v="2"/>
  </r>
  <r>
    <x v="0"/>
    <x v="1"/>
    <x v="0"/>
    <x v="5"/>
    <x v="3"/>
    <x v="13"/>
    <x v="4"/>
    <n v="2"/>
  </r>
  <r>
    <x v="0"/>
    <x v="1"/>
    <x v="0"/>
    <x v="5"/>
    <x v="3"/>
    <x v="2"/>
    <x v="5"/>
    <n v="1"/>
  </r>
  <r>
    <x v="0"/>
    <x v="1"/>
    <x v="0"/>
    <x v="5"/>
    <x v="3"/>
    <x v="7"/>
    <x v="4"/>
    <n v="1"/>
  </r>
  <r>
    <x v="0"/>
    <x v="1"/>
    <x v="0"/>
    <x v="5"/>
    <x v="3"/>
    <x v="8"/>
    <x v="9"/>
    <n v="1"/>
  </r>
  <r>
    <x v="0"/>
    <x v="1"/>
    <x v="0"/>
    <x v="5"/>
    <x v="9"/>
    <x v="0"/>
    <x v="13"/>
    <n v="1"/>
  </r>
  <r>
    <x v="0"/>
    <x v="1"/>
    <x v="0"/>
    <x v="5"/>
    <x v="10"/>
    <x v="4"/>
    <x v="10"/>
    <n v="1"/>
  </r>
  <r>
    <x v="0"/>
    <x v="1"/>
    <x v="0"/>
    <x v="5"/>
    <x v="10"/>
    <x v="5"/>
    <x v="7"/>
    <n v="17"/>
  </r>
  <r>
    <x v="0"/>
    <x v="1"/>
    <x v="0"/>
    <x v="5"/>
    <x v="10"/>
    <x v="5"/>
    <x v="6"/>
    <n v="6"/>
  </r>
  <r>
    <x v="0"/>
    <x v="1"/>
    <x v="0"/>
    <x v="5"/>
    <x v="10"/>
    <x v="5"/>
    <x v="10"/>
    <n v="7"/>
  </r>
  <r>
    <x v="0"/>
    <x v="1"/>
    <x v="0"/>
    <x v="5"/>
    <x v="10"/>
    <x v="5"/>
    <x v="1"/>
    <n v="4"/>
  </r>
  <r>
    <x v="0"/>
    <x v="1"/>
    <x v="0"/>
    <x v="5"/>
    <x v="10"/>
    <x v="11"/>
    <x v="7"/>
    <n v="13"/>
  </r>
  <r>
    <x v="0"/>
    <x v="1"/>
    <x v="0"/>
    <x v="5"/>
    <x v="10"/>
    <x v="11"/>
    <x v="6"/>
    <n v="39"/>
  </r>
  <r>
    <x v="0"/>
    <x v="1"/>
    <x v="0"/>
    <x v="5"/>
    <x v="10"/>
    <x v="11"/>
    <x v="10"/>
    <n v="14"/>
  </r>
  <r>
    <x v="0"/>
    <x v="1"/>
    <x v="0"/>
    <x v="5"/>
    <x v="10"/>
    <x v="6"/>
    <x v="7"/>
    <n v="1"/>
  </r>
  <r>
    <x v="0"/>
    <x v="1"/>
    <x v="0"/>
    <x v="5"/>
    <x v="10"/>
    <x v="6"/>
    <x v="6"/>
    <n v="52"/>
  </r>
  <r>
    <x v="0"/>
    <x v="1"/>
    <x v="0"/>
    <x v="5"/>
    <x v="10"/>
    <x v="6"/>
    <x v="10"/>
    <n v="17"/>
  </r>
  <r>
    <x v="0"/>
    <x v="1"/>
    <x v="0"/>
    <x v="5"/>
    <x v="10"/>
    <x v="9"/>
    <x v="6"/>
    <n v="35"/>
  </r>
  <r>
    <x v="0"/>
    <x v="1"/>
    <x v="0"/>
    <x v="5"/>
    <x v="10"/>
    <x v="12"/>
    <x v="6"/>
    <n v="5"/>
  </r>
  <r>
    <x v="0"/>
    <x v="1"/>
    <x v="0"/>
    <x v="5"/>
    <x v="10"/>
    <x v="7"/>
    <x v="10"/>
    <n v="23"/>
  </r>
  <r>
    <x v="0"/>
    <x v="1"/>
    <x v="0"/>
    <x v="5"/>
    <x v="10"/>
    <x v="7"/>
    <x v="1"/>
    <n v="10"/>
  </r>
  <r>
    <x v="0"/>
    <x v="1"/>
    <x v="0"/>
    <x v="5"/>
    <x v="10"/>
    <x v="8"/>
    <x v="10"/>
    <n v="8"/>
  </r>
  <r>
    <x v="0"/>
    <x v="1"/>
    <x v="0"/>
    <x v="5"/>
    <x v="10"/>
    <x v="8"/>
    <x v="1"/>
    <n v="6"/>
  </r>
  <r>
    <x v="0"/>
    <x v="1"/>
    <x v="0"/>
    <x v="5"/>
    <x v="11"/>
    <x v="3"/>
    <x v="5"/>
    <n v="1"/>
  </r>
  <r>
    <x v="0"/>
    <x v="1"/>
    <x v="0"/>
    <x v="5"/>
    <x v="11"/>
    <x v="4"/>
    <x v="4"/>
    <n v="1"/>
  </r>
  <r>
    <x v="0"/>
    <x v="1"/>
    <x v="0"/>
    <x v="5"/>
    <x v="11"/>
    <x v="5"/>
    <x v="3"/>
    <n v="1"/>
  </r>
  <r>
    <x v="0"/>
    <x v="1"/>
    <x v="0"/>
    <x v="5"/>
    <x v="11"/>
    <x v="9"/>
    <x v="10"/>
    <n v="2"/>
  </r>
  <r>
    <x v="0"/>
    <x v="1"/>
    <x v="0"/>
    <x v="5"/>
    <x v="11"/>
    <x v="12"/>
    <x v="10"/>
    <n v="1"/>
  </r>
  <r>
    <x v="0"/>
    <x v="1"/>
    <x v="0"/>
    <x v="5"/>
    <x v="11"/>
    <x v="1"/>
    <x v="10"/>
    <n v="3"/>
  </r>
  <r>
    <x v="0"/>
    <x v="1"/>
    <x v="0"/>
    <x v="5"/>
    <x v="11"/>
    <x v="0"/>
    <x v="10"/>
    <n v="1"/>
  </r>
  <r>
    <x v="0"/>
    <x v="1"/>
    <x v="0"/>
    <x v="5"/>
    <x v="11"/>
    <x v="0"/>
    <x v="1"/>
    <n v="2"/>
  </r>
  <r>
    <x v="0"/>
    <x v="1"/>
    <x v="0"/>
    <x v="6"/>
    <x v="3"/>
    <x v="10"/>
    <x v="9"/>
    <n v="1"/>
  </r>
  <r>
    <x v="0"/>
    <x v="1"/>
    <x v="0"/>
    <x v="6"/>
    <x v="3"/>
    <x v="5"/>
    <x v="6"/>
    <n v="1"/>
  </r>
  <r>
    <x v="0"/>
    <x v="1"/>
    <x v="0"/>
    <x v="6"/>
    <x v="3"/>
    <x v="5"/>
    <x v="10"/>
    <n v="1"/>
  </r>
  <r>
    <x v="0"/>
    <x v="1"/>
    <x v="0"/>
    <x v="6"/>
    <x v="3"/>
    <x v="11"/>
    <x v="6"/>
    <n v="1"/>
  </r>
  <r>
    <x v="0"/>
    <x v="1"/>
    <x v="0"/>
    <x v="7"/>
    <x v="12"/>
    <x v="0"/>
    <x v="4"/>
    <n v="2"/>
  </r>
  <r>
    <x v="0"/>
    <x v="1"/>
    <x v="0"/>
    <x v="7"/>
    <x v="13"/>
    <x v="6"/>
    <x v="7"/>
    <n v="1"/>
  </r>
  <r>
    <x v="0"/>
    <x v="1"/>
    <x v="0"/>
    <x v="7"/>
    <x v="13"/>
    <x v="6"/>
    <x v="6"/>
    <n v="1"/>
  </r>
  <r>
    <x v="0"/>
    <x v="1"/>
    <x v="0"/>
    <x v="7"/>
    <x v="13"/>
    <x v="9"/>
    <x v="6"/>
    <n v="6"/>
  </r>
  <r>
    <x v="0"/>
    <x v="1"/>
    <x v="0"/>
    <x v="7"/>
    <x v="13"/>
    <x v="9"/>
    <x v="10"/>
    <n v="1"/>
  </r>
  <r>
    <x v="0"/>
    <x v="1"/>
    <x v="0"/>
    <x v="7"/>
    <x v="13"/>
    <x v="12"/>
    <x v="6"/>
    <n v="9"/>
  </r>
  <r>
    <x v="0"/>
    <x v="1"/>
    <x v="0"/>
    <x v="7"/>
    <x v="13"/>
    <x v="7"/>
    <x v="12"/>
    <n v="1"/>
  </r>
  <r>
    <x v="0"/>
    <x v="1"/>
    <x v="0"/>
    <x v="7"/>
    <x v="13"/>
    <x v="1"/>
    <x v="6"/>
    <n v="1"/>
  </r>
  <r>
    <x v="0"/>
    <x v="1"/>
    <x v="0"/>
    <x v="7"/>
    <x v="13"/>
    <x v="8"/>
    <x v="1"/>
    <n v="2"/>
  </r>
  <r>
    <x v="0"/>
    <x v="1"/>
    <x v="0"/>
    <x v="7"/>
    <x v="6"/>
    <x v="7"/>
    <x v="6"/>
    <n v="1"/>
  </r>
  <r>
    <x v="0"/>
    <x v="1"/>
    <x v="0"/>
    <x v="7"/>
    <x v="6"/>
    <x v="0"/>
    <x v="12"/>
    <n v="1"/>
  </r>
  <r>
    <x v="0"/>
    <x v="1"/>
    <x v="0"/>
    <x v="8"/>
    <x v="13"/>
    <x v="14"/>
    <x v="4"/>
    <n v="1"/>
  </r>
  <r>
    <x v="0"/>
    <x v="1"/>
    <x v="0"/>
    <x v="8"/>
    <x v="13"/>
    <x v="13"/>
    <x v="5"/>
    <n v="1"/>
  </r>
  <r>
    <x v="0"/>
    <x v="1"/>
    <x v="0"/>
    <x v="8"/>
    <x v="13"/>
    <x v="0"/>
    <x v="11"/>
    <n v="1"/>
  </r>
  <r>
    <x v="0"/>
    <x v="1"/>
    <x v="0"/>
    <x v="8"/>
    <x v="10"/>
    <x v="13"/>
    <x v="16"/>
    <n v="3"/>
  </r>
  <r>
    <x v="0"/>
    <x v="1"/>
    <x v="0"/>
    <x v="8"/>
    <x v="10"/>
    <x v="2"/>
    <x v="7"/>
    <n v="1"/>
  </r>
  <r>
    <x v="0"/>
    <x v="1"/>
    <x v="0"/>
    <x v="8"/>
    <x v="10"/>
    <x v="2"/>
    <x v="6"/>
    <n v="1"/>
  </r>
  <r>
    <x v="0"/>
    <x v="1"/>
    <x v="0"/>
    <x v="8"/>
    <x v="10"/>
    <x v="10"/>
    <x v="8"/>
    <n v="7"/>
  </r>
  <r>
    <x v="0"/>
    <x v="1"/>
    <x v="0"/>
    <x v="8"/>
    <x v="10"/>
    <x v="10"/>
    <x v="7"/>
    <n v="3"/>
  </r>
  <r>
    <x v="0"/>
    <x v="1"/>
    <x v="0"/>
    <x v="8"/>
    <x v="10"/>
    <x v="3"/>
    <x v="8"/>
    <n v="8"/>
  </r>
  <r>
    <x v="0"/>
    <x v="1"/>
    <x v="0"/>
    <x v="8"/>
    <x v="10"/>
    <x v="3"/>
    <x v="7"/>
    <n v="3"/>
  </r>
  <r>
    <x v="0"/>
    <x v="1"/>
    <x v="0"/>
    <x v="8"/>
    <x v="10"/>
    <x v="4"/>
    <x v="8"/>
    <n v="6"/>
  </r>
  <r>
    <x v="0"/>
    <x v="1"/>
    <x v="0"/>
    <x v="8"/>
    <x v="10"/>
    <x v="4"/>
    <x v="5"/>
    <n v="1"/>
  </r>
  <r>
    <x v="0"/>
    <x v="1"/>
    <x v="0"/>
    <x v="8"/>
    <x v="10"/>
    <x v="4"/>
    <x v="2"/>
    <n v="1"/>
  </r>
  <r>
    <x v="0"/>
    <x v="1"/>
    <x v="0"/>
    <x v="8"/>
    <x v="10"/>
    <x v="5"/>
    <x v="8"/>
    <n v="3"/>
  </r>
  <r>
    <x v="0"/>
    <x v="1"/>
    <x v="0"/>
    <x v="8"/>
    <x v="10"/>
    <x v="11"/>
    <x v="8"/>
    <n v="1"/>
  </r>
  <r>
    <x v="0"/>
    <x v="1"/>
    <x v="0"/>
    <x v="8"/>
    <x v="10"/>
    <x v="11"/>
    <x v="3"/>
    <n v="2"/>
  </r>
  <r>
    <x v="0"/>
    <x v="1"/>
    <x v="0"/>
    <x v="8"/>
    <x v="10"/>
    <x v="6"/>
    <x v="3"/>
    <n v="2"/>
  </r>
  <r>
    <x v="0"/>
    <x v="1"/>
    <x v="0"/>
    <x v="8"/>
    <x v="10"/>
    <x v="9"/>
    <x v="12"/>
    <n v="5"/>
  </r>
  <r>
    <x v="0"/>
    <x v="1"/>
    <x v="0"/>
    <x v="8"/>
    <x v="10"/>
    <x v="9"/>
    <x v="9"/>
    <n v="3"/>
  </r>
  <r>
    <x v="0"/>
    <x v="1"/>
    <x v="0"/>
    <x v="8"/>
    <x v="10"/>
    <x v="9"/>
    <x v="3"/>
    <n v="2"/>
  </r>
  <r>
    <x v="0"/>
    <x v="1"/>
    <x v="0"/>
    <x v="8"/>
    <x v="10"/>
    <x v="9"/>
    <x v="4"/>
    <n v="1"/>
  </r>
  <r>
    <x v="0"/>
    <x v="1"/>
    <x v="0"/>
    <x v="8"/>
    <x v="10"/>
    <x v="12"/>
    <x v="12"/>
    <n v="3"/>
  </r>
  <r>
    <x v="0"/>
    <x v="1"/>
    <x v="0"/>
    <x v="8"/>
    <x v="10"/>
    <x v="12"/>
    <x v="9"/>
    <n v="1"/>
  </r>
  <r>
    <x v="0"/>
    <x v="1"/>
    <x v="0"/>
    <x v="8"/>
    <x v="10"/>
    <x v="12"/>
    <x v="3"/>
    <n v="1"/>
  </r>
  <r>
    <x v="0"/>
    <x v="1"/>
    <x v="0"/>
    <x v="8"/>
    <x v="10"/>
    <x v="12"/>
    <x v="4"/>
    <n v="2"/>
  </r>
  <r>
    <x v="0"/>
    <x v="1"/>
    <x v="0"/>
    <x v="8"/>
    <x v="10"/>
    <x v="1"/>
    <x v="12"/>
    <n v="2"/>
  </r>
  <r>
    <x v="0"/>
    <x v="1"/>
    <x v="0"/>
    <x v="8"/>
    <x v="10"/>
    <x v="1"/>
    <x v="9"/>
    <n v="2"/>
  </r>
  <r>
    <x v="0"/>
    <x v="1"/>
    <x v="0"/>
    <x v="8"/>
    <x v="10"/>
    <x v="1"/>
    <x v="3"/>
    <n v="4"/>
  </r>
  <r>
    <x v="0"/>
    <x v="1"/>
    <x v="0"/>
    <x v="8"/>
    <x v="10"/>
    <x v="1"/>
    <x v="4"/>
    <n v="1"/>
  </r>
  <r>
    <x v="0"/>
    <x v="1"/>
    <x v="0"/>
    <x v="8"/>
    <x v="10"/>
    <x v="8"/>
    <x v="2"/>
    <n v="1"/>
  </r>
  <r>
    <x v="0"/>
    <x v="1"/>
    <x v="0"/>
    <x v="8"/>
    <x v="10"/>
    <x v="0"/>
    <x v="12"/>
    <n v="3"/>
  </r>
  <r>
    <x v="0"/>
    <x v="1"/>
    <x v="0"/>
    <x v="8"/>
    <x v="10"/>
    <x v="0"/>
    <x v="9"/>
    <n v="7"/>
  </r>
  <r>
    <x v="0"/>
    <x v="1"/>
    <x v="0"/>
    <x v="8"/>
    <x v="10"/>
    <x v="0"/>
    <x v="3"/>
    <n v="8"/>
  </r>
  <r>
    <x v="0"/>
    <x v="1"/>
    <x v="0"/>
    <x v="8"/>
    <x v="10"/>
    <x v="0"/>
    <x v="0"/>
    <n v="1"/>
  </r>
  <r>
    <x v="0"/>
    <x v="1"/>
    <x v="0"/>
    <x v="8"/>
    <x v="11"/>
    <x v="4"/>
    <x v="6"/>
    <n v="2"/>
  </r>
  <r>
    <x v="0"/>
    <x v="1"/>
    <x v="0"/>
    <x v="8"/>
    <x v="11"/>
    <x v="4"/>
    <x v="10"/>
    <n v="1"/>
  </r>
  <r>
    <x v="0"/>
    <x v="1"/>
    <x v="0"/>
    <x v="8"/>
    <x v="11"/>
    <x v="5"/>
    <x v="6"/>
    <n v="11"/>
  </r>
  <r>
    <x v="0"/>
    <x v="1"/>
    <x v="0"/>
    <x v="8"/>
    <x v="11"/>
    <x v="5"/>
    <x v="10"/>
    <n v="6"/>
  </r>
  <r>
    <x v="0"/>
    <x v="1"/>
    <x v="0"/>
    <x v="8"/>
    <x v="11"/>
    <x v="11"/>
    <x v="7"/>
    <n v="18"/>
  </r>
  <r>
    <x v="0"/>
    <x v="1"/>
    <x v="0"/>
    <x v="8"/>
    <x v="11"/>
    <x v="11"/>
    <x v="6"/>
    <n v="7"/>
  </r>
  <r>
    <x v="0"/>
    <x v="1"/>
    <x v="0"/>
    <x v="8"/>
    <x v="11"/>
    <x v="11"/>
    <x v="10"/>
    <n v="8"/>
  </r>
  <r>
    <x v="0"/>
    <x v="1"/>
    <x v="0"/>
    <x v="8"/>
    <x v="11"/>
    <x v="6"/>
    <x v="7"/>
    <n v="26"/>
  </r>
  <r>
    <x v="0"/>
    <x v="1"/>
    <x v="0"/>
    <x v="8"/>
    <x v="11"/>
    <x v="6"/>
    <x v="6"/>
    <n v="13"/>
  </r>
  <r>
    <x v="0"/>
    <x v="1"/>
    <x v="0"/>
    <x v="8"/>
    <x v="11"/>
    <x v="9"/>
    <x v="7"/>
    <n v="21"/>
  </r>
  <r>
    <x v="0"/>
    <x v="1"/>
    <x v="0"/>
    <x v="8"/>
    <x v="11"/>
    <x v="9"/>
    <x v="6"/>
    <n v="17"/>
  </r>
  <r>
    <x v="0"/>
    <x v="1"/>
    <x v="0"/>
    <x v="8"/>
    <x v="11"/>
    <x v="9"/>
    <x v="14"/>
    <n v="1"/>
  </r>
  <r>
    <x v="0"/>
    <x v="1"/>
    <x v="0"/>
    <x v="8"/>
    <x v="11"/>
    <x v="12"/>
    <x v="7"/>
    <n v="8"/>
  </r>
  <r>
    <x v="0"/>
    <x v="1"/>
    <x v="0"/>
    <x v="8"/>
    <x v="11"/>
    <x v="7"/>
    <x v="12"/>
    <n v="1"/>
  </r>
  <r>
    <x v="0"/>
    <x v="1"/>
    <x v="0"/>
    <x v="8"/>
    <x v="11"/>
    <x v="7"/>
    <x v="3"/>
    <n v="2"/>
  </r>
  <r>
    <x v="0"/>
    <x v="1"/>
    <x v="0"/>
    <x v="8"/>
    <x v="11"/>
    <x v="7"/>
    <x v="4"/>
    <n v="1"/>
  </r>
  <r>
    <x v="0"/>
    <x v="1"/>
    <x v="0"/>
    <x v="8"/>
    <x v="11"/>
    <x v="8"/>
    <x v="12"/>
    <n v="1"/>
  </r>
  <r>
    <x v="0"/>
    <x v="1"/>
    <x v="0"/>
    <x v="8"/>
    <x v="11"/>
    <x v="8"/>
    <x v="9"/>
    <n v="3"/>
  </r>
  <r>
    <x v="0"/>
    <x v="1"/>
    <x v="0"/>
    <x v="10"/>
    <x v="16"/>
    <x v="2"/>
    <x v="5"/>
    <n v="3"/>
  </r>
  <r>
    <x v="0"/>
    <x v="1"/>
    <x v="0"/>
    <x v="10"/>
    <x v="16"/>
    <x v="10"/>
    <x v="9"/>
    <n v="1"/>
  </r>
  <r>
    <x v="0"/>
    <x v="1"/>
    <x v="0"/>
    <x v="10"/>
    <x v="16"/>
    <x v="10"/>
    <x v="3"/>
    <n v="1"/>
  </r>
  <r>
    <x v="0"/>
    <x v="1"/>
    <x v="0"/>
    <x v="10"/>
    <x v="16"/>
    <x v="10"/>
    <x v="2"/>
    <n v="2"/>
  </r>
  <r>
    <x v="0"/>
    <x v="1"/>
    <x v="0"/>
    <x v="10"/>
    <x v="16"/>
    <x v="3"/>
    <x v="9"/>
    <n v="3"/>
  </r>
  <r>
    <x v="0"/>
    <x v="1"/>
    <x v="0"/>
    <x v="10"/>
    <x v="16"/>
    <x v="3"/>
    <x v="3"/>
    <n v="1"/>
  </r>
  <r>
    <x v="0"/>
    <x v="1"/>
    <x v="0"/>
    <x v="10"/>
    <x v="16"/>
    <x v="4"/>
    <x v="12"/>
    <n v="1"/>
  </r>
  <r>
    <x v="0"/>
    <x v="1"/>
    <x v="0"/>
    <x v="10"/>
    <x v="16"/>
    <x v="4"/>
    <x v="9"/>
    <n v="1"/>
  </r>
  <r>
    <x v="0"/>
    <x v="1"/>
    <x v="0"/>
    <x v="10"/>
    <x v="16"/>
    <x v="4"/>
    <x v="3"/>
    <n v="1"/>
  </r>
  <r>
    <x v="0"/>
    <x v="1"/>
    <x v="0"/>
    <x v="10"/>
    <x v="16"/>
    <x v="4"/>
    <x v="4"/>
    <n v="3"/>
  </r>
  <r>
    <x v="0"/>
    <x v="1"/>
    <x v="0"/>
    <x v="10"/>
    <x v="16"/>
    <x v="4"/>
    <x v="5"/>
    <n v="3"/>
  </r>
  <r>
    <x v="0"/>
    <x v="1"/>
    <x v="0"/>
    <x v="10"/>
    <x v="16"/>
    <x v="5"/>
    <x v="12"/>
    <n v="1"/>
  </r>
  <r>
    <x v="0"/>
    <x v="1"/>
    <x v="0"/>
    <x v="10"/>
    <x v="16"/>
    <x v="5"/>
    <x v="9"/>
    <n v="4"/>
  </r>
  <r>
    <x v="0"/>
    <x v="1"/>
    <x v="0"/>
    <x v="10"/>
    <x v="16"/>
    <x v="11"/>
    <x v="1"/>
    <n v="10"/>
  </r>
  <r>
    <x v="0"/>
    <x v="1"/>
    <x v="0"/>
    <x v="10"/>
    <x v="16"/>
    <x v="11"/>
    <x v="12"/>
    <n v="3"/>
  </r>
  <r>
    <x v="0"/>
    <x v="1"/>
    <x v="0"/>
    <x v="10"/>
    <x v="16"/>
    <x v="11"/>
    <x v="9"/>
    <n v="1"/>
  </r>
  <r>
    <x v="0"/>
    <x v="1"/>
    <x v="0"/>
    <x v="10"/>
    <x v="16"/>
    <x v="7"/>
    <x v="1"/>
    <n v="4"/>
  </r>
  <r>
    <x v="0"/>
    <x v="1"/>
    <x v="0"/>
    <x v="10"/>
    <x v="16"/>
    <x v="1"/>
    <x v="9"/>
    <n v="1"/>
  </r>
  <r>
    <x v="0"/>
    <x v="1"/>
    <x v="0"/>
    <x v="10"/>
    <x v="16"/>
    <x v="8"/>
    <x v="10"/>
    <n v="1"/>
  </r>
  <r>
    <x v="0"/>
    <x v="1"/>
    <x v="0"/>
    <x v="10"/>
    <x v="16"/>
    <x v="8"/>
    <x v="1"/>
    <n v="1"/>
  </r>
  <r>
    <x v="0"/>
    <x v="1"/>
    <x v="0"/>
    <x v="11"/>
    <x v="0"/>
    <x v="3"/>
    <x v="7"/>
    <n v="2"/>
  </r>
  <r>
    <x v="0"/>
    <x v="1"/>
    <x v="0"/>
    <x v="11"/>
    <x v="0"/>
    <x v="6"/>
    <x v="8"/>
    <n v="103"/>
  </r>
  <r>
    <x v="0"/>
    <x v="1"/>
    <x v="0"/>
    <x v="11"/>
    <x v="0"/>
    <x v="6"/>
    <x v="2"/>
    <n v="1"/>
  </r>
  <r>
    <x v="0"/>
    <x v="1"/>
    <x v="0"/>
    <x v="11"/>
    <x v="0"/>
    <x v="12"/>
    <x v="5"/>
    <n v="1"/>
  </r>
  <r>
    <x v="0"/>
    <x v="1"/>
    <x v="0"/>
    <x v="11"/>
    <x v="0"/>
    <x v="7"/>
    <x v="7"/>
    <n v="35"/>
  </r>
  <r>
    <x v="0"/>
    <x v="1"/>
    <x v="0"/>
    <x v="11"/>
    <x v="0"/>
    <x v="7"/>
    <x v="6"/>
    <n v="11"/>
  </r>
  <r>
    <x v="0"/>
    <x v="1"/>
    <x v="0"/>
    <x v="11"/>
    <x v="0"/>
    <x v="7"/>
    <x v="10"/>
    <n v="6"/>
  </r>
  <r>
    <x v="0"/>
    <x v="1"/>
    <x v="0"/>
    <x v="11"/>
    <x v="0"/>
    <x v="7"/>
    <x v="1"/>
    <n v="1"/>
  </r>
  <r>
    <x v="0"/>
    <x v="1"/>
    <x v="0"/>
    <x v="11"/>
    <x v="0"/>
    <x v="8"/>
    <x v="7"/>
    <n v="33"/>
  </r>
  <r>
    <x v="0"/>
    <x v="1"/>
    <x v="0"/>
    <x v="11"/>
    <x v="0"/>
    <x v="8"/>
    <x v="6"/>
    <n v="6"/>
  </r>
  <r>
    <x v="0"/>
    <x v="1"/>
    <x v="0"/>
    <x v="11"/>
    <x v="0"/>
    <x v="8"/>
    <x v="10"/>
    <n v="5"/>
  </r>
  <r>
    <x v="0"/>
    <x v="1"/>
    <x v="0"/>
    <x v="11"/>
    <x v="0"/>
    <x v="0"/>
    <x v="9"/>
    <n v="3"/>
  </r>
  <r>
    <x v="0"/>
    <x v="1"/>
    <x v="0"/>
    <x v="11"/>
    <x v="0"/>
    <x v="0"/>
    <x v="3"/>
    <n v="2"/>
  </r>
  <r>
    <x v="0"/>
    <x v="1"/>
    <x v="0"/>
    <x v="11"/>
    <x v="8"/>
    <x v="14"/>
    <x v="8"/>
    <n v="26"/>
  </r>
  <r>
    <x v="0"/>
    <x v="1"/>
    <x v="0"/>
    <x v="11"/>
    <x v="8"/>
    <x v="14"/>
    <x v="5"/>
    <n v="1"/>
  </r>
  <r>
    <x v="0"/>
    <x v="1"/>
    <x v="0"/>
    <x v="11"/>
    <x v="8"/>
    <x v="13"/>
    <x v="3"/>
    <n v="3"/>
  </r>
  <r>
    <x v="0"/>
    <x v="1"/>
    <x v="0"/>
    <x v="11"/>
    <x v="8"/>
    <x v="13"/>
    <x v="4"/>
    <n v="5"/>
  </r>
  <r>
    <x v="0"/>
    <x v="1"/>
    <x v="0"/>
    <x v="11"/>
    <x v="8"/>
    <x v="2"/>
    <x v="12"/>
    <n v="9"/>
  </r>
  <r>
    <x v="0"/>
    <x v="1"/>
    <x v="0"/>
    <x v="11"/>
    <x v="8"/>
    <x v="2"/>
    <x v="9"/>
    <n v="6"/>
  </r>
  <r>
    <x v="0"/>
    <x v="1"/>
    <x v="0"/>
    <x v="11"/>
    <x v="8"/>
    <x v="2"/>
    <x v="3"/>
    <n v="7"/>
  </r>
  <r>
    <x v="0"/>
    <x v="1"/>
    <x v="0"/>
    <x v="11"/>
    <x v="8"/>
    <x v="2"/>
    <x v="4"/>
    <n v="3"/>
  </r>
  <r>
    <x v="0"/>
    <x v="1"/>
    <x v="0"/>
    <x v="11"/>
    <x v="8"/>
    <x v="10"/>
    <x v="12"/>
    <n v="13"/>
  </r>
  <r>
    <x v="0"/>
    <x v="1"/>
    <x v="0"/>
    <x v="11"/>
    <x v="8"/>
    <x v="10"/>
    <x v="9"/>
    <n v="1"/>
  </r>
  <r>
    <x v="0"/>
    <x v="1"/>
    <x v="0"/>
    <x v="11"/>
    <x v="8"/>
    <x v="10"/>
    <x v="3"/>
    <n v="2"/>
  </r>
  <r>
    <x v="0"/>
    <x v="1"/>
    <x v="0"/>
    <x v="11"/>
    <x v="8"/>
    <x v="3"/>
    <x v="1"/>
    <n v="8"/>
  </r>
  <r>
    <x v="0"/>
    <x v="1"/>
    <x v="0"/>
    <x v="11"/>
    <x v="8"/>
    <x v="3"/>
    <x v="12"/>
    <n v="7"/>
  </r>
  <r>
    <x v="0"/>
    <x v="1"/>
    <x v="0"/>
    <x v="11"/>
    <x v="8"/>
    <x v="3"/>
    <x v="9"/>
    <n v="8"/>
  </r>
  <r>
    <x v="0"/>
    <x v="1"/>
    <x v="0"/>
    <x v="11"/>
    <x v="8"/>
    <x v="4"/>
    <x v="1"/>
    <n v="10"/>
  </r>
  <r>
    <x v="0"/>
    <x v="1"/>
    <x v="0"/>
    <x v="11"/>
    <x v="8"/>
    <x v="4"/>
    <x v="12"/>
    <n v="7"/>
  </r>
  <r>
    <x v="0"/>
    <x v="1"/>
    <x v="0"/>
    <x v="11"/>
    <x v="8"/>
    <x v="5"/>
    <x v="10"/>
    <n v="12"/>
  </r>
  <r>
    <x v="0"/>
    <x v="1"/>
    <x v="0"/>
    <x v="11"/>
    <x v="8"/>
    <x v="5"/>
    <x v="1"/>
    <n v="8"/>
  </r>
  <r>
    <x v="0"/>
    <x v="1"/>
    <x v="0"/>
    <x v="11"/>
    <x v="8"/>
    <x v="11"/>
    <x v="10"/>
    <n v="9"/>
  </r>
  <r>
    <x v="0"/>
    <x v="1"/>
    <x v="0"/>
    <x v="11"/>
    <x v="8"/>
    <x v="11"/>
    <x v="1"/>
    <n v="6"/>
  </r>
  <r>
    <x v="0"/>
    <x v="1"/>
    <x v="0"/>
    <x v="11"/>
    <x v="8"/>
    <x v="6"/>
    <x v="6"/>
    <n v="25"/>
  </r>
  <r>
    <x v="0"/>
    <x v="1"/>
    <x v="0"/>
    <x v="11"/>
    <x v="8"/>
    <x v="6"/>
    <x v="10"/>
    <n v="12"/>
  </r>
  <r>
    <x v="0"/>
    <x v="1"/>
    <x v="0"/>
    <x v="11"/>
    <x v="8"/>
    <x v="6"/>
    <x v="1"/>
    <n v="3"/>
  </r>
  <r>
    <x v="0"/>
    <x v="1"/>
    <x v="0"/>
    <x v="11"/>
    <x v="8"/>
    <x v="9"/>
    <x v="6"/>
    <n v="22"/>
  </r>
  <r>
    <x v="0"/>
    <x v="1"/>
    <x v="0"/>
    <x v="11"/>
    <x v="8"/>
    <x v="9"/>
    <x v="10"/>
    <n v="7"/>
  </r>
  <r>
    <x v="0"/>
    <x v="1"/>
    <x v="0"/>
    <x v="11"/>
    <x v="8"/>
    <x v="12"/>
    <x v="7"/>
    <n v="84"/>
  </r>
  <r>
    <x v="0"/>
    <x v="1"/>
    <x v="0"/>
    <x v="11"/>
    <x v="8"/>
    <x v="12"/>
    <x v="6"/>
    <n v="33"/>
  </r>
  <r>
    <x v="0"/>
    <x v="1"/>
    <x v="0"/>
    <x v="11"/>
    <x v="8"/>
    <x v="12"/>
    <x v="10"/>
    <n v="8"/>
  </r>
  <r>
    <x v="0"/>
    <x v="1"/>
    <x v="0"/>
    <x v="11"/>
    <x v="8"/>
    <x v="1"/>
    <x v="7"/>
    <n v="1"/>
  </r>
  <r>
    <x v="0"/>
    <x v="1"/>
    <x v="0"/>
    <x v="11"/>
    <x v="8"/>
    <x v="1"/>
    <x v="6"/>
    <n v="42"/>
  </r>
  <r>
    <x v="0"/>
    <x v="1"/>
    <x v="0"/>
    <x v="11"/>
    <x v="8"/>
    <x v="0"/>
    <x v="6"/>
    <n v="2"/>
  </r>
  <r>
    <x v="0"/>
    <x v="1"/>
    <x v="0"/>
    <x v="11"/>
    <x v="7"/>
    <x v="0"/>
    <x v="2"/>
    <n v="1"/>
  </r>
  <r>
    <x v="0"/>
    <x v="1"/>
    <x v="0"/>
    <x v="11"/>
    <x v="7"/>
    <x v="0"/>
    <x v="11"/>
    <n v="2"/>
  </r>
  <r>
    <x v="0"/>
    <x v="1"/>
    <x v="0"/>
    <x v="11"/>
    <x v="18"/>
    <x v="0"/>
    <x v="10"/>
    <n v="4"/>
  </r>
  <r>
    <x v="0"/>
    <x v="1"/>
    <x v="0"/>
    <x v="11"/>
    <x v="18"/>
    <x v="0"/>
    <x v="1"/>
    <n v="3"/>
  </r>
  <r>
    <x v="0"/>
    <x v="1"/>
    <x v="0"/>
    <x v="12"/>
    <x v="12"/>
    <x v="6"/>
    <x v="10"/>
    <n v="1"/>
  </r>
  <r>
    <x v="0"/>
    <x v="1"/>
    <x v="0"/>
    <x v="12"/>
    <x v="12"/>
    <x v="9"/>
    <x v="10"/>
    <n v="1"/>
  </r>
  <r>
    <x v="0"/>
    <x v="1"/>
    <x v="0"/>
    <x v="12"/>
    <x v="12"/>
    <x v="12"/>
    <x v="6"/>
    <n v="3"/>
  </r>
  <r>
    <x v="0"/>
    <x v="1"/>
    <x v="0"/>
    <x v="12"/>
    <x v="12"/>
    <x v="1"/>
    <x v="6"/>
    <n v="2"/>
  </r>
  <r>
    <x v="0"/>
    <x v="1"/>
    <x v="0"/>
    <x v="12"/>
    <x v="1"/>
    <x v="5"/>
    <x v="4"/>
    <n v="1"/>
  </r>
  <r>
    <x v="0"/>
    <x v="1"/>
    <x v="0"/>
    <x v="12"/>
    <x v="1"/>
    <x v="5"/>
    <x v="5"/>
    <n v="1"/>
  </r>
  <r>
    <x v="0"/>
    <x v="1"/>
    <x v="0"/>
    <x v="12"/>
    <x v="1"/>
    <x v="11"/>
    <x v="3"/>
    <n v="1"/>
  </r>
  <r>
    <x v="0"/>
    <x v="1"/>
    <x v="0"/>
    <x v="12"/>
    <x v="6"/>
    <x v="3"/>
    <x v="6"/>
    <n v="7"/>
  </r>
  <r>
    <x v="0"/>
    <x v="1"/>
    <x v="0"/>
    <x v="12"/>
    <x v="6"/>
    <x v="3"/>
    <x v="10"/>
    <n v="4"/>
  </r>
  <r>
    <x v="0"/>
    <x v="1"/>
    <x v="0"/>
    <x v="12"/>
    <x v="6"/>
    <x v="3"/>
    <x v="1"/>
    <n v="1"/>
  </r>
  <r>
    <x v="0"/>
    <x v="1"/>
    <x v="0"/>
    <x v="12"/>
    <x v="6"/>
    <x v="4"/>
    <x v="6"/>
    <n v="2"/>
  </r>
  <r>
    <x v="0"/>
    <x v="1"/>
    <x v="0"/>
    <x v="12"/>
    <x v="6"/>
    <x v="4"/>
    <x v="10"/>
    <n v="3"/>
  </r>
  <r>
    <x v="0"/>
    <x v="1"/>
    <x v="0"/>
    <x v="12"/>
    <x v="6"/>
    <x v="5"/>
    <x v="10"/>
    <n v="4"/>
  </r>
  <r>
    <x v="0"/>
    <x v="1"/>
    <x v="0"/>
    <x v="13"/>
    <x v="13"/>
    <x v="9"/>
    <x v="6"/>
    <n v="1"/>
  </r>
  <r>
    <x v="0"/>
    <x v="1"/>
    <x v="0"/>
    <x v="13"/>
    <x v="13"/>
    <x v="1"/>
    <x v="6"/>
    <n v="1"/>
  </r>
  <r>
    <x v="0"/>
    <x v="1"/>
    <x v="0"/>
    <x v="13"/>
    <x v="13"/>
    <x v="1"/>
    <x v="10"/>
    <n v="1"/>
  </r>
  <r>
    <x v="0"/>
    <x v="1"/>
    <x v="0"/>
    <x v="13"/>
    <x v="15"/>
    <x v="8"/>
    <x v="5"/>
    <n v="1"/>
  </r>
  <r>
    <x v="0"/>
    <x v="1"/>
    <x v="0"/>
    <x v="13"/>
    <x v="17"/>
    <x v="16"/>
    <x v="4"/>
    <n v="1"/>
  </r>
  <r>
    <x v="0"/>
    <x v="1"/>
    <x v="0"/>
    <x v="13"/>
    <x v="17"/>
    <x v="16"/>
    <x v="5"/>
    <n v="3"/>
  </r>
  <r>
    <x v="0"/>
    <x v="1"/>
    <x v="0"/>
    <x v="13"/>
    <x v="17"/>
    <x v="15"/>
    <x v="12"/>
    <n v="1"/>
  </r>
  <r>
    <x v="0"/>
    <x v="1"/>
    <x v="0"/>
    <x v="8"/>
    <x v="11"/>
    <x v="12"/>
    <x v="2"/>
    <n v="1"/>
  </r>
  <r>
    <x v="0"/>
    <x v="1"/>
    <x v="0"/>
    <x v="8"/>
    <x v="11"/>
    <x v="1"/>
    <x v="6"/>
    <n v="25"/>
  </r>
  <r>
    <x v="0"/>
    <x v="1"/>
    <x v="0"/>
    <x v="8"/>
    <x v="11"/>
    <x v="1"/>
    <x v="10"/>
    <n v="10"/>
  </r>
  <r>
    <x v="0"/>
    <x v="1"/>
    <x v="0"/>
    <x v="8"/>
    <x v="11"/>
    <x v="1"/>
    <x v="1"/>
    <n v="4"/>
  </r>
  <r>
    <x v="0"/>
    <x v="1"/>
    <x v="0"/>
    <x v="8"/>
    <x v="11"/>
    <x v="1"/>
    <x v="5"/>
    <n v="1"/>
  </r>
  <r>
    <x v="0"/>
    <x v="1"/>
    <x v="0"/>
    <x v="8"/>
    <x v="11"/>
    <x v="0"/>
    <x v="10"/>
    <n v="22"/>
  </r>
  <r>
    <x v="0"/>
    <x v="1"/>
    <x v="0"/>
    <x v="8"/>
    <x v="11"/>
    <x v="0"/>
    <x v="1"/>
    <n v="15"/>
  </r>
  <r>
    <x v="0"/>
    <x v="1"/>
    <x v="0"/>
    <x v="10"/>
    <x v="16"/>
    <x v="13"/>
    <x v="6"/>
    <n v="1"/>
  </r>
  <r>
    <x v="0"/>
    <x v="1"/>
    <x v="0"/>
    <x v="10"/>
    <x v="16"/>
    <x v="2"/>
    <x v="10"/>
    <n v="4"/>
  </r>
  <r>
    <x v="0"/>
    <x v="1"/>
    <x v="0"/>
    <x v="10"/>
    <x v="16"/>
    <x v="10"/>
    <x v="10"/>
    <n v="9"/>
  </r>
  <r>
    <x v="0"/>
    <x v="1"/>
    <x v="0"/>
    <x v="10"/>
    <x v="16"/>
    <x v="3"/>
    <x v="6"/>
    <n v="27"/>
  </r>
  <r>
    <x v="0"/>
    <x v="1"/>
    <x v="0"/>
    <x v="10"/>
    <x v="16"/>
    <x v="3"/>
    <x v="10"/>
    <n v="16"/>
  </r>
  <r>
    <x v="0"/>
    <x v="1"/>
    <x v="0"/>
    <x v="10"/>
    <x v="16"/>
    <x v="3"/>
    <x v="1"/>
    <n v="4"/>
  </r>
  <r>
    <x v="0"/>
    <x v="1"/>
    <x v="0"/>
    <x v="10"/>
    <x v="16"/>
    <x v="4"/>
    <x v="6"/>
    <n v="32"/>
  </r>
  <r>
    <x v="0"/>
    <x v="1"/>
    <x v="0"/>
    <x v="10"/>
    <x v="16"/>
    <x v="4"/>
    <x v="10"/>
    <n v="24"/>
  </r>
  <r>
    <x v="0"/>
    <x v="1"/>
    <x v="0"/>
    <x v="10"/>
    <x v="16"/>
    <x v="4"/>
    <x v="1"/>
    <n v="6"/>
  </r>
  <r>
    <x v="0"/>
    <x v="1"/>
    <x v="0"/>
    <x v="10"/>
    <x v="16"/>
    <x v="4"/>
    <x v="13"/>
    <n v="1"/>
  </r>
  <r>
    <x v="0"/>
    <x v="1"/>
    <x v="0"/>
    <x v="10"/>
    <x v="16"/>
    <x v="5"/>
    <x v="7"/>
    <n v="64"/>
  </r>
  <r>
    <x v="0"/>
    <x v="1"/>
    <x v="0"/>
    <x v="10"/>
    <x v="16"/>
    <x v="5"/>
    <x v="6"/>
    <n v="30"/>
  </r>
  <r>
    <x v="0"/>
    <x v="1"/>
    <x v="0"/>
    <x v="10"/>
    <x v="16"/>
    <x v="5"/>
    <x v="10"/>
    <n v="34"/>
  </r>
  <r>
    <x v="0"/>
    <x v="1"/>
    <x v="0"/>
    <x v="10"/>
    <x v="16"/>
    <x v="5"/>
    <x v="1"/>
    <n v="7"/>
  </r>
  <r>
    <x v="0"/>
    <x v="1"/>
    <x v="0"/>
    <x v="10"/>
    <x v="16"/>
    <x v="11"/>
    <x v="7"/>
    <n v="42"/>
  </r>
  <r>
    <x v="0"/>
    <x v="1"/>
    <x v="0"/>
    <x v="10"/>
    <x v="16"/>
    <x v="11"/>
    <x v="6"/>
    <n v="45"/>
  </r>
  <r>
    <x v="0"/>
    <x v="1"/>
    <x v="0"/>
    <x v="10"/>
    <x v="16"/>
    <x v="11"/>
    <x v="10"/>
    <n v="17"/>
  </r>
  <r>
    <x v="0"/>
    <x v="1"/>
    <x v="0"/>
    <x v="10"/>
    <x v="16"/>
    <x v="11"/>
    <x v="4"/>
    <n v="2"/>
  </r>
  <r>
    <x v="0"/>
    <x v="1"/>
    <x v="0"/>
    <x v="10"/>
    <x v="16"/>
    <x v="11"/>
    <x v="5"/>
    <n v="1"/>
  </r>
  <r>
    <x v="0"/>
    <x v="1"/>
    <x v="0"/>
    <x v="10"/>
    <x v="16"/>
    <x v="6"/>
    <x v="7"/>
    <n v="14"/>
  </r>
  <r>
    <x v="0"/>
    <x v="1"/>
    <x v="0"/>
    <x v="10"/>
    <x v="16"/>
    <x v="6"/>
    <x v="6"/>
    <n v="28"/>
  </r>
  <r>
    <x v="0"/>
    <x v="1"/>
    <x v="0"/>
    <x v="10"/>
    <x v="16"/>
    <x v="6"/>
    <x v="10"/>
    <n v="18"/>
  </r>
  <r>
    <x v="0"/>
    <x v="1"/>
    <x v="0"/>
    <x v="10"/>
    <x v="16"/>
    <x v="6"/>
    <x v="3"/>
    <n v="3"/>
  </r>
  <r>
    <x v="0"/>
    <x v="1"/>
    <x v="0"/>
    <x v="10"/>
    <x v="16"/>
    <x v="6"/>
    <x v="4"/>
    <n v="2"/>
  </r>
  <r>
    <x v="0"/>
    <x v="1"/>
    <x v="0"/>
    <x v="10"/>
    <x v="16"/>
    <x v="9"/>
    <x v="7"/>
    <n v="1"/>
  </r>
  <r>
    <x v="0"/>
    <x v="1"/>
    <x v="0"/>
    <x v="10"/>
    <x v="16"/>
    <x v="9"/>
    <x v="6"/>
    <n v="27"/>
  </r>
  <r>
    <x v="0"/>
    <x v="1"/>
    <x v="0"/>
    <x v="10"/>
    <x v="16"/>
    <x v="12"/>
    <x v="6"/>
    <n v="19"/>
  </r>
  <r>
    <x v="0"/>
    <x v="1"/>
    <x v="0"/>
    <x v="10"/>
    <x v="16"/>
    <x v="12"/>
    <x v="12"/>
    <n v="2"/>
  </r>
  <r>
    <x v="0"/>
    <x v="1"/>
    <x v="0"/>
    <x v="10"/>
    <x v="16"/>
    <x v="1"/>
    <x v="12"/>
    <n v="1"/>
  </r>
  <r>
    <x v="0"/>
    <x v="1"/>
    <x v="0"/>
    <x v="11"/>
    <x v="0"/>
    <x v="3"/>
    <x v="8"/>
    <n v="1"/>
  </r>
  <r>
    <x v="0"/>
    <x v="1"/>
    <x v="0"/>
    <x v="11"/>
    <x v="0"/>
    <x v="4"/>
    <x v="15"/>
    <n v="56"/>
  </r>
  <r>
    <x v="0"/>
    <x v="1"/>
    <x v="0"/>
    <x v="11"/>
    <x v="0"/>
    <x v="4"/>
    <x v="8"/>
    <n v="12"/>
  </r>
  <r>
    <x v="0"/>
    <x v="1"/>
    <x v="0"/>
    <x v="11"/>
    <x v="0"/>
    <x v="5"/>
    <x v="15"/>
    <n v="66"/>
  </r>
  <r>
    <x v="0"/>
    <x v="1"/>
    <x v="0"/>
    <x v="11"/>
    <x v="0"/>
    <x v="5"/>
    <x v="8"/>
    <n v="31"/>
  </r>
  <r>
    <x v="0"/>
    <x v="1"/>
    <x v="0"/>
    <x v="11"/>
    <x v="0"/>
    <x v="11"/>
    <x v="15"/>
    <n v="56"/>
  </r>
  <r>
    <x v="0"/>
    <x v="1"/>
    <x v="0"/>
    <x v="11"/>
    <x v="0"/>
    <x v="11"/>
    <x v="8"/>
    <n v="71"/>
  </r>
  <r>
    <x v="0"/>
    <x v="1"/>
    <x v="0"/>
    <x v="11"/>
    <x v="0"/>
    <x v="6"/>
    <x v="15"/>
    <n v="2"/>
  </r>
  <r>
    <x v="0"/>
    <x v="1"/>
    <x v="0"/>
    <x v="11"/>
    <x v="0"/>
    <x v="7"/>
    <x v="8"/>
    <n v="23"/>
  </r>
  <r>
    <x v="0"/>
    <x v="1"/>
    <x v="0"/>
    <x v="11"/>
    <x v="0"/>
    <x v="7"/>
    <x v="9"/>
    <n v="1"/>
  </r>
  <r>
    <x v="0"/>
    <x v="1"/>
    <x v="0"/>
    <x v="11"/>
    <x v="0"/>
    <x v="8"/>
    <x v="12"/>
    <n v="1"/>
  </r>
  <r>
    <x v="0"/>
    <x v="1"/>
    <x v="0"/>
    <x v="11"/>
    <x v="0"/>
    <x v="0"/>
    <x v="1"/>
    <n v="6"/>
  </r>
  <r>
    <x v="0"/>
    <x v="1"/>
    <x v="0"/>
    <x v="11"/>
    <x v="0"/>
    <x v="0"/>
    <x v="4"/>
    <n v="1"/>
  </r>
  <r>
    <x v="0"/>
    <x v="1"/>
    <x v="0"/>
    <x v="11"/>
    <x v="0"/>
    <x v="0"/>
    <x v="5"/>
    <n v="1"/>
  </r>
  <r>
    <x v="0"/>
    <x v="1"/>
    <x v="0"/>
    <x v="11"/>
    <x v="0"/>
    <x v="0"/>
    <x v="13"/>
    <n v="1"/>
  </r>
  <r>
    <x v="0"/>
    <x v="1"/>
    <x v="0"/>
    <x v="11"/>
    <x v="8"/>
    <x v="14"/>
    <x v="7"/>
    <n v="26"/>
  </r>
  <r>
    <x v="0"/>
    <x v="1"/>
    <x v="0"/>
    <x v="11"/>
    <x v="8"/>
    <x v="14"/>
    <x v="6"/>
    <n v="3"/>
  </r>
  <r>
    <x v="0"/>
    <x v="1"/>
    <x v="0"/>
    <x v="11"/>
    <x v="8"/>
    <x v="14"/>
    <x v="10"/>
    <n v="2"/>
  </r>
  <r>
    <x v="0"/>
    <x v="1"/>
    <x v="0"/>
    <x v="11"/>
    <x v="8"/>
    <x v="14"/>
    <x v="3"/>
    <n v="11"/>
  </r>
  <r>
    <x v="0"/>
    <x v="1"/>
    <x v="0"/>
    <x v="11"/>
    <x v="8"/>
    <x v="14"/>
    <x v="4"/>
    <n v="3"/>
  </r>
  <r>
    <x v="0"/>
    <x v="1"/>
    <x v="0"/>
    <x v="11"/>
    <x v="8"/>
    <x v="13"/>
    <x v="8"/>
    <n v="188"/>
  </r>
  <r>
    <x v="0"/>
    <x v="1"/>
    <x v="0"/>
    <x v="11"/>
    <x v="8"/>
    <x v="13"/>
    <x v="7"/>
    <n v="48"/>
  </r>
  <r>
    <x v="0"/>
    <x v="1"/>
    <x v="0"/>
    <x v="11"/>
    <x v="8"/>
    <x v="13"/>
    <x v="6"/>
    <n v="34"/>
  </r>
  <r>
    <x v="0"/>
    <x v="1"/>
    <x v="0"/>
    <x v="11"/>
    <x v="8"/>
    <x v="13"/>
    <x v="12"/>
    <n v="7"/>
  </r>
  <r>
    <x v="0"/>
    <x v="1"/>
    <x v="0"/>
    <x v="11"/>
    <x v="8"/>
    <x v="13"/>
    <x v="9"/>
    <n v="7"/>
  </r>
  <r>
    <x v="0"/>
    <x v="1"/>
    <x v="0"/>
    <x v="11"/>
    <x v="8"/>
    <x v="2"/>
    <x v="1"/>
    <n v="15"/>
  </r>
  <r>
    <x v="0"/>
    <x v="1"/>
    <x v="0"/>
    <x v="11"/>
    <x v="8"/>
    <x v="10"/>
    <x v="1"/>
    <n v="13"/>
  </r>
  <r>
    <x v="0"/>
    <x v="1"/>
    <x v="0"/>
    <x v="11"/>
    <x v="8"/>
    <x v="10"/>
    <x v="4"/>
    <n v="3"/>
  </r>
  <r>
    <x v="0"/>
    <x v="1"/>
    <x v="0"/>
    <x v="11"/>
    <x v="8"/>
    <x v="10"/>
    <x v="5"/>
    <n v="1"/>
  </r>
  <r>
    <x v="0"/>
    <x v="1"/>
    <x v="0"/>
    <x v="11"/>
    <x v="8"/>
    <x v="3"/>
    <x v="10"/>
    <n v="16"/>
  </r>
  <r>
    <x v="0"/>
    <x v="1"/>
    <x v="0"/>
    <x v="11"/>
    <x v="8"/>
    <x v="3"/>
    <x v="3"/>
    <n v="4"/>
  </r>
  <r>
    <x v="0"/>
    <x v="1"/>
    <x v="0"/>
    <x v="11"/>
    <x v="8"/>
    <x v="3"/>
    <x v="4"/>
    <n v="1"/>
  </r>
  <r>
    <x v="0"/>
    <x v="1"/>
    <x v="0"/>
    <x v="11"/>
    <x v="8"/>
    <x v="3"/>
    <x v="5"/>
    <n v="2"/>
  </r>
  <r>
    <x v="0"/>
    <x v="1"/>
    <x v="0"/>
    <x v="11"/>
    <x v="8"/>
    <x v="4"/>
    <x v="10"/>
    <n v="14"/>
  </r>
  <r>
    <x v="0"/>
    <x v="1"/>
    <x v="0"/>
    <x v="11"/>
    <x v="8"/>
    <x v="4"/>
    <x v="9"/>
    <n v="5"/>
  </r>
  <r>
    <x v="0"/>
    <x v="1"/>
    <x v="0"/>
    <x v="11"/>
    <x v="8"/>
    <x v="4"/>
    <x v="3"/>
    <n v="5"/>
  </r>
  <r>
    <x v="0"/>
    <x v="0"/>
    <x v="6"/>
    <x v="0"/>
    <x v="12"/>
    <x v="13"/>
    <x v="19"/>
    <n v="138"/>
  </r>
  <r>
    <x v="0"/>
    <x v="0"/>
    <x v="6"/>
    <x v="0"/>
    <x v="12"/>
    <x v="5"/>
    <x v="19"/>
    <n v="7"/>
  </r>
  <r>
    <x v="0"/>
    <x v="0"/>
    <x v="6"/>
    <x v="0"/>
    <x v="12"/>
    <x v="11"/>
    <x v="19"/>
    <n v="3"/>
  </r>
  <r>
    <x v="0"/>
    <x v="0"/>
    <x v="6"/>
    <x v="1"/>
    <x v="2"/>
    <x v="16"/>
    <x v="19"/>
    <n v="1"/>
  </r>
  <r>
    <x v="0"/>
    <x v="0"/>
    <x v="6"/>
    <x v="1"/>
    <x v="2"/>
    <x v="10"/>
    <x v="19"/>
    <n v="1"/>
  </r>
  <r>
    <x v="0"/>
    <x v="0"/>
    <x v="6"/>
    <x v="1"/>
    <x v="2"/>
    <x v="3"/>
    <x v="19"/>
    <n v="1"/>
  </r>
  <r>
    <x v="0"/>
    <x v="0"/>
    <x v="6"/>
    <x v="3"/>
    <x v="8"/>
    <x v="14"/>
    <x v="19"/>
    <n v="19"/>
  </r>
  <r>
    <x v="0"/>
    <x v="0"/>
    <x v="6"/>
    <x v="3"/>
    <x v="8"/>
    <x v="13"/>
    <x v="19"/>
    <n v="16"/>
  </r>
  <r>
    <x v="0"/>
    <x v="0"/>
    <x v="6"/>
    <x v="3"/>
    <x v="8"/>
    <x v="4"/>
    <x v="19"/>
    <n v="1"/>
  </r>
  <r>
    <x v="0"/>
    <x v="0"/>
    <x v="6"/>
    <x v="3"/>
    <x v="8"/>
    <x v="11"/>
    <x v="19"/>
    <n v="1"/>
  </r>
  <r>
    <x v="0"/>
    <x v="0"/>
    <x v="6"/>
    <x v="5"/>
    <x v="3"/>
    <x v="16"/>
    <x v="17"/>
    <n v="1"/>
  </r>
  <r>
    <x v="0"/>
    <x v="0"/>
    <x v="6"/>
    <x v="5"/>
    <x v="3"/>
    <x v="15"/>
    <x v="19"/>
    <n v="3"/>
  </r>
  <r>
    <x v="0"/>
    <x v="0"/>
    <x v="6"/>
    <x v="5"/>
    <x v="3"/>
    <x v="14"/>
    <x v="19"/>
    <n v="10"/>
  </r>
  <r>
    <x v="0"/>
    <x v="0"/>
    <x v="6"/>
    <x v="5"/>
    <x v="3"/>
    <x v="2"/>
    <x v="19"/>
    <n v="21"/>
  </r>
  <r>
    <x v="0"/>
    <x v="0"/>
    <x v="6"/>
    <x v="5"/>
    <x v="3"/>
    <x v="10"/>
    <x v="19"/>
    <n v="16"/>
  </r>
  <r>
    <x v="0"/>
    <x v="0"/>
    <x v="6"/>
    <x v="5"/>
    <x v="3"/>
    <x v="8"/>
    <x v="19"/>
    <n v="2"/>
  </r>
  <r>
    <x v="0"/>
    <x v="0"/>
    <x v="6"/>
    <x v="6"/>
    <x v="2"/>
    <x v="19"/>
    <x v="18"/>
    <n v="4"/>
  </r>
  <r>
    <x v="0"/>
    <x v="0"/>
    <x v="6"/>
    <x v="6"/>
    <x v="2"/>
    <x v="14"/>
    <x v="19"/>
    <n v="3"/>
  </r>
  <r>
    <x v="0"/>
    <x v="0"/>
    <x v="6"/>
    <x v="6"/>
    <x v="2"/>
    <x v="13"/>
    <x v="19"/>
    <n v="3"/>
  </r>
  <r>
    <x v="0"/>
    <x v="0"/>
    <x v="6"/>
    <x v="6"/>
    <x v="15"/>
    <x v="8"/>
    <x v="19"/>
    <n v="1"/>
  </r>
  <r>
    <x v="0"/>
    <x v="0"/>
    <x v="6"/>
    <x v="6"/>
    <x v="11"/>
    <x v="5"/>
    <x v="19"/>
    <n v="2"/>
  </r>
  <r>
    <x v="0"/>
    <x v="0"/>
    <x v="6"/>
    <x v="6"/>
    <x v="11"/>
    <x v="11"/>
    <x v="19"/>
    <n v="1"/>
  </r>
  <r>
    <x v="0"/>
    <x v="0"/>
    <x v="6"/>
    <x v="6"/>
    <x v="11"/>
    <x v="6"/>
    <x v="19"/>
    <n v="2"/>
  </r>
  <r>
    <x v="0"/>
    <x v="0"/>
    <x v="6"/>
    <x v="10"/>
    <x v="10"/>
    <x v="7"/>
    <x v="19"/>
    <n v="2"/>
  </r>
  <r>
    <x v="0"/>
    <x v="0"/>
    <x v="6"/>
    <x v="10"/>
    <x v="10"/>
    <x v="8"/>
    <x v="19"/>
    <n v="3"/>
  </r>
  <r>
    <x v="0"/>
    <x v="0"/>
    <x v="6"/>
    <x v="12"/>
    <x v="1"/>
    <x v="16"/>
    <x v="19"/>
    <n v="3"/>
  </r>
  <r>
    <x v="0"/>
    <x v="0"/>
    <x v="6"/>
    <x v="12"/>
    <x v="1"/>
    <x v="15"/>
    <x v="19"/>
    <n v="3"/>
  </r>
  <r>
    <x v="0"/>
    <x v="0"/>
    <x v="6"/>
    <x v="12"/>
    <x v="1"/>
    <x v="2"/>
    <x v="19"/>
    <n v="1"/>
  </r>
  <r>
    <x v="0"/>
    <x v="0"/>
    <x v="6"/>
    <x v="13"/>
    <x v="6"/>
    <x v="2"/>
    <x v="19"/>
    <n v="10"/>
  </r>
  <r>
    <x v="0"/>
    <x v="0"/>
    <x v="6"/>
    <x v="13"/>
    <x v="6"/>
    <x v="10"/>
    <x v="19"/>
    <n v="14"/>
  </r>
  <r>
    <x v="0"/>
    <x v="0"/>
    <x v="6"/>
    <x v="13"/>
    <x v="6"/>
    <x v="7"/>
    <x v="19"/>
    <n v="5"/>
  </r>
  <r>
    <x v="0"/>
    <x v="0"/>
    <x v="6"/>
    <x v="18"/>
    <x v="8"/>
    <x v="7"/>
    <x v="19"/>
    <n v="2"/>
  </r>
  <r>
    <x v="0"/>
    <x v="0"/>
    <x v="6"/>
    <x v="17"/>
    <x v="9"/>
    <x v="15"/>
    <x v="19"/>
    <n v="2"/>
  </r>
  <r>
    <x v="0"/>
    <x v="0"/>
    <x v="7"/>
    <x v="0"/>
    <x v="12"/>
    <x v="18"/>
    <x v="17"/>
    <n v="2"/>
  </r>
  <r>
    <x v="0"/>
    <x v="0"/>
    <x v="7"/>
    <x v="0"/>
    <x v="12"/>
    <x v="18"/>
    <x v="19"/>
    <n v="363"/>
  </r>
  <r>
    <x v="0"/>
    <x v="0"/>
    <x v="7"/>
    <x v="0"/>
    <x v="12"/>
    <x v="19"/>
    <x v="17"/>
    <n v="19"/>
  </r>
  <r>
    <x v="0"/>
    <x v="0"/>
    <x v="7"/>
    <x v="0"/>
    <x v="12"/>
    <x v="16"/>
    <x v="0"/>
    <n v="4"/>
  </r>
  <r>
    <x v="0"/>
    <x v="0"/>
    <x v="7"/>
    <x v="0"/>
    <x v="12"/>
    <x v="16"/>
    <x v="18"/>
    <n v="10"/>
  </r>
  <r>
    <x v="0"/>
    <x v="0"/>
    <x v="7"/>
    <x v="0"/>
    <x v="12"/>
    <x v="15"/>
    <x v="0"/>
    <n v="1"/>
  </r>
  <r>
    <x v="0"/>
    <x v="0"/>
    <x v="7"/>
    <x v="0"/>
    <x v="12"/>
    <x v="15"/>
    <x v="18"/>
    <n v="5"/>
  </r>
  <r>
    <x v="0"/>
    <x v="0"/>
    <x v="7"/>
    <x v="1"/>
    <x v="2"/>
    <x v="16"/>
    <x v="0"/>
    <n v="8"/>
  </r>
  <r>
    <x v="0"/>
    <x v="0"/>
    <x v="7"/>
    <x v="1"/>
    <x v="2"/>
    <x v="16"/>
    <x v="18"/>
    <n v="3"/>
  </r>
  <r>
    <x v="0"/>
    <x v="0"/>
    <x v="7"/>
    <x v="1"/>
    <x v="2"/>
    <x v="14"/>
    <x v="17"/>
    <n v="2"/>
  </r>
  <r>
    <x v="0"/>
    <x v="0"/>
    <x v="7"/>
    <x v="1"/>
    <x v="2"/>
    <x v="14"/>
    <x v="19"/>
    <n v="4"/>
  </r>
  <r>
    <x v="0"/>
    <x v="0"/>
    <x v="7"/>
    <x v="1"/>
    <x v="2"/>
    <x v="13"/>
    <x v="11"/>
    <n v="5"/>
  </r>
  <r>
    <x v="0"/>
    <x v="0"/>
    <x v="7"/>
    <x v="1"/>
    <x v="2"/>
    <x v="13"/>
    <x v="14"/>
    <n v="4"/>
  </r>
  <r>
    <x v="0"/>
    <x v="0"/>
    <x v="7"/>
    <x v="1"/>
    <x v="2"/>
    <x v="13"/>
    <x v="17"/>
    <n v="1"/>
  </r>
  <r>
    <x v="0"/>
    <x v="0"/>
    <x v="7"/>
    <x v="1"/>
    <x v="2"/>
    <x v="13"/>
    <x v="19"/>
    <n v="6"/>
  </r>
  <r>
    <x v="0"/>
    <x v="0"/>
    <x v="7"/>
    <x v="1"/>
    <x v="2"/>
    <x v="2"/>
    <x v="0"/>
    <n v="1"/>
  </r>
  <r>
    <x v="0"/>
    <x v="0"/>
    <x v="7"/>
    <x v="1"/>
    <x v="2"/>
    <x v="10"/>
    <x v="0"/>
    <n v="3"/>
  </r>
  <r>
    <x v="0"/>
    <x v="0"/>
    <x v="7"/>
    <x v="3"/>
    <x v="8"/>
    <x v="17"/>
    <x v="14"/>
    <n v="1"/>
  </r>
  <r>
    <x v="0"/>
    <x v="0"/>
    <x v="7"/>
    <x v="3"/>
    <x v="8"/>
    <x v="17"/>
    <x v="17"/>
    <n v="21"/>
  </r>
  <r>
    <x v="0"/>
    <x v="0"/>
    <x v="7"/>
    <x v="3"/>
    <x v="8"/>
    <x v="17"/>
    <x v="19"/>
    <n v="655"/>
  </r>
  <r>
    <x v="0"/>
    <x v="0"/>
    <x v="7"/>
    <x v="3"/>
    <x v="8"/>
    <x v="16"/>
    <x v="18"/>
    <n v="17"/>
  </r>
  <r>
    <x v="0"/>
    <x v="0"/>
    <x v="7"/>
    <x v="3"/>
    <x v="8"/>
    <x v="15"/>
    <x v="0"/>
    <n v="7"/>
  </r>
  <r>
    <x v="0"/>
    <x v="0"/>
    <x v="7"/>
    <x v="3"/>
    <x v="8"/>
    <x v="15"/>
    <x v="18"/>
    <n v="5"/>
  </r>
  <r>
    <x v="0"/>
    <x v="0"/>
    <x v="7"/>
    <x v="3"/>
    <x v="8"/>
    <x v="14"/>
    <x v="0"/>
    <n v="1"/>
  </r>
  <r>
    <x v="0"/>
    <x v="0"/>
    <x v="7"/>
    <x v="3"/>
    <x v="8"/>
    <x v="14"/>
    <x v="18"/>
    <n v="5"/>
  </r>
  <r>
    <x v="0"/>
    <x v="0"/>
    <x v="7"/>
    <x v="3"/>
    <x v="8"/>
    <x v="13"/>
    <x v="0"/>
    <n v="1"/>
  </r>
  <r>
    <x v="0"/>
    <x v="0"/>
    <x v="7"/>
    <x v="3"/>
    <x v="8"/>
    <x v="13"/>
    <x v="18"/>
    <n v="3"/>
  </r>
  <r>
    <x v="0"/>
    <x v="0"/>
    <x v="7"/>
    <x v="3"/>
    <x v="8"/>
    <x v="3"/>
    <x v="18"/>
    <n v="2"/>
  </r>
  <r>
    <x v="0"/>
    <x v="0"/>
    <x v="7"/>
    <x v="3"/>
    <x v="8"/>
    <x v="0"/>
    <x v="19"/>
    <n v="1"/>
  </r>
  <r>
    <x v="0"/>
    <x v="0"/>
    <x v="7"/>
    <x v="3"/>
    <x v="9"/>
    <x v="6"/>
    <x v="19"/>
    <n v="1"/>
  </r>
  <r>
    <x v="0"/>
    <x v="0"/>
    <x v="7"/>
    <x v="3"/>
    <x v="9"/>
    <x v="9"/>
    <x v="19"/>
    <n v="2"/>
  </r>
  <r>
    <x v="0"/>
    <x v="0"/>
    <x v="7"/>
    <x v="5"/>
    <x v="3"/>
    <x v="19"/>
    <x v="0"/>
    <n v="5"/>
  </r>
  <r>
    <x v="0"/>
    <x v="0"/>
    <x v="7"/>
    <x v="5"/>
    <x v="3"/>
    <x v="19"/>
    <x v="18"/>
    <n v="4"/>
  </r>
  <r>
    <x v="0"/>
    <x v="0"/>
    <x v="7"/>
    <x v="5"/>
    <x v="3"/>
    <x v="16"/>
    <x v="0"/>
    <n v="19"/>
  </r>
  <r>
    <x v="0"/>
    <x v="0"/>
    <x v="7"/>
    <x v="5"/>
    <x v="3"/>
    <x v="16"/>
    <x v="18"/>
    <n v="16"/>
  </r>
  <r>
    <x v="0"/>
    <x v="0"/>
    <x v="7"/>
    <x v="5"/>
    <x v="3"/>
    <x v="15"/>
    <x v="0"/>
    <n v="16"/>
  </r>
  <r>
    <x v="0"/>
    <x v="0"/>
    <x v="7"/>
    <x v="5"/>
    <x v="3"/>
    <x v="14"/>
    <x v="19"/>
    <n v="35"/>
  </r>
  <r>
    <x v="0"/>
    <x v="0"/>
    <x v="7"/>
    <x v="5"/>
    <x v="3"/>
    <x v="13"/>
    <x v="14"/>
    <n v="3"/>
  </r>
  <r>
    <x v="0"/>
    <x v="0"/>
    <x v="7"/>
    <x v="5"/>
    <x v="3"/>
    <x v="13"/>
    <x v="17"/>
    <n v="4"/>
  </r>
  <r>
    <x v="0"/>
    <x v="0"/>
    <x v="7"/>
    <x v="5"/>
    <x v="3"/>
    <x v="13"/>
    <x v="19"/>
    <n v="36"/>
  </r>
  <r>
    <x v="0"/>
    <x v="0"/>
    <x v="7"/>
    <x v="5"/>
    <x v="3"/>
    <x v="11"/>
    <x v="19"/>
    <n v="12"/>
  </r>
  <r>
    <x v="0"/>
    <x v="0"/>
    <x v="7"/>
    <x v="5"/>
    <x v="3"/>
    <x v="6"/>
    <x v="17"/>
    <n v="1"/>
  </r>
  <r>
    <x v="0"/>
    <x v="0"/>
    <x v="7"/>
    <x v="5"/>
    <x v="3"/>
    <x v="6"/>
    <x v="19"/>
    <n v="8"/>
  </r>
  <r>
    <x v="0"/>
    <x v="0"/>
    <x v="7"/>
    <x v="5"/>
    <x v="3"/>
    <x v="9"/>
    <x v="14"/>
    <n v="1"/>
  </r>
  <r>
    <x v="0"/>
    <x v="0"/>
    <x v="7"/>
    <x v="5"/>
    <x v="3"/>
    <x v="9"/>
    <x v="19"/>
    <n v="5"/>
  </r>
  <r>
    <x v="0"/>
    <x v="0"/>
    <x v="7"/>
    <x v="5"/>
    <x v="3"/>
    <x v="12"/>
    <x v="11"/>
    <n v="1"/>
  </r>
  <r>
    <x v="0"/>
    <x v="0"/>
    <x v="7"/>
    <x v="5"/>
    <x v="3"/>
    <x v="12"/>
    <x v="19"/>
    <n v="3"/>
  </r>
  <r>
    <x v="0"/>
    <x v="1"/>
    <x v="0"/>
    <x v="13"/>
    <x v="17"/>
    <x v="15"/>
    <x v="9"/>
    <n v="5"/>
  </r>
  <r>
    <x v="0"/>
    <x v="1"/>
    <x v="0"/>
    <x v="13"/>
    <x v="17"/>
    <x v="15"/>
    <x v="3"/>
    <n v="16"/>
  </r>
  <r>
    <x v="0"/>
    <x v="1"/>
    <x v="0"/>
    <x v="13"/>
    <x v="17"/>
    <x v="14"/>
    <x v="10"/>
    <n v="36"/>
  </r>
  <r>
    <x v="0"/>
    <x v="1"/>
    <x v="0"/>
    <x v="13"/>
    <x v="17"/>
    <x v="14"/>
    <x v="1"/>
    <n v="34"/>
  </r>
  <r>
    <x v="0"/>
    <x v="1"/>
    <x v="0"/>
    <x v="13"/>
    <x v="17"/>
    <x v="14"/>
    <x v="12"/>
    <n v="54"/>
  </r>
  <r>
    <x v="0"/>
    <x v="1"/>
    <x v="0"/>
    <x v="13"/>
    <x v="17"/>
    <x v="13"/>
    <x v="6"/>
    <n v="33"/>
  </r>
  <r>
    <x v="0"/>
    <x v="1"/>
    <x v="0"/>
    <x v="13"/>
    <x v="17"/>
    <x v="13"/>
    <x v="10"/>
    <n v="37"/>
  </r>
  <r>
    <x v="0"/>
    <x v="1"/>
    <x v="0"/>
    <x v="13"/>
    <x v="17"/>
    <x v="13"/>
    <x v="1"/>
    <n v="29"/>
  </r>
  <r>
    <x v="0"/>
    <x v="1"/>
    <x v="0"/>
    <x v="13"/>
    <x v="17"/>
    <x v="2"/>
    <x v="7"/>
    <n v="5"/>
  </r>
  <r>
    <x v="0"/>
    <x v="1"/>
    <x v="0"/>
    <x v="13"/>
    <x v="17"/>
    <x v="2"/>
    <x v="6"/>
    <n v="20"/>
  </r>
  <r>
    <x v="0"/>
    <x v="1"/>
    <x v="0"/>
    <x v="13"/>
    <x v="17"/>
    <x v="2"/>
    <x v="10"/>
    <n v="23"/>
  </r>
  <r>
    <x v="0"/>
    <x v="1"/>
    <x v="0"/>
    <x v="13"/>
    <x v="17"/>
    <x v="10"/>
    <x v="7"/>
    <n v="4"/>
  </r>
  <r>
    <x v="0"/>
    <x v="1"/>
    <x v="0"/>
    <x v="13"/>
    <x v="17"/>
    <x v="10"/>
    <x v="6"/>
    <n v="5"/>
  </r>
  <r>
    <x v="0"/>
    <x v="1"/>
    <x v="0"/>
    <x v="13"/>
    <x v="17"/>
    <x v="3"/>
    <x v="7"/>
    <n v="6"/>
  </r>
  <r>
    <x v="0"/>
    <x v="1"/>
    <x v="0"/>
    <x v="13"/>
    <x v="17"/>
    <x v="3"/>
    <x v="6"/>
    <n v="15"/>
  </r>
  <r>
    <x v="0"/>
    <x v="1"/>
    <x v="0"/>
    <x v="13"/>
    <x v="17"/>
    <x v="4"/>
    <x v="7"/>
    <n v="9"/>
  </r>
  <r>
    <x v="0"/>
    <x v="1"/>
    <x v="0"/>
    <x v="13"/>
    <x v="17"/>
    <x v="4"/>
    <x v="13"/>
    <n v="1"/>
  </r>
  <r>
    <x v="0"/>
    <x v="1"/>
    <x v="0"/>
    <x v="13"/>
    <x v="17"/>
    <x v="5"/>
    <x v="8"/>
    <n v="11"/>
  </r>
  <r>
    <x v="0"/>
    <x v="1"/>
    <x v="0"/>
    <x v="13"/>
    <x v="17"/>
    <x v="5"/>
    <x v="7"/>
    <n v="3"/>
  </r>
  <r>
    <x v="0"/>
    <x v="1"/>
    <x v="0"/>
    <x v="13"/>
    <x v="17"/>
    <x v="5"/>
    <x v="2"/>
    <n v="1"/>
  </r>
  <r>
    <x v="0"/>
    <x v="1"/>
    <x v="0"/>
    <x v="13"/>
    <x v="17"/>
    <x v="11"/>
    <x v="8"/>
    <n v="23"/>
  </r>
  <r>
    <x v="0"/>
    <x v="1"/>
    <x v="0"/>
    <x v="13"/>
    <x v="17"/>
    <x v="11"/>
    <x v="5"/>
    <n v="11"/>
  </r>
  <r>
    <x v="0"/>
    <x v="1"/>
    <x v="0"/>
    <x v="13"/>
    <x v="17"/>
    <x v="11"/>
    <x v="2"/>
    <n v="3"/>
  </r>
  <r>
    <x v="0"/>
    <x v="1"/>
    <x v="0"/>
    <x v="13"/>
    <x v="17"/>
    <x v="6"/>
    <x v="8"/>
    <n v="5"/>
  </r>
  <r>
    <x v="0"/>
    <x v="1"/>
    <x v="0"/>
    <x v="13"/>
    <x v="17"/>
    <x v="6"/>
    <x v="4"/>
    <n v="2"/>
  </r>
  <r>
    <x v="0"/>
    <x v="1"/>
    <x v="0"/>
    <x v="13"/>
    <x v="17"/>
    <x v="6"/>
    <x v="5"/>
    <n v="1"/>
  </r>
  <r>
    <x v="0"/>
    <x v="1"/>
    <x v="0"/>
    <x v="13"/>
    <x v="17"/>
    <x v="6"/>
    <x v="2"/>
    <n v="2"/>
  </r>
  <r>
    <x v="0"/>
    <x v="1"/>
    <x v="0"/>
    <x v="13"/>
    <x v="17"/>
    <x v="6"/>
    <x v="13"/>
    <n v="1"/>
  </r>
  <r>
    <x v="0"/>
    <x v="1"/>
    <x v="0"/>
    <x v="13"/>
    <x v="17"/>
    <x v="9"/>
    <x v="8"/>
    <n v="2"/>
  </r>
  <r>
    <x v="0"/>
    <x v="1"/>
    <x v="0"/>
    <x v="13"/>
    <x v="17"/>
    <x v="9"/>
    <x v="3"/>
    <n v="2"/>
  </r>
  <r>
    <x v="0"/>
    <x v="1"/>
    <x v="0"/>
    <x v="13"/>
    <x v="17"/>
    <x v="9"/>
    <x v="4"/>
    <n v="3"/>
  </r>
  <r>
    <x v="0"/>
    <x v="1"/>
    <x v="0"/>
    <x v="13"/>
    <x v="17"/>
    <x v="9"/>
    <x v="5"/>
    <n v="2"/>
  </r>
  <r>
    <x v="0"/>
    <x v="1"/>
    <x v="0"/>
    <x v="13"/>
    <x v="17"/>
    <x v="9"/>
    <x v="2"/>
    <n v="2"/>
  </r>
  <r>
    <x v="0"/>
    <x v="1"/>
    <x v="0"/>
    <x v="13"/>
    <x v="17"/>
    <x v="9"/>
    <x v="11"/>
    <n v="1"/>
  </r>
  <r>
    <x v="0"/>
    <x v="1"/>
    <x v="0"/>
    <x v="13"/>
    <x v="17"/>
    <x v="12"/>
    <x v="8"/>
    <n v="2"/>
  </r>
  <r>
    <x v="0"/>
    <x v="1"/>
    <x v="0"/>
    <x v="13"/>
    <x v="17"/>
    <x v="12"/>
    <x v="3"/>
    <n v="2"/>
  </r>
  <r>
    <x v="0"/>
    <x v="1"/>
    <x v="0"/>
    <x v="13"/>
    <x v="17"/>
    <x v="12"/>
    <x v="2"/>
    <n v="3"/>
  </r>
  <r>
    <x v="0"/>
    <x v="1"/>
    <x v="0"/>
    <x v="13"/>
    <x v="17"/>
    <x v="1"/>
    <x v="5"/>
    <n v="1"/>
  </r>
  <r>
    <x v="0"/>
    <x v="1"/>
    <x v="0"/>
    <x v="14"/>
    <x v="0"/>
    <x v="0"/>
    <x v="1"/>
    <n v="1"/>
  </r>
  <r>
    <x v="0"/>
    <x v="1"/>
    <x v="0"/>
    <x v="14"/>
    <x v="4"/>
    <x v="0"/>
    <x v="1"/>
    <n v="2"/>
  </r>
  <r>
    <x v="0"/>
    <x v="1"/>
    <x v="0"/>
    <x v="14"/>
    <x v="16"/>
    <x v="3"/>
    <x v="8"/>
    <n v="44"/>
  </r>
  <r>
    <x v="0"/>
    <x v="1"/>
    <x v="0"/>
    <x v="14"/>
    <x v="16"/>
    <x v="4"/>
    <x v="8"/>
    <n v="37"/>
  </r>
  <r>
    <x v="0"/>
    <x v="1"/>
    <x v="0"/>
    <x v="14"/>
    <x v="16"/>
    <x v="5"/>
    <x v="4"/>
    <n v="2"/>
  </r>
  <r>
    <x v="0"/>
    <x v="1"/>
    <x v="0"/>
    <x v="14"/>
    <x v="16"/>
    <x v="6"/>
    <x v="12"/>
    <n v="1"/>
  </r>
  <r>
    <x v="0"/>
    <x v="1"/>
    <x v="0"/>
    <x v="14"/>
    <x v="16"/>
    <x v="9"/>
    <x v="3"/>
    <n v="1"/>
  </r>
  <r>
    <x v="0"/>
    <x v="1"/>
    <x v="0"/>
    <x v="14"/>
    <x v="16"/>
    <x v="12"/>
    <x v="1"/>
    <n v="1"/>
  </r>
  <r>
    <x v="0"/>
    <x v="1"/>
    <x v="0"/>
    <x v="14"/>
    <x v="18"/>
    <x v="0"/>
    <x v="6"/>
    <n v="1"/>
  </r>
  <r>
    <x v="0"/>
    <x v="1"/>
    <x v="0"/>
    <x v="14"/>
    <x v="18"/>
    <x v="0"/>
    <x v="10"/>
    <n v="6"/>
  </r>
  <r>
    <x v="0"/>
    <x v="1"/>
    <x v="0"/>
    <x v="18"/>
    <x v="19"/>
    <x v="0"/>
    <x v="1"/>
    <n v="1"/>
  </r>
  <r>
    <x v="0"/>
    <x v="1"/>
    <x v="0"/>
    <x v="18"/>
    <x v="19"/>
    <x v="0"/>
    <x v="9"/>
    <n v="1"/>
  </r>
  <r>
    <x v="0"/>
    <x v="1"/>
    <x v="0"/>
    <x v="15"/>
    <x v="0"/>
    <x v="0"/>
    <x v="13"/>
    <n v="1"/>
  </r>
  <r>
    <x v="0"/>
    <x v="1"/>
    <x v="0"/>
    <x v="15"/>
    <x v="1"/>
    <x v="11"/>
    <x v="10"/>
    <n v="3"/>
  </r>
  <r>
    <x v="0"/>
    <x v="1"/>
    <x v="0"/>
    <x v="15"/>
    <x v="1"/>
    <x v="6"/>
    <x v="6"/>
    <n v="12"/>
  </r>
  <r>
    <x v="0"/>
    <x v="1"/>
    <x v="0"/>
    <x v="15"/>
    <x v="1"/>
    <x v="9"/>
    <x v="6"/>
    <n v="6"/>
  </r>
  <r>
    <x v="0"/>
    <x v="1"/>
    <x v="0"/>
    <x v="15"/>
    <x v="1"/>
    <x v="7"/>
    <x v="10"/>
    <n v="18"/>
  </r>
  <r>
    <x v="0"/>
    <x v="1"/>
    <x v="0"/>
    <x v="15"/>
    <x v="1"/>
    <x v="7"/>
    <x v="1"/>
    <n v="9"/>
  </r>
  <r>
    <x v="0"/>
    <x v="1"/>
    <x v="0"/>
    <x v="15"/>
    <x v="1"/>
    <x v="8"/>
    <x v="1"/>
    <n v="9"/>
  </r>
  <r>
    <x v="0"/>
    <x v="1"/>
    <x v="0"/>
    <x v="16"/>
    <x v="14"/>
    <x v="0"/>
    <x v="5"/>
    <n v="1"/>
  </r>
  <r>
    <x v="0"/>
    <x v="1"/>
    <x v="0"/>
    <x v="16"/>
    <x v="19"/>
    <x v="11"/>
    <x v="2"/>
    <n v="1"/>
  </r>
  <r>
    <x v="0"/>
    <x v="1"/>
    <x v="0"/>
    <x v="16"/>
    <x v="19"/>
    <x v="6"/>
    <x v="2"/>
    <n v="1"/>
  </r>
  <r>
    <x v="0"/>
    <x v="1"/>
    <x v="0"/>
    <x v="16"/>
    <x v="19"/>
    <x v="1"/>
    <x v="12"/>
    <n v="1"/>
  </r>
  <r>
    <x v="0"/>
    <x v="1"/>
    <x v="0"/>
    <x v="17"/>
    <x v="3"/>
    <x v="0"/>
    <x v="10"/>
    <n v="1"/>
  </r>
  <r>
    <x v="0"/>
    <x v="1"/>
    <x v="0"/>
    <x v="17"/>
    <x v="3"/>
    <x v="0"/>
    <x v="1"/>
    <n v="1"/>
  </r>
  <r>
    <x v="0"/>
    <x v="1"/>
    <x v="0"/>
    <x v="17"/>
    <x v="7"/>
    <x v="0"/>
    <x v="1"/>
    <n v="1"/>
  </r>
  <r>
    <x v="0"/>
    <x v="1"/>
    <x v="0"/>
    <x v="19"/>
    <x v="13"/>
    <x v="0"/>
    <x v="13"/>
    <n v="1"/>
  </r>
  <r>
    <x v="0"/>
    <x v="1"/>
    <x v="0"/>
    <x v="19"/>
    <x v="7"/>
    <x v="16"/>
    <x v="12"/>
    <n v="17"/>
  </r>
  <r>
    <x v="0"/>
    <x v="1"/>
    <x v="0"/>
    <x v="19"/>
    <x v="7"/>
    <x v="16"/>
    <x v="9"/>
    <n v="19"/>
  </r>
  <r>
    <x v="0"/>
    <x v="1"/>
    <x v="0"/>
    <x v="19"/>
    <x v="7"/>
    <x v="16"/>
    <x v="3"/>
    <n v="21"/>
  </r>
  <r>
    <x v="0"/>
    <x v="1"/>
    <x v="0"/>
    <x v="19"/>
    <x v="7"/>
    <x v="16"/>
    <x v="4"/>
    <n v="17"/>
  </r>
  <r>
    <x v="0"/>
    <x v="1"/>
    <x v="0"/>
    <x v="19"/>
    <x v="7"/>
    <x v="16"/>
    <x v="5"/>
    <n v="9"/>
  </r>
  <r>
    <x v="0"/>
    <x v="1"/>
    <x v="0"/>
    <x v="19"/>
    <x v="7"/>
    <x v="15"/>
    <x v="1"/>
    <n v="65"/>
  </r>
  <r>
    <x v="0"/>
    <x v="1"/>
    <x v="0"/>
    <x v="19"/>
    <x v="7"/>
    <x v="15"/>
    <x v="12"/>
    <n v="63"/>
  </r>
  <r>
    <x v="0"/>
    <x v="1"/>
    <x v="0"/>
    <x v="11"/>
    <x v="8"/>
    <x v="4"/>
    <x v="4"/>
    <n v="1"/>
  </r>
  <r>
    <x v="0"/>
    <x v="1"/>
    <x v="0"/>
    <x v="11"/>
    <x v="8"/>
    <x v="4"/>
    <x v="5"/>
    <n v="2"/>
  </r>
  <r>
    <x v="0"/>
    <x v="1"/>
    <x v="0"/>
    <x v="11"/>
    <x v="8"/>
    <x v="4"/>
    <x v="2"/>
    <n v="1"/>
  </r>
  <r>
    <x v="0"/>
    <x v="1"/>
    <x v="0"/>
    <x v="11"/>
    <x v="8"/>
    <x v="5"/>
    <x v="6"/>
    <n v="31"/>
  </r>
  <r>
    <x v="0"/>
    <x v="1"/>
    <x v="0"/>
    <x v="11"/>
    <x v="8"/>
    <x v="5"/>
    <x v="12"/>
    <n v="4"/>
  </r>
  <r>
    <x v="0"/>
    <x v="1"/>
    <x v="0"/>
    <x v="11"/>
    <x v="8"/>
    <x v="5"/>
    <x v="9"/>
    <n v="4"/>
  </r>
  <r>
    <x v="0"/>
    <x v="1"/>
    <x v="0"/>
    <x v="11"/>
    <x v="8"/>
    <x v="5"/>
    <x v="3"/>
    <n v="3"/>
  </r>
  <r>
    <x v="0"/>
    <x v="1"/>
    <x v="0"/>
    <x v="11"/>
    <x v="8"/>
    <x v="11"/>
    <x v="6"/>
    <n v="30"/>
  </r>
  <r>
    <x v="0"/>
    <x v="1"/>
    <x v="0"/>
    <x v="11"/>
    <x v="8"/>
    <x v="11"/>
    <x v="12"/>
    <n v="2"/>
  </r>
  <r>
    <x v="0"/>
    <x v="1"/>
    <x v="0"/>
    <x v="11"/>
    <x v="8"/>
    <x v="11"/>
    <x v="9"/>
    <n v="3"/>
  </r>
  <r>
    <x v="0"/>
    <x v="1"/>
    <x v="0"/>
    <x v="11"/>
    <x v="8"/>
    <x v="11"/>
    <x v="3"/>
    <n v="1"/>
  </r>
  <r>
    <x v="0"/>
    <x v="1"/>
    <x v="0"/>
    <x v="11"/>
    <x v="8"/>
    <x v="6"/>
    <x v="7"/>
    <n v="309"/>
  </r>
  <r>
    <x v="0"/>
    <x v="1"/>
    <x v="0"/>
    <x v="11"/>
    <x v="8"/>
    <x v="6"/>
    <x v="12"/>
    <n v="4"/>
  </r>
  <r>
    <x v="0"/>
    <x v="1"/>
    <x v="0"/>
    <x v="11"/>
    <x v="8"/>
    <x v="6"/>
    <x v="9"/>
    <n v="2"/>
  </r>
  <r>
    <x v="0"/>
    <x v="1"/>
    <x v="0"/>
    <x v="11"/>
    <x v="8"/>
    <x v="9"/>
    <x v="7"/>
    <n v="139"/>
  </r>
  <r>
    <x v="0"/>
    <x v="1"/>
    <x v="0"/>
    <x v="11"/>
    <x v="8"/>
    <x v="9"/>
    <x v="9"/>
    <n v="2"/>
  </r>
  <r>
    <x v="0"/>
    <x v="1"/>
    <x v="0"/>
    <x v="11"/>
    <x v="8"/>
    <x v="12"/>
    <x v="9"/>
    <n v="2"/>
  </r>
  <r>
    <x v="0"/>
    <x v="1"/>
    <x v="0"/>
    <x v="11"/>
    <x v="8"/>
    <x v="7"/>
    <x v="1"/>
    <n v="1"/>
  </r>
  <r>
    <x v="0"/>
    <x v="1"/>
    <x v="0"/>
    <x v="11"/>
    <x v="8"/>
    <x v="8"/>
    <x v="10"/>
    <n v="2"/>
  </r>
  <r>
    <x v="0"/>
    <x v="1"/>
    <x v="0"/>
    <x v="11"/>
    <x v="8"/>
    <x v="8"/>
    <x v="1"/>
    <n v="2"/>
  </r>
  <r>
    <x v="0"/>
    <x v="1"/>
    <x v="0"/>
    <x v="11"/>
    <x v="18"/>
    <x v="0"/>
    <x v="12"/>
    <n v="1"/>
  </r>
  <r>
    <x v="0"/>
    <x v="1"/>
    <x v="0"/>
    <x v="12"/>
    <x v="12"/>
    <x v="0"/>
    <x v="1"/>
    <n v="1"/>
  </r>
  <r>
    <x v="0"/>
    <x v="1"/>
    <x v="0"/>
    <x v="12"/>
    <x v="1"/>
    <x v="4"/>
    <x v="3"/>
    <n v="1"/>
  </r>
  <r>
    <x v="0"/>
    <x v="1"/>
    <x v="0"/>
    <x v="12"/>
    <x v="1"/>
    <x v="7"/>
    <x v="11"/>
    <n v="1"/>
  </r>
  <r>
    <x v="0"/>
    <x v="1"/>
    <x v="0"/>
    <x v="12"/>
    <x v="6"/>
    <x v="2"/>
    <x v="6"/>
    <n v="3"/>
  </r>
  <r>
    <x v="0"/>
    <x v="1"/>
    <x v="0"/>
    <x v="12"/>
    <x v="6"/>
    <x v="2"/>
    <x v="3"/>
    <n v="1"/>
  </r>
  <r>
    <x v="0"/>
    <x v="1"/>
    <x v="0"/>
    <x v="12"/>
    <x v="6"/>
    <x v="10"/>
    <x v="6"/>
    <n v="2"/>
  </r>
  <r>
    <x v="0"/>
    <x v="1"/>
    <x v="0"/>
    <x v="12"/>
    <x v="6"/>
    <x v="10"/>
    <x v="9"/>
    <n v="1"/>
  </r>
  <r>
    <x v="0"/>
    <x v="1"/>
    <x v="0"/>
    <x v="12"/>
    <x v="6"/>
    <x v="4"/>
    <x v="3"/>
    <n v="1"/>
  </r>
  <r>
    <x v="0"/>
    <x v="1"/>
    <x v="0"/>
    <x v="12"/>
    <x v="6"/>
    <x v="5"/>
    <x v="9"/>
    <n v="2"/>
  </r>
  <r>
    <x v="0"/>
    <x v="1"/>
    <x v="0"/>
    <x v="12"/>
    <x v="6"/>
    <x v="7"/>
    <x v="1"/>
    <n v="1"/>
  </r>
  <r>
    <x v="0"/>
    <x v="1"/>
    <x v="0"/>
    <x v="12"/>
    <x v="11"/>
    <x v="0"/>
    <x v="6"/>
    <n v="1"/>
  </r>
  <r>
    <x v="0"/>
    <x v="1"/>
    <x v="0"/>
    <x v="13"/>
    <x v="13"/>
    <x v="12"/>
    <x v="12"/>
    <n v="1"/>
  </r>
  <r>
    <x v="0"/>
    <x v="1"/>
    <x v="0"/>
    <x v="13"/>
    <x v="13"/>
    <x v="0"/>
    <x v="12"/>
    <n v="1"/>
  </r>
  <r>
    <x v="0"/>
    <x v="1"/>
    <x v="0"/>
    <x v="13"/>
    <x v="15"/>
    <x v="7"/>
    <x v="10"/>
    <n v="1"/>
  </r>
  <r>
    <x v="0"/>
    <x v="1"/>
    <x v="0"/>
    <x v="13"/>
    <x v="15"/>
    <x v="8"/>
    <x v="10"/>
    <n v="1"/>
  </r>
  <r>
    <x v="0"/>
    <x v="1"/>
    <x v="0"/>
    <x v="13"/>
    <x v="15"/>
    <x v="8"/>
    <x v="1"/>
    <n v="2"/>
  </r>
  <r>
    <x v="0"/>
    <x v="1"/>
    <x v="0"/>
    <x v="13"/>
    <x v="17"/>
    <x v="2"/>
    <x v="12"/>
    <n v="34"/>
  </r>
  <r>
    <x v="0"/>
    <x v="1"/>
    <x v="0"/>
    <x v="13"/>
    <x v="17"/>
    <x v="2"/>
    <x v="9"/>
    <n v="36"/>
  </r>
  <r>
    <x v="0"/>
    <x v="1"/>
    <x v="0"/>
    <x v="13"/>
    <x v="17"/>
    <x v="10"/>
    <x v="12"/>
    <n v="27"/>
  </r>
  <r>
    <x v="0"/>
    <x v="1"/>
    <x v="0"/>
    <x v="13"/>
    <x v="17"/>
    <x v="3"/>
    <x v="8"/>
    <n v="3"/>
  </r>
  <r>
    <x v="0"/>
    <x v="1"/>
    <x v="0"/>
    <x v="13"/>
    <x v="17"/>
    <x v="4"/>
    <x v="8"/>
    <n v="1"/>
  </r>
  <r>
    <x v="0"/>
    <x v="1"/>
    <x v="0"/>
    <x v="13"/>
    <x v="17"/>
    <x v="0"/>
    <x v="11"/>
    <n v="1"/>
  </r>
  <r>
    <x v="0"/>
    <x v="1"/>
    <x v="0"/>
    <x v="14"/>
    <x v="4"/>
    <x v="8"/>
    <x v="1"/>
    <n v="2"/>
  </r>
  <r>
    <x v="0"/>
    <x v="1"/>
    <x v="0"/>
    <x v="14"/>
    <x v="16"/>
    <x v="2"/>
    <x v="7"/>
    <n v="10"/>
  </r>
  <r>
    <x v="0"/>
    <x v="1"/>
    <x v="0"/>
    <x v="14"/>
    <x v="16"/>
    <x v="2"/>
    <x v="6"/>
    <n v="1"/>
  </r>
  <r>
    <x v="0"/>
    <x v="1"/>
    <x v="0"/>
    <x v="14"/>
    <x v="16"/>
    <x v="10"/>
    <x v="7"/>
    <n v="15"/>
  </r>
  <r>
    <x v="0"/>
    <x v="1"/>
    <x v="0"/>
    <x v="14"/>
    <x v="16"/>
    <x v="10"/>
    <x v="6"/>
    <n v="12"/>
  </r>
  <r>
    <x v="0"/>
    <x v="1"/>
    <x v="0"/>
    <x v="14"/>
    <x v="16"/>
    <x v="10"/>
    <x v="10"/>
    <n v="3"/>
  </r>
  <r>
    <x v="0"/>
    <x v="1"/>
    <x v="0"/>
    <x v="14"/>
    <x v="16"/>
    <x v="3"/>
    <x v="7"/>
    <n v="16"/>
  </r>
  <r>
    <x v="0"/>
    <x v="1"/>
    <x v="0"/>
    <x v="14"/>
    <x v="16"/>
    <x v="3"/>
    <x v="6"/>
    <n v="7"/>
  </r>
  <r>
    <x v="0"/>
    <x v="1"/>
    <x v="0"/>
    <x v="14"/>
    <x v="16"/>
    <x v="3"/>
    <x v="10"/>
    <n v="1"/>
  </r>
  <r>
    <x v="0"/>
    <x v="1"/>
    <x v="0"/>
    <x v="14"/>
    <x v="16"/>
    <x v="3"/>
    <x v="3"/>
    <n v="1"/>
  </r>
  <r>
    <x v="0"/>
    <x v="1"/>
    <x v="0"/>
    <x v="14"/>
    <x v="16"/>
    <x v="4"/>
    <x v="7"/>
    <n v="20"/>
  </r>
  <r>
    <x v="0"/>
    <x v="1"/>
    <x v="0"/>
    <x v="14"/>
    <x v="16"/>
    <x v="4"/>
    <x v="6"/>
    <n v="15"/>
  </r>
  <r>
    <x v="0"/>
    <x v="1"/>
    <x v="0"/>
    <x v="14"/>
    <x v="16"/>
    <x v="5"/>
    <x v="8"/>
    <n v="39"/>
  </r>
  <r>
    <x v="0"/>
    <x v="1"/>
    <x v="0"/>
    <x v="14"/>
    <x v="16"/>
    <x v="5"/>
    <x v="7"/>
    <n v="18"/>
  </r>
  <r>
    <x v="0"/>
    <x v="1"/>
    <x v="0"/>
    <x v="14"/>
    <x v="16"/>
    <x v="5"/>
    <x v="6"/>
    <n v="9"/>
  </r>
  <r>
    <x v="0"/>
    <x v="1"/>
    <x v="0"/>
    <x v="14"/>
    <x v="16"/>
    <x v="11"/>
    <x v="8"/>
    <n v="59"/>
  </r>
  <r>
    <x v="0"/>
    <x v="1"/>
    <x v="0"/>
    <x v="14"/>
    <x v="16"/>
    <x v="11"/>
    <x v="7"/>
    <n v="9"/>
  </r>
  <r>
    <x v="0"/>
    <x v="1"/>
    <x v="0"/>
    <x v="14"/>
    <x v="16"/>
    <x v="11"/>
    <x v="12"/>
    <n v="1"/>
  </r>
  <r>
    <x v="0"/>
    <x v="1"/>
    <x v="0"/>
    <x v="14"/>
    <x v="16"/>
    <x v="6"/>
    <x v="8"/>
    <n v="18"/>
  </r>
  <r>
    <x v="0"/>
    <x v="1"/>
    <x v="0"/>
    <x v="14"/>
    <x v="16"/>
    <x v="6"/>
    <x v="7"/>
    <n v="7"/>
  </r>
  <r>
    <x v="0"/>
    <x v="1"/>
    <x v="0"/>
    <x v="14"/>
    <x v="16"/>
    <x v="9"/>
    <x v="8"/>
    <n v="5"/>
  </r>
  <r>
    <x v="0"/>
    <x v="1"/>
    <x v="0"/>
    <x v="14"/>
    <x v="16"/>
    <x v="12"/>
    <x v="8"/>
    <n v="1"/>
  </r>
  <r>
    <x v="0"/>
    <x v="1"/>
    <x v="0"/>
    <x v="14"/>
    <x v="18"/>
    <x v="5"/>
    <x v="1"/>
    <n v="1"/>
  </r>
  <r>
    <x v="0"/>
    <x v="1"/>
    <x v="0"/>
    <x v="14"/>
    <x v="18"/>
    <x v="11"/>
    <x v="10"/>
    <n v="1"/>
  </r>
  <r>
    <x v="0"/>
    <x v="1"/>
    <x v="0"/>
    <x v="15"/>
    <x v="1"/>
    <x v="6"/>
    <x v="10"/>
    <n v="7"/>
  </r>
  <r>
    <x v="0"/>
    <x v="1"/>
    <x v="0"/>
    <x v="15"/>
    <x v="1"/>
    <x v="6"/>
    <x v="3"/>
    <n v="1"/>
  </r>
  <r>
    <x v="0"/>
    <x v="1"/>
    <x v="0"/>
    <x v="15"/>
    <x v="1"/>
    <x v="12"/>
    <x v="12"/>
    <n v="7"/>
  </r>
  <r>
    <x v="0"/>
    <x v="1"/>
    <x v="0"/>
    <x v="15"/>
    <x v="1"/>
    <x v="12"/>
    <x v="9"/>
    <n v="1"/>
  </r>
  <r>
    <x v="0"/>
    <x v="1"/>
    <x v="0"/>
    <x v="15"/>
    <x v="1"/>
    <x v="12"/>
    <x v="3"/>
    <n v="1"/>
  </r>
  <r>
    <x v="0"/>
    <x v="0"/>
    <x v="7"/>
    <x v="5"/>
    <x v="3"/>
    <x v="1"/>
    <x v="13"/>
    <n v="1"/>
  </r>
  <r>
    <x v="0"/>
    <x v="0"/>
    <x v="7"/>
    <x v="5"/>
    <x v="3"/>
    <x v="1"/>
    <x v="19"/>
    <n v="2"/>
  </r>
  <r>
    <x v="0"/>
    <x v="0"/>
    <x v="7"/>
    <x v="5"/>
    <x v="3"/>
    <x v="0"/>
    <x v="11"/>
    <n v="1"/>
  </r>
  <r>
    <x v="0"/>
    <x v="0"/>
    <x v="7"/>
    <x v="5"/>
    <x v="6"/>
    <x v="15"/>
    <x v="19"/>
    <n v="1"/>
  </r>
  <r>
    <x v="0"/>
    <x v="0"/>
    <x v="7"/>
    <x v="6"/>
    <x v="2"/>
    <x v="18"/>
    <x v="17"/>
    <n v="5"/>
  </r>
  <r>
    <x v="0"/>
    <x v="0"/>
    <x v="7"/>
    <x v="6"/>
    <x v="2"/>
    <x v="18"/>
    <x v="19"/>
    <n v="23"/>
  </r>
  <r>
    <x v="0"/>
    <x v="0"/>
    <x v="7"/>
    <x v="6"/>
    <x v="2"/>
    <x v="19"/>
    <x v="11"/>
    <n v="2"/>
  </r>
  <r>
    <x v="0"/>
    <x v="0"/>
    <x v="7"/>
    <x v="6"/>
    <x v="2"/>
    <x v="19"/>
    <x v="14"/>
    <n v="2"/>
  </r>
  <r>
    <x v="0"/>
    <x v="0"/>
    <x v="7"/>
    <x v="6"/>
    <x v="2"/>
    <x v="19"/>
    <x v="17"/>
    <n v="10"/>
  </r>
  <r>
    <x v="0"/>
    <x v="0"/>
    <x v="7"/>
    <x v="6"/>
    <x v="2"/>
    <x v="16"/>
    <x v="2"/>
    <n v="2"/>
  </r>
  <r>
    <x v="0"/>
    <x v="0"/>
    <x v="7"/>
    <x v="6"/>
    <x v="2"/>
    <x v="15"/>
    <x v="4"/>
    <n v="1"/>
  </r>
  <r>
    <x v="0"/>
    <x v="0"/>
    <x v="7"/>
    <x v="6"/>
    <x v="2"/>
    <x v="14"/>
    <x v="0"/>
    <n v="1"/>
  </r>
  <r>
    <x v="0"/>
    <x v="0"/>
    <x v="7"/>
    <x v="6"/>
    <x v="15"/>
    <x v="11"/>
    <x v="19"/>
    <n v="4"/>
  </r>
  <r>
    <x v="0"/>
    <x v="0"/>
    <x v="7"/>
    <x v="6"/>
    <x v="15"/>
    <x v="6"/>
    <x v="19"/>
    <n v="6"/>
  </r>
  <r>
    <x v="0"/>
    <x v="0"/>
    <x v="7"/>
    <x v="6"/>
    <x v="15"/>
    <x v="9"/>
    <x v="19"/>
    <n v="8"/>
  </r>
  <r>
    <x v="0"/>
    <x v="0"/>
    <x v="7"/>
    <x v="6"/>
    <x v="15"/>
    <x v="12"/>
    <x v="19"/>
    <n v="6"/>
  </r>
  <r>
    <x v="0"/>
    <x v="0"/>
    <x v="7"/>
    <x v="6"/>
    <x v="15"/>
    <x v="1"/>
    <x v="19"/>
    <n v="9"/>
  </r>
  <r>
    <x v="0"/>
    <x v="0"/>
    <x v="7"/>
    <x v="6"/>
    <x v="15"/>
    <x v="0"/>
    <x v="19"/>
    <n v="30"/>
  </r>
  <r>
    <x v="0"/>
    <x v="0"/>
    <x v="7"/>
    <x v="6"/>
    <x v="11"/>
    <x v="6"/>
    <x v="0"/>
    <n v="1"/>
  </r>
  <r>
    <x v="0"/>
    <x v="0"/>
    <x v="7"/>
    <x v="6"/>
    <x v="11"/>
    <x v="9"/>
    <x v="19"/>
    <n v="1"/>
  </r>
  <r>
    <x v="0"/>
    <x v="0"/>
    <x v="7"/>
    <x v="6"/>
    <x v="11"/>
    <x v="0"/>
    <x v="19"/>
    <n v="1"/>
  </r>
  <r>
    <x v="0"/>
    <x v="0"/>
    <x v="7"/>
    <x v="9"/>
    <x v="13"/>
    <x v="1"/>
    <x v="18"/>
    <n v="1"/>
  </r>
  <r>
    <x v="0"/>
    <x v="0"/>
    <x v="7"/>
    <x v="8"/>
    <x v="13"/>
    <x v="19"/>
    <x v="19"/>
    <n v="1"/>
  </r>
  <r>
    <x v="0"/>
    <x v="0"/>
    <x v="7"/>
    <x v="8"/>
    <x v="13"/>
    <x v="14"/>
    <x v="18"/>
    <n v="1"/>
  </r>
  <r>
    <x v="0"/>
    <x v="0"/>
    <x v="7"/>
    <x v="8"/>
    <x v="13"/>
    <x v="5"/>
    <x v="18"/>
    <n v="1"/>
  </r>
  <r>
    <x v="0"/>
    <x v="0"/>
    <x v="7"/>
    <x v="8"/>
    <x v="13"/>
    <x v="0"/>
    <x v="19"/>
    <n v="1"/>
  </r>
  <r>
    <x v="0"/>
    <x v="0"/>
    <x v="7"/>
    <x v="8"/>
    <x v="7"/>
    <x v="18"/>
    <x v="19"/>
    <n v="7"/>
  </r>
  <r>
    <x v="0"/>
    <x v="0"/>
    <x v="7"/>
    <x v="8"/>
    <x v="10"/>
    <x v="13"/>
    <x v="14"/>
    <n v="1"/>
  </r>
  <r>
    <x v="0"/>
    <x v="0"/>
    <x v="7"/>
    <x v="8"/>
    <x v="10"/>
    <x v="4"/>
    <x v="19"/>
    <n v="1"/>
  </r>
  <r>
    <x v="0"/>
    <x v="0"/>
    <x v="7"/>
    <x v="8"/>
    <x v="10"/>
    <x v="5"/>
    <x v="19"/>
    <n v="1"/>
  </r>
  <r>
    <x v="0"/>
    <x v="0"/>
    <x v="7"/>
    <x v="8"/>
    <x v="10"/>
    <x v="11"/>
    <x v="11"/>
    <n v="2"/>
  </r>
  <r>
    <x v="0"/>
    <x v="0"/>
    <x v="7"/>
    <x v="8"/>
    <x v="10"/>
    <x v="6"/>
    <x v="14"/>
    <n v="2"/>
  </r>
  <r>
    <x v="0"/>
    <x v="0"/>
    <x v="7"/>
    <x v="8"/>
    <x v="10"/>
    <x v="6"/>
    <x v="17"/>
    <n v="1"/>
  </r>
  <r>
    <x v="0"/>
    <x v="0"/>
    <x v="7"/>
    <x v="8"/>
    <x v="10"/>
    <x v="6"/>
    <x v="19"/>
    <n v="3"/>
  </r>
  <r>
    <x v="0"/>
    <x v="0"/>
    <x v="7"/>
    <x v="8"/>
    <x v="10"/>
    <x v="9"/>
    <x v="11"/>
    <n v="2"/>
  </r>
  <r>
    <x v="0"/>
    <x v="0"/>
    <x v="7"/>
    <x v="8"/>
    <x v="10"/>
    <x v="9"/>
    <x v="17"/>
    <n v="1"/>
  </r>
  <r>
    <x v="0"/>
    <x v="0"/>
    <x v="7"/>
    <x v="8"/>
    <x v="10"/>
    <x v="9"/>
    <x v="19"/>
    <n v="1"/>
  </r>
  <r>
    <x v="0"/>
    <x v="0"/>
    <x v="7"/>
    <x v="8"/>
    <x v="10"/>
    <x v="7"/>
    <x v="0"/>
    <n v="1"/>
  </r>
  <r>
    <x v="0"/>
    <x v="0"/>
    <x v="7"/>
    <x v="11"/>
    <x v="7"/>
    <x v="6"/>
    <x v="19"/>
    <n v="1"/>
  </r>
  <r>
    <x v="0"/>
    <x v="0"/>
    <x v="7"/>
    <x v="11"/>
    <x v="7"/>
    <x v="12"/>
    <x v="19"/>
    <n v="3"/>
  </r>
  <r>
    <x v="0"/>
    <x v="0"/>
    <x v="7"/>
    <x v="12"/>
    <x v="12"/>
    <x v="5"/>
    <x v="11"/>
    <n v="1"/>
  </r>
  <r>
    <x v="0"/>
    <x v="0"/>
    <x v="7"/>
    <x v="12"/>
    <x v="1"/>
    <x v="16"/>
    <x v="18"/>
    <n v="1"/>
  </r>
  <r>
    <x v="0"/>
    <x v="0"/>
    <x v="7"/>
    <x v="12"/>
    <x v="1"/>
    <x v="13"/>
    <x v="11"/>
    <n v="1"/>
  </r>
  <r>
    <x v="0"/>
    <x v="0"/>
    <x v="7"/>
    <x v="12"/>
    <x v="1"/>
    <x v="13"/>
    <x v="17"/>
    <n v="1"/>
  </r>
  <r>
    <x v="0"/>
    <x v="0"/>
    <x v="7"/>
    <x v="12"/>
    <x v="1"/>
    <x v="13"/>
    <x v="19"/>
    <n v="2"/>
  </r>
  <r>
    <x v="0"/>
    <x v="0"/>
    <x v="7"/>
    <x v="12"/>
    <x v="1"/>
    <x v="5"/>
    <x v="19"/>
    <n v="1"/>
  </r>
  <r>
    <x v="0"/>
    <x v="0"/>
    <x v="7"/>
    <x v="12"/>
    <x v="6"/>
    <x v="15"/>
    <x v="19"/>
    <n v="1"/>
  </r>
  <r>
    <x v="0"/>
    <x v="0"/>
    <x v="7"/>
    <x v="13"/>
    <x v="6"/>
    <x v="14"/>
    <x v="11"/>
    <n v="1"/>
  </r>
  <r>
    <x v="0"/>
    <x v="0"/>
    <x v="7"/>
    <x v="13"/>
    <x v="6"/>
    <x v="14"/>
    <x v="19"/>
    <n v="2"/>
  </r>
  <r>
    <x v="0"/>
    <x v="0"/>
    <x v="7"/>
    <x v="13"/>
    <x v="6"/>
    <x v="13"/>
    <x v="13"/>
    <n v="1"/>
  </r>
  <r>
    <x v="0"/>
    <x v="0"/>
    <x v="7"/>
    <x v="13"/>
    <x v="6"/>
    <x v="13"/>
    <x v="11"/>
    <n v="1"/>
  </r>
  <r>
    <x v="0"/>
    <x v="0"/>
    <x v="7"/>
    <x v="13"/>
    <x v="6"/>
    <x v="13"/>
    <x v="17"/>
    <n v="1"/>
  </r>
  <r>
    <x v="0"/>
    <x v="0"/>
    <x v="7"/>
    <x v="13"/>
    <x v="6"/>
    <x v="13"/>
    <x v="19"/>
    <n v="2"/>
  </r>
  <r>
    <x v="0"/>
    <x v="0"/>
    <x v="7"/>
    <x v="13"/>
    <x v="6"/>
    <x v="2"/>
    <x v="19"/>
    <n v="10"/>
  </r>
  <r>
    <x v="0"/>
    <x v="0"/>
    <x v="7"/>
    <x v="13"/>
    <x v="6"/>
    <x v="10"/>
    <x v="17"/>
    <n v="1"/>
  </r>
  <r>
    <x v="0"/>
    <x v="0"/>
    <x v="7"/>
    <x v="13"/>
    <x v="6"/>
    <x v="10"/>
    <x v="19"/>
    <n v="7"/>
  </r>
  <r>
    <x v="0"/>
    <x v="0"/>
    <x v="7"/>
    <x v="13"/>
    <x v="6"/>
    <x v="3"/>
    <x v="17"/>
    <n v="2"/>
  </r>
  <r>
    <x v="0"/>
    <x v="0"/>
    <x v="7"/>
    <x v="13"/>
    <x v="6"/>
    <x v="3"/>
    <x v="19"/>
    <n v="19"/>
  </r>
  <r>
    <x v="0"/>
    <x v="0"/>
    <x v="7"/>
    <x v="13"/>
    <x v="6"/>
    <x v="4"/>
    <x v="17"/>
    <n v="1"/>
  </r>
  <r>
    <x v="0"/>
    <x v="0"/>
    <x v="7"/>
    <x v="13"/>
    <x v="6"/>
    <x v="4"/>
    <x v="19"/>
    <n v="13"/>
  </r>
  <r>
    <x v="0"/>
    <x v="0"/>
    <x v="7"/>
    <x v="13"/>
    <x v="6"/>
    <x v="5"/>
    <x v="19"/>
    <n v="10"/>
  </r>
  <r>
    <x v="0"/>
    <x v="0"/>
    <x v="7"/>
    <x v="13"/>
    <x v="6"/>
    <x v="11"/>
    <x v="19"/>
    <n v="10"/>
  </r>
  <r>
    <x v="0"/>
    <x v="0"/>
    <x v="7"/>
    <x v="13"/>
    <x v="17"/>
    <x v="16"/>
    <x v="14"/>
    <n v="10"/>
  </r>
  <r>
    <x v="0"/>
    <x v="0"/>
    <x v="7"/>
    <x v="13"/>
    <x v="17"/>
    <x v="16"/>
    <x v="17"/>
    <n v="19"/>
  </r>
  <r>
    <x v="0"/>
    <x v="0"/>
    <x v="7"/>
    <x v="13"/>
    <x v="17"/>
    <x v="16"/>
    <x v="19"/>
    <n v="451"/>
  </r>
  <r>
    <x v="0"/>
    <x v="0"/>
    <x v="7"/>
    <x v="13"/>
    <x v="17"/>
    <x v="15"/>
    <x v="13"/>
    <n v="13"/>
  </r>
  <r>
    <x v="0"/>
    <x v="0"/>
    <x v="7"/>
    <x v="13"/>
    <x v="17"/>
    <x v="15"/>
    <x v="11"/>
    <n v="17"/>
  </r>
  <r>
    <x v="0"/>
    <x v="0"/>
    <x v="7"/>
    <x v="13"/>
    <x v="17"/>
    <x v="15"/>
    <x v="14"/>
    <n v="16"/>
  </r>
  <r>
    <x v="0"/>
    <x v="0"/>
    <x v="7"/>
    <x v="13"/>
    <x v="17"/>
    <x v="15"/>
    <x v="17"/>
    <n v="25"/>
  </r>
  <r>
    <x v="0"/>
    <x v="0"/>
    <x v="7"/>
    <x v="13"/>
    <x v="17"/>
    <x v="15"/>
    <x v="19"/>
    <n v="216"/>
  </r>
  <r>
    <x v="0"/>
    <x v="0"/>
    <x v="7"/>
    <x v="13"/>
    <x v="17"/>
    <x v="14"/>
    <x v="2"/>
    <n v="5"/>
  </r>
  <r>
    <x v="0"/>
    <x v="0"/>
    <x v="7"/>
    <x v="13"/>
    <x v="17"/>
    <x v="14"/>
    <x v="13"/>
    <n v="6"/>
  </r>
  <r>
    <x v="0"/>
    <x v="0"/>
    <x v="7"/>
    <x v="13"/>
    <x v="17"/>
    <x v="14"/>
    <x v="11"/>
    <n v="12"/>
  </r>
  <r>
    <x v="0"/>
    <x v="0"/>
    <x v="7"/>
    <x v="13"/>
    <x v="17"/>
    <x v="14"/>
    <x v="14"/>
    <n v="9"/>
  </r>
  <r>
    <x v="0"/>
    <x v="0"/>
    <x v="7"/>
    <x v="13"/>
    <x v="17"/>
    <x v="14"/>
    <x v="17"/>
    <n v="16"/>
  </r>
  <r>
    <x v="0"/>
    <x v="0"/>
    <x v="7"/>
    <x v="13"/>
    <x v="17"/>
    <x v="14"/>
    <x v="19"/>
    <n v="126"/>
  </r>
  <r>
    <x v="0"/>
    <x v="0"/>
    <x v="7"/>
    <x v="13"/>
    <x v="17"/>
    <x v="13"/>
    <x v="4"/>
    <n v="1"/>
  </r>
  <r>
    <x v="0"/>
    <x v="0"/>
    <x v="7"/>
    <x v="13"/>
    <x v="17"/>
    <x v="13"/>
    <x v="5"/>
    <n v="1"/>
  </r>
  <r>
    <x v="0"/>
    <x v="0"/>
    <x v="7"/>
    <x v="13"/>
    <x v="17"/>
    <x v="13"/>
    <x v="2"/>
    <n v="1"/>
  </r>
  <r>
    <x v="0"/>
    <x v="0"/>
    <x v="7"/>
    <x v="13"/>
    <x v="17"/>
    <x v="13"/>
    <x v="13"/>
    <n v="5"/>
  </r>
  <r>
    <x v="0"/>
    <x v="0"/>
    <x v="7"/>
    <x v="13"/>
    <x v="17"/>
    <x v="13"/>
    <x v="11"/>
    <n v="3"/>
  </r>
  <r>
    <x v="0"/>
    <x v="0"/>
    <x v="7"/>
    <x v="13"/>
    <x v="17"/>
    <x v="13"/>
    <x v="14"/>
    <n v="12"/>
  </r>
  <r>
    <x v="0"/>
    <x v="0"/>
    <x v="7"/>
    <x v="13"/>
    <x v="17"/>
    <x v="13"/>
    <x v="18"/>
    <n v="7"/>
  </r>
  <r>
    <x v="0"/>
    <x v="0"/>
    <x v="7"/>
    <x v="13"/>
    <x v="17"/>
    <x v="2"/>
    <x v="11"/>
    <n v="7"/>
  </r>
  <r>
    <x v="0"/>
    <x v="0"/>
    <x v="7"/>
    <x v="13"/>
    <x v="17"/>
    <x v="2"/>
    <x v="14"/>
    <n v="1"/>
  </r>
  <r>
    <x v="0"/>
    <x v="0"/>
    <x v="7"/>
    <x v="13"/>
    <x v="17"/>
    <x v="2"/>
    <x v="17"/>
    <n v="2"/>
  </r>
  <r>
    <x v="0"/>
    <x v="0"/>
    <x v="7"/>
    <x v="13"/>
    <x v="17"/>
    <x v="2"/>
    <x v="19"/>
    <n v="17"/>
  </r>
  <r>
    <x v="0"/>
    <x v="0"/>
    <x v="7"/>
    <x v="13"/>
    <x v="17"/>
    <x v="10"/>
    <x v="13"/>
    <n v="1"/>
  </r>
  <r>
    <x v="0"/>
    <x v="0"/>
    <x v="7"/>
    <x v="13"/>
    <x v="17"/>
    <x v="10"/>
    <x v="14"/>
    <n v="5"/>
  </r>
  <r>
    <x v="0"/>
    <x v="0"/>
    <x v="7"/>
    <x v="13"/>
    <x v="17"/>
    <x v="10"/>
    <x v="17"/>
    <n v="1"/>
  </r>
  <r>
    <x v="0"/>
    <x v="0"/>
    <x v="7"/>
    <x v="13"/>
    <x v="17"/>
    <x v="10"/>
    <x v="19"/>
    <n v="24"/>
  </r>
  <r>
    <x v="0"/>
    <x v="0"/>
    <x v="7"/>
    <x v="13"/>
    <x v="17"/>
    <x v="3"/>
    <x v="11"/>
    <n v="2"/>
  </r>
  <r>
    <x v="0"/>
    <x v="0"/>
    <x v="7"/>
    <x v="13"/>
    <x v="17"/>
    <x v="3"/>
    <x v="14"/>
    <n v="1"/>
  </r>
  <r>
    <x v="0"/>
    <x v="0"/>
    <x v="7"/>
    <x v="13"/>
    <x v="17"/>
    <x v="3"/>
    <x v="17"/>
    <n v="5"/>
  </r>
  <r>
    <x v="0"/>
    <x v="0"/>
    <x v="7"/>
    <x v="13"/>
    <x v="17"/>
    <x v="3"/>
    <x v="19"/>
    <n v="9"/>
  </r>
  <r>
    <x v="0"/>
    <x v="0"/>
    <x v="7"/>
    <x v="13"/>
    <x v="17"/>
    <x v="4"/>
    <x v="13"/>
    <n v="2"/>
  </r>
  <r>
    <x v="0"/>
    <x v="0"/>
    <x v="7"/>
    <x v="13"/>
    <x v="17"/>
    <x v="4"/>
    <x v="11"/>
    <n v="1"/>
  </r>
  <r>
    <x v="0"/>
    <x v="0"/>
    <x v="7"/>
    <x v="13"/>
    <x v="17"/>
    <x v="4"/>
    <x v="14"/>
    <n v="2"/>
  </r>
  <r>
    <x v="0"/>
    <x v="0"/>
    <x v="7"/>
    <x v="13"/>
    <x v="17"/>
    <x v="4"/>
    <x v="17"/>
    <n v="3"/>
  </r>
  <r>
    <x v="0"/>
    <x v="0"/>
    <x v="7"/>
    <x v="13"/>
    <x v="17"/>
    <x v="5"/>
    <x v="14"/>
    <n v="2"/>
  </r>
  <r>
    <x v="0"/>
    <x v="0"/>
    <x v="7"/>
    <x v="14"/>
    <x v="16"/>
    <x v="13"/>
    <x v="11"/>
    <n v="2"/>
  </r>
  <r>
    <x v="0"/>
    <x v="0"/>
    <x v="7"/>
    <x v="14"/>
    <x v="16"/>
    <x v="13"/>
    <x v="14"/>
    <n v="1"/>
  </r>
  <r>
    <x v="0"/>
    <x v="0"/>
    <x v="7"/>
    <x v="18"/>
    <x v="8"/>
    <x v="4"/>
    <x v="19"/>
    <n v="1"/>
  </r>
  <r>
    <x v="0"/>
    <x v="0"/>
    <x v="7"/>
    <x v="18"/>
    <x v="8"/>
    <x v="12"/>
    <x v="14"/>
    <n v="1"/>
  </r>
  <r>
    <x v="0"/>
    <x v="0"/>
    <x v="7"/>
    <x v="17"/>
    <x v="12"/>
    <x v="5"/>
    <x v="19"/>
    <n v="1"/>
  </r>
  <r>
    <x v="0"/>
    <x v="0"/>
    <x v="7"/>
    <x v="17"/>
    <x v="7"/>
    <x v="0"/>
    <x v="19"/>
    <n v="1"/>
  </r>
  <r>
    <x v="0"/>
    <x v="0"/>
    <x v="7"/>
    <x v="17"/>
    <x v="9"/>
    <x v="14"/>
    <x v="19"/>
    <n v="67"/>
  </r>
  <r>
    <x v="0"/>
    <x v="0"/>
    <x v="7"/>
    <x v="17"/>
    <x v="9"/>
    <x v="13"/>
    <x v="17"/>
    <n v="1"/>
  </r>
  <r>
    <x v="0"/>
    <x v="0"/>
    <x v="7"/>
    <x v="17"/>
    <x v="9"/>
    <x v="13"/>
    <x v="19"/>
    <n v="54"/>
  </r>
  <r>
    <x v="0"/>
    <x v="0"/>
    <x v="7"/>
    <x v="17"/>
    <x v="9"/>
    <x v="2"/>
    <x v="18"/>
    <n v="1"/>
  </r>
  <r>
    <x v="0"/>
    <x v="0"/>
    <x v="7"/>
    <x v="17"/>
    <x v="9"/>
    <x v="10"/>
    <x v="18"/>
    <n v="1"/>
  </r>
  <r>
    <x v="0"/>
    <x v="0"/>
    <x v="7"/>
    <x v="17"/>
    <x v="9"/>
    <x v="12"/>
    <x v="19"/>
    <n v="8"/>
  </r>
  <r>
    <x v="0"/>
    <x v="0"/>
    <x v="7"/>
    <x v="17"/>
    <x v="9"/>
    <x v="1"/>
    <x v="19"/>
    <n v="1"/>
  </r>
  <r>
    <x v="0"/>
    <x v="0"/>
    <x v="7"/>
    <x v="17"/>
    <x v="9"/>
    <x v="0"/>
    <x v="19"/>
    <n v="2"/>
  </r>
  <r>
    <x v="0"/>
    <x v="0"/>
    <x v="7"/>
    <x v="19"/>
    <x v="14"/>
    <x v="5"/>
    <x v="14"/>
    <n v="1"/>
  </r>
  <r>
    <x v="0"/>
    <x v="0"/>
    <x v="7"/>
    <x v="19"/>
    <x v="14"/>
    <x v="5"/>
    <x v="17"/>
    <n v="1"/>
  </r>
  <r>
    <x v="0"/>
    <x v="0"/>
    <x v="7"/>
    <x v="19"/>
    <x v="14"/>
    <x v="5"/>
    <x v="19"/>
    <n v="1"/>
  </r>
  <r>
    <x v="0"/>
    <x v="0"/>
    <x v="7"/>
    <x v="19"/>
    <x v="7"/>
    <x v="17"/>
    <x v="18"/>
    <n v="1"/>
  </r>
  <r>
    <x v="0"/>
    <x v="0"/>
    <x v="7"/>
    <x v="19"/>
    <x v="7"/>
    <x v="18"/>
    <x v="0"/>
    <n v="5"/>
  </r>
  <r>
    <x v="0"/>
    <x v="0"/>
    <x v="7"/>
    <x v="19"/>
    <x v="7"/>
    <x v="16"/>
    <x v="14"/>
    <n v="17"/>
  </r>
  <r>
    <x v="0"/>
    <x v="0"/>
    <x v="7"/>
    <x v="19"/>
    <x v="7"/>
    <x v="16"/>
    <x v="17"/>
    <n v="3"/>
  </r>
  <r>
    <x v="0"/>
    <x v="0"/>
    <x v="7"/>
    <x v="19"/>
    <x v="7"/>
    <x v="16"/>
    <x v="19"/>
    <n v="3"/>
  </r>
  <r>
    <x v="0"/>
    <x v="0"/>
    <x v="7"/>
    <x v="19"/>
    <x v="7"/>
    <x v="15"/>
    <x v="13"/>
    <n v="13"/>
  </r>
  <r>
    <x v="0"/>
    <x v="0"/>
    <x v="7"/>
    <x v="19"/>
    <x v="7"/>
    <x v="15"/>
    <x v="11"/>
    <n v="6"/>
  </r>
  <r>
    <x v="0"/>
    <x v="0"/>
    <x v="7"/>
    <x v="19"/>
    <x v="7"/>
    <x v="15"/>
    <x v="14"/>
    <n v="7"/>
  </r>
  <r>
    <x v="0"/>
    <x v="0"/>
    <x v="7"/>
    <x v="19"/>
    <x v="7"/>
    <x v="15"/>
    <x v="17"/>
    <n v="2"/>
  </r>
  <r>
    <x v="0"/>
    <x v="0"/>
    <x v="7"/>
    <x v="19"/>
    <x v="7"/>
    <x v="14"/>
    <x v="5"/>
    <n v="12"/>
  </r>
  <r>
    <x v="0"/>
    <x v="0"/>
    <x v="7"/>
    <x v="19"/>
    <x v="7"/>
    <x v="14"/>
    <x v="2"/>
    <n v="4"/>
  </r>
  <r>
    <x v="0"/>
    <x v="0"/>
    <x v="7"/>
    <x v="19"/>
    <x v="7"/>
    <x v="14"/>
    <x v="13"/>
    <n v="4"/>
  </r>
  <r>
    <x v="0"/>
    <x v="0"/>
    <x v="7"/>
    <x v="19"/>
    <x v="7"/>
    <x v="14"/>
    <x v="11"/>
    <n v="3"/>
  </r>
  <r>
    <x v="0"/>
    <x v="0"/>
    <x v="7"/>
    <x v="19"/>
    <x v="7"/>
    <x v="14"/>
    <x v="14"/>
    <n v="4"/>
  </r>
  <r>
    <x v="0"/>
    <x v="0"/>
    <x v="7"/>
    <x v="19"/>
    <x v="7"/>
    <x v="14"/>
    <x v="17"/>
    <n v="1"/>
  </r>
  <r>
    <x v="0"/>
    <x v="0"/>
    <x v="7"/>
    <x v="19"/>
    <x v="7"/>
    <x v="13"/>
    <x v="4"/>
    <n v="2"/>
  </r>
  <r>
    <x v="0"/>
    <x v="0"/>
    <x v="7"/>
    <x v="19"/>
    <x v="7"/>
    <x v="13"/>
    <x v="5"/>
    <n v="5"/>
  </r>
  <r>
    <x v="0"/>
    <x v="0"/>
    <x v="7"/>
    <x v="19"/>
    <x v="7"/>
    <x v="13"/>
    <x v="2"/>
    <n v="2"/>
  </r>
  <r>
    <x v="0"/>
    <x v="0"/>
    <x v="7"/>
    <x v="19"/>
    <x v="7"/>
    <x v="13"/>
    <x v="13"/>
    <n v="4"/>
  </r>
  <r>
    <x v="0"/>
    <x v="0"/>
    <x v="7"/>
    <x v="19"/>
    <x v="7"/>
    <x v="13"/>
    <x v="11"/>
    <n v="1"/>
  </r>
  <r>
    <x v="0"/>
    <x v="0"/>
    <x v="7"/>
    <x v="19"/>
    <x v="7"/>
    <x v="13"/>
    <x v="14"/>
    <n v="3"/>
  </r>
  <r>
    <x v="0"/>
    <x v="0"/>
    <x v="7"/>
    <x v="19"/>
    <x v="7"/>
    <x v="2"/>
    <x v="11"/>
    <n v="3"/>
  </r>
  <r>
    <x v="0"/>
    <x v="0"/>
    <x v="7"/>
    <x v="19"/>
    <x v="7"/>
    <x v="2"/>
    <x v="17"/>
    <n v="1"/>
  </r>
  <r>
    <x v="0"/>
    <x v="0"/>
    <x v="7"/>
    <x v="19"/>
    <x v="7"/>
    <x v="10"/>
    <x v="13"/>
    <n v="1"/>
  </r>
  <r>
    <x v="0"/>
    <x v="0"/>
    <x v="7"/>
    <x v="19"/>
    <x v="7"/>
    <x v="10"/>
    <x v="14"/>
    <n v="1"/>
  </r>
  <r>
    <x v="0"/>
    <x v="0"/>
    <x v="7"/>
    <x v="19"/>
    <x v="7"/>
    <x v="3"/>
    <x v="2"/>
    <n v="1"/>
  </r>
  <r>
    <x v="0"/>
    <x v="0"/>
    <x v="7"/>
    <x v="19"/>
    <x v="7"/>
    <x v="3"/>
    <x v="13"/>
    <n v="1"/>
  </r>
  <r>
    <x v="0"/>
    <x v="0"/>
    <x v="7"/>
    <x v="19"/>
    <x v="7"/>
    <x v="3"/>
    <x v="11"/>
    <n v="2"/>
  </r>
  <r>
    <x v="0"/>
    <x v="0"/>
    <x v="7"/>
    <x v="19"/>
    <x v="7"/>
    <x v="4"/>
    <x v="11"/>
    <n v="1"/>
  </r>
  <r>
    <x v="0"/>
    <x v="0"/>
    <x v="7"/>
    <x v="19"/>
    <x v="7"/>
    <x v="5"/>
    <x v="14"/>
    <n v="2"/>
  </r>
  <r>
    <x v="0"/>
    <x v="1"/>
    <x v="0"/>
    <x v="0"/>
    <x v="1"/>
    <x v="11"/>
    <x v="7"/>
    <n v="1"/>
  </r>
  <r>
    <x v="0"/>
    <x v="1"/>
    <x v="0"/>
    <x v="0"/>
    <x v="1"/>
    <x v="11"/>
    <x v="6"/>
    <n v="1"/>
  </r>
  <r>
    <x v="0"/>
    <x v="1"/>
    <x v="0"/>
    <x v="0"/>
    <x v="1"/>
    <x v="6"/>
    <x v="7"/>
    <n v="5"/>
  </r>
  <r>
    <x v="0"/>
    <x v="1"/>
    <x v="0"/>
    <x v="0"/>
    <x v="1"/>
    <x v="9"/>
    <x v="7"/>
    <n v="10"/>
  </r>
  <r>
    <x v="0"/>
    <x v="1"/>
    <x v="0"/>
    <x v="0"/>
    <x v="1"/>
    <x v="9"/>
    <x v="6"/>
    <n v="1"/>
  </r>
  <r>
    <x v="0"/>
    <x v="1"/>
    <x v="0"/>
    <x v="0"/>
    <x v="1"/>
    <x v="12"/>
    <x v="7"/>
    <n v="33"/>
  </r>
  <r>
    <x v="0"/>
    <x v="1"/>
    <x v="0"/>
    <x v="0"/>
    <x v="1"/>
    <x v="12"/>
    <x v="6"/>
    <n v="3"/>
  </r>
  <r>
    <x v="0"/>
    <x v="1"/>
    <x v="0"/>
    <x v="0"/>
    <x v="1"/>
    <x v="7"/>
    <x v="10"/>
    <n v="2"/>
  </r>
  <r>
    <x v="0"/>
    <x v="1"/>
    <x v="0"/>
    <x v="0"/>
    <x v="1"/>
    <x v="7"/>
    <x v="1"/>
    <n v="1"/>
  </r>
  <r>
    <x v="0"/>
    <x v="1"/>
    <x v="0"/>
    <x v="0"/>
    <x v="1"/>
    <x v="1"/>
    <x v="7"/>
    <n v="17"/>
  </r>
  <r>
    <x v="0"/>
    <x v="1"/>
    <x v="0"/>
    <x v="0"/>
    <x v="1"/>
    <x v="8"/>
    <x v="6"/>
    <n v="15"/>
  </r>
  <r>
    <x v="0"/>
    <x v="1"/>
    <x v="0"/>
    <x v="0"/>
    <x v="1"/>
    <x v="8"/>
    <x v="10"/>
    <n v="3"/>
  </r>
  <r>
    <x v="0"/>
    <x v="1"/>
    <x v="0"/>
    <x v="0"/>
    <x v="1"/>
    <x v="8"/>
    <x v="1"/>
    <n v="1"/>
  </r>
  <r>
    <x v="0"/>
    <x v="1"/>
    <x v="0"/>
    <x v="0"/>
    <x v="19"/>
    <x v="5"/>
    <x v="8"/>
    <n v="2"/>
  </r>
  <r>
    <x v="0"/>
    <x v="1"/>
    <x v="0"/>
    <x v="1"/>
    <x v="2"/>
    <x v="11"/>
    <x v="1"/>
    <n v="1"/>
  </r>
  <r>
    <x v="0"/>
    <x v="1"/>
    <x v="0"/>
    <x v="1"/>
    <x v="2"/>
    <x v="9"/>
    <x v="10"/>
    <n v="1"/>
  </r>
  <r>
    <x v="0"/>
    <x v="1"/>
    <x v="0"/>
    <x v="1"/>
    <x v="2"/>
    <x v="12"/>
    <x v="10"/>
    <n v="2"/>
  </r>
  <r>
    <x v="0"/>
    <x v="1"/>
    <x v="0"/>
    <x v="1"/>
    <x v="2"/>
    <x v="7"/>
    <x v="7"/>
    <n v="1"/>
  </r>
  <r>
    <x v="0"/>
    <x v="1"/>
    <x v="0"/>
    <x v="1"/>
    <x v="1"/>
    <x v="9"/>
    <x v="7"/>
    <n v="1"/>
  </r>
  <r>
    <x v="0"/>
    <x v="1"/>
    <x v="0"/>
    <x v="1"/>
    <x v="1"/>
    <x v="8"/>
    <x v="1"/>
    <n v="1"/>
  </r>
  <r>
    <x v="0"/>
    <x v="1"/>
    <x v="0"/>
    <x v="1"/>
    <x v="3"/>
    <x v="13"/>
    <x v="6"/>
    <n v="2"/>
  </r>
  <r>
    <x v="0"/>
    <x v="1"/>
    <x v="0"/>
    <x v="1"/>
    <x v="3"/>
    <x v="2"/>
    <x v="5"/>
    <n v="1"/>
  </r>
  <r>
    <x v="0"/>
    <x v="1"/>
    <x v="0"/>
    <x v="1"/>
    <x v="3"/>
    <x v="10"/>
    <x v="1"/>
    <n v="1"/>
  </r>
  <r>
    <x v="0"/>
    <x v="1"/>
    <x v="0"/>
    <x v="1"/>
    <x v="3"/>
    <x v="10"/>
    <x v="2"/>
    <n v="1"/>
  </r>
  <r>
    <x v="0"/>
    <x v="1"/>
    <x v="0"/>
    <x v="1"/>
    <x v="3"/>
    <x v="3"/>
    <x v="10"/>
    <n v="11"/>
  </r>
  <r>
    <x v="0"/>
    <x v="1"/>
    <x v="0"/>
    <x v="1"/>
    <x v="3"/>
    <x v="3"/>
    <x v="1"/>
    <n v="1"/>
  </r>
  <r>
    <x v="0"/>
    <x v="1"/>
    <x v="0"/>
    <x v="1"/>
    <x v="3"/>
    <x v="3"/>
    <x v="9"/>
    <n v="2"/>
  </r>
  <r>
    <x v="0"/>
    <x v="1"/>
    <x v="0"/>
    <x v="1"/>
    <x v="3"/>
    <x v="3"/>
    <x v="5"/>
    <n v="2"/>
  </r>
  <r>
    <x v="0"/>
    <x v="1"/>
    <x v="0"/>
    <x v="1"/>
    <x v="3"/>
    <x v="4"/>
    <x v="10"/>
    <n v="8"/>
  </r>
  <r>
    <x v="0"/>
    <x v="1"/>
    <x v="0"/>
    <x v="1"/>
    <x v="3"/>
    <x v="4"/>
    <x v="1"/>
    <n v="1"/>
  </r>
  <r>
    <x v="0"/>
    <x v="1"/>
    <x v="0"/>
    <x v="1"/>
    <x v="3"/>
    <x v="4"/>
    <x v="12"/>
    <n v="1"/>
  </r>
  <r>
    <x v="0"/>
    <x v="1"/>
    <x v="0"/>
    <x v="1"/>
    <x v="3"/>
    <x v="4"/>
    <x v="4"/>
    <n v="1"/>
  </r>
  <r>
    <x v="0"/>
    <x v="1"/>
    <x v="0"/>
    <x v="1"/>
    <x v="3"/>
    <x v="5"/>
    <x v="6"/>
    <n v="3"/>
  </r>
  <r>
    <x v="0"/>
    <x v="1"/>
    <x v="0"/>
    <x v="1"/>
    <x v="3"/>
    <x v="5"/>
    <x v="10"/>
    <n v="2"/>
  </r>
  <r>
    <x v="0"/>
    <x v="1"/>
    <x v="0"/>
    <x v="1"/>
    <x v="3"/>
    <x v="5"/>
    <x v="1"/>
    <n v="1"/>
  </r>
  <r>
    <x v="0"/>
    <x v="1"/>
    <x v="0"/>
    <x v="1"/>
    <x v="3"/>
    <x v="5"/>
    <x v="12"/>
    <n v="2"/>
  </r>
  <r>
    <x v="0"/>
    <x v="1"/>
    <x v="0"/>
    <x v="1"/>
    <x v="3"/>
    <x v="5"/>
    <x v="9"/>
    <n v="1"/>
  </r>
  <r>
    <x v="0"/>
    <x v="1"/>
    <x v="0"/>
    <x v="1"/>
    <x v="3"/>
    <x v="11"/>
    <x v="6"/>
    <n v="2"/>
  </r>
  <r>
    <x v="0"/>
    <x v="1"/>
    <x v="0"/>
    <x v="1"/>
    <x v="3"/>
    <x v="11"/>
    <x v="10"/>
    <n v="6"/>
  </r>
  <r>
    <x v="0"/>
    <x v="1"/>
    <x v="0"/>
    <x v="1"/>
    <x v="3"/>
    <x v="11"/>
    <x v="9"/>
    <n v="1"/>
  </r>
  <r>
    <x v="0"/>
    <x v="1"/>
    <x v="0"/>
    <x v="1"/>
    <x v="3"/>
    <x v="6"/>
    <x v="10"/>
    <n v="1"/>
  </r>
  <r>
    <x v="0"/>
    <x v="1"/>
    <x v="0"/>
    <x v="1"/>
    <x v="3"/>
    <x v="6"/>
    <x v="3"/>
    <n v="1"/>
  </r>
  <r>
    <x v="0"/>
    <x v="1"/>
    <x v="0"/>
    <x v="2"/>
    <x v="0"/>
    <x v="11"/>
    <x v="13"/>
    <n v="1"/>
  </r>
  <r>
    <x v="0"/>
    <x v="1"/>
    <x v="0"/>
    <x v="2"/>
    <x v="0"/>
    <x v="11"/>
    <x v="11"/>
    <n v="1"/>
  </r>
  <r>
    <x v="0"/>
    <x v="1"/>
    <x v="0"/>
    <x v="2"/>
    <x v="0"/>
    <x v="6"/>
    <x v="2"/>
    <n v="3"/>
  </r>
  <r>
    <x v="0"/>
    <x v="1"/>
    <x v="0"/>
    <x v="2"/>
    <x v="0"/>
    <x v="6"/>
    <x v="11"/>
    <n v="1"/>
  </r>
  <r>
    <x v="0"/>
    <x v="1"/>
    <x v="0"/>
    <x v="2"/>
    <x v="0"/>
    <x v="9"/>
    <x v="1"/>
    <n v="1"/>
  </r>
  <r>
    <x v="0"/>
    <x v="1"/>
    <x v="0"/>
    <x v="2"/>
    <x v="0"/>
    <x v="9"/>
    <x v="2"/>
    <n v="3"/>
  </r>
  <r>
    <x v="0"/>
    <x v="1"/>
    <x v="0"/>
    <x v="2"/>
    <x v="0"/>
    <x v="12"/>
    <x v="1"/>
    <n v="1"/>
  </r>
  <r>
    <x v="0"/>
    <x v="1"/>
    <x v="0"/>
    <x v="2"/>
    <x v="0"/>
    <x v="12"/>
    <x v="13"/>
    <n v="1"/>
  </r>
  <r>
    <x v="0"/>
    <x v="1"/>
    <x v="0"/>
    <x v="2"/>
    <x v="0"/>
    <x v="7"/>
    <x v="12"/>
    <n v="2"/>
  </r>
  <r>
    <x v="0"/>
    <x v="1"/>
    <x v="0"/>
    <x v="2"/>
    <x v="0"/>
    <x v="7"/>
    <x v="9"/>
    <n v="1"/>
  </r>
  <r>
    <x v="0"/>
    <x v="1"/>
    <x v="0"/>
    <x v="2"/>
    <x v="0"/>
    <x v="1"/>
    <x v="10"/>
    <n v="4"/>
  </r>
  <r>
    <x v="0"/>
    <x v="1"/>
    <x v="0"/>
    <x v="2"/>
    <x v="0"/>
    <x v="1"/>
    <x v="1"/>
    <n v="2"/>
  </r>
  <r>
    <x v="0"/>
    <x v="1"/>
    <x v="0"/>
    <x v="2"/>
    <x v="0"/>
    <x v="1"/>
    <x v="4"/>
    <n v="1"/>
  </r>
  <r>
    <x v="0"/>
    <x v="1"/>
    <x v="0"/>
    <x v="2"/>
    <x v="0"/>
    <x v="1"/>
    <x v="5"/>
    <n v="1"/>
  </r>
  <r>
    <x v="0"/>
    <x v="1"/>
    <x v="0"/>
    <x v="2"/>
    <x v="0"/>
    <x v="1"/>
    <x v="2"/>
    <n v="1"/>
  </r>
  <r>
    <x v="0"/>
    <x v="1"/>
    <x v="0"/>
    <x v="2"/>
    <x v="0"/>
    <x v="8"/>
    <x v="12"/>
    <n v="1"/>
  </r>
  <r>
    <x v="0"/>
    <x v="1"/>
    <x v="0"/>
    <x v="2"/>
    <x v="0"/>
    <x v="0"/>
    <x v="1"/>
    <n v="7"/>
  </r>
  <r>
    <x v="0"/>
    <x v="1"/>
    <x v="0"/>
    <x v="2"/>
    <x v="0"/>
    <x v="0"/>
    <x v="2"/>
    <n v="1"/>
  </r>
  <r>
    <x v="0"/>
    <x v="1"/>
    <x v="0"/>
    <x v="2"/>
    <x v="4"/>
    <x v="1"/>
    <x v="12"/>
    <n v="1"/>
  </r>
  <r>
    <x v="0"/>
    <x v="1"/>
    <x v="0"/>
    <x v="2"/>
    <x v="5"/>
    <x v="7"/>
    <x v="6"/>
    <n v="1"/>
  </r>
  <r>
    <x v="0"/>
    <x v="1"/>
    <x v="0"/>
    <x v="2"/>
    <x v="5"/>
    <x v="8"/>
    <x v="6"/>
    <n v="1"/>
  </r>
  <r>
    <x v="0"/>
    <x v="1"/>
    <x v="0"/>
    <x v="2"/>
    <x v="6"/>
    <x v="6"/>
    <x v="8"/>
    <n v="8"/>
  </r>
  <r>
    <x v="0"/>
    <x v="1"/>
    <x v="0"/>
    <x v="2"/>
    <x v="6"/>
    <x v="9"/>
    <x v="8"/>
    <n v="10"/>
  </r>
  <r>
    <x v="0"/>
    <x v="1"/>
    <x v="0"/>
    <x v="2"/>
    <x v="6"/>
    <x v="7"/>
    <x v="7"/>
    <n v="10"/>
  </r>
  <r>
    <x v="0"/>
    <x v="1"/>
    <x v="0"/>
    <x v="2"/>
    <x v="6"/>
    <x v="7"/>
    <x v="6"/>
    <n v="28"/>
  </r>
  <r>
    <x v="0"/>
    <x v="1"/>
    <x v="0"/>
    <x v="2"/>
    <x v="6"/>
    <x v="7"/>
    <x v="10"/>
    <n v="1"/>
  </r>
  <r>
    <x v="0"/>
    <x v="1"/>
    <x v="0"/>
    <x v="2"/>
    <x v="6"/>
    <x v="8"/>
    <x v="6"/>
    <n v="3"/>
  </r>
  <r>
    <x v="0"/>
    <x v="1"/>
    <x v="0"/>
    <x v="2"/>
    <x v="6"/>
    <x v="8"/>
    <x v="10"/>
    <n v="4"/>
  </r>
  <r>
    <x v="0"/>
    <x v="1"/>
    <x v="0"/>
    <x v="3"/>
    <x v="1"/>
    <x v="0"/>
    <x v="1"/>
    <n v="7"/>
  </r>
  <r>
    <x v="0"/>
    <x v="1"/>
    <x v="0"/>
    <x v="4"/>
    <x v="8"/>
    <x v="13"/>
    <x v="15"/>
    <n v="3"/>
  </r>
  <r>
    <x v="0"/>
    <x v="1"/>
    <x v="0"/>
    <x v="4"/>
    <x v="8"/>
    <x v="2"/>
    <x v="7"/>
    <n v="27"/>
  </r>
  <r>
    <x v="0"/>
    <x v="1"/>
    <x v="0"/>
    <x v="4"/>
    <x v="8"/>
    <x v="2"/>
    <x v="12"/>
    <n v="1"/>
  </r>
  <r>
    <x v="0"/>
    <x v="1"/>
    <x v="0"/>
    <x v="4"/>
    <x v="8"/>
    <x v="10"/>
    <x v="8"/>
    <n v="57"/>
  </r>
  <r>
    <x v="0"/>
    <x v="1"/>
    <x v="0"/>
    <x v="4"/>
    <x v="8"/>
    <x v="10"/>
    <x v="7"/>
    <n v="32"/>
  </r>
  <r>
    <x v="0"/>
    <x v="1"/>
    <x v="0"/>
    <x v="4"/>
    <x v="8"/>
    <x v="3"/>
    <x v="8"/>
    <n v="128"/>
  </r>
  <r>
    <x v="0"/>
    <x v="1"/>
    <x v="0"/>
    <x v="4"/>
    <x v="8"/>
    <x v="4"/>
    <x v="8"/>
    <n v="114"/>
  </r>
  <r>
    <x v="0"/>
    <x v="1"/>
    <x v="0"/>
    <x v="4"/>
    <x v="8"/>
    <x v="5"/>
    <x v="8"/>
    <n v="72"/>
  </r>
  <r>
    <x v="0"/>
    <x v="1"/>
    <x v="0"/>
    <x v="4"/>
    <x v="8"/>
    <x v="11"/>
    <x v="8"/>
    <n v="19"/>
  </r>
  <r>
    <x v="0"/>
    <x v="1"/>
    <x v="0"/>
    <x v="4"/>
    <x v="8"/>
    <x v="7"/>
    <x v="7"/>
    <n v="2"/>
  </r>
  <r>
    <x v="0"/>
    <x v="1"/>
    <x v="0"/>
    <x v="4"/>
    <x v="8"/>
    <x v="7"/>
    <x v="6"/>
    <n v="13"/>
  </r>
  <r>
    <x v="0"/>
    <x v="1"/>
    <x v="0"/>
    <x v="5"/>
    <x v="1"/>
    <x v="1"/>
    <x v="10"/>
    <n v="1"/>
  </r>
  <r>
    <x v="0"/>
    <x v="1"/>
    <x v="0"/>
    <x v="5"/>
    <x v="1"/>
    <x v="0"/>
    <x v="1"/>
    <n v="3"/>
  </r>
  <r>
    <x v="0"/>
    <x v="1"/>
    <x v="0"/>
    <x v="5"/>
    <x v="3"/>
    <x v="1"/>
    <x v="2"/>
    <n v="1"/>
  </r>
  <r>
    <x v="0"/>
    <x v="1"/>
    <x v="0"/>
    <x v="5"/>
    <x v="10"/>
    <x v="6"/>
    <x v="3"/>
    <n v="1"/>
  </r>
  <r>
    <x v="0"/>
    <x v="1"/>
    <x v="0"/>
    <x v="5"/>
    <x v="10"/>
    <x v="9"/>
    <x v="3"/>
    <n v="1"/>
  </r>
  <r>
    <x v="0"/>
    <x v="1"/>
    <x v="0"/>
    <x v="5"/>
    <x v="10"/>
    <x v="12"/>
    <x v="12"/>
    <n v="2"/>
  </r>
  <r>
    <x v="0"/>
    <x v="1"/>
    <x v="0"/>
    <x v="5"/>
    <x v="10"/>
    <x v="1"/>
    <x v="12"/>
    <n v="2"/>
  </r>
  <r>
    <x v="0"/>
    <x v="1"/>
    <x v="0"/>
    <x v="5"/>
    <x v="10"/>
    <x v="1"/>
    <x v="9"/>
    <n v="2"/>
  </r>
  <r>
    <x v="0"/>
    <x v="1"/>
    <x v="0"/>
    <x v="5"/>
    <x v="10"/>
    <x v="1"/>
    <x v="4"/>
    <n v="1"/>
  </r>
  <r>
    <x v="0"/>
    <x v="1"/>
    <x v="0"/>
    <x v="5"/>
    <x v="11"/>
    <x v="4"/>
    <x v="7"/>
    <n v="2"/>
  </r>
  <r>
    <x v="0"/>
    <x v="1"/>
    <x v="0"/>
    <x v="5"/>
    <x v="11"/>
    <x v="7"/>
    <x v="3"/>
    <n v="1"/>
  </r>
  <r>
    <x v="0"/>
    <x v="1"/>
    <x v="0"/>
    <x v="5"/>
    <x v="11"/>
    <x v="7"/>
    <x v="2"/>
    <n v="1"/>
  </r>
  <r>
    <x v="0"/>
    <x v="1"/>
    <x v="0"/>
    <x v="6"/>
    <x v="2"/>
    <x v="2"/>
    <x v="3"/>
    <n v="1"/>
  </r>
  <r>
    <x v="0"/>
    <x v="1"/>
    <x v="0"/>
    <x v="7"/>
    <x v="12"/>
    <x v="0"/>
    <x v="12"/>
    <n v="2"/>
  </r>
  <r>
    <x v="0"/>
    <x v="1"/>
    <x v="0"/>
    <x v="7"/>
    <x v="12"/>
    <x v="0"/>
    <x v="9"/>
    <n v="1"/>
  </r>
  <r>
    <x v="0"/>
    <x v="1"/>
    <x v="0"/>
    <x v="7"/>
    <x v="12"/>
    <x v="0"/>
    <x v="3"/>
    <n v="1"/>
  </r>
  <r>
    <x v="0"/>
    <x v="1"/>
    <x v="0"/>
    <x v="7"/>
    <x v="13"/>
    <x v="7"/>
    <x v="10"/>
    <n v="4"/>
  </r>
  <r>
    <x v="0"/>
    <x v="1"/>
    <x v="0"/>
    <x v="7"/>
    <x v="13"/>
    <x v="7"/>
    <x v="9"/>
    <n v="1"/>
  </r>
  <r>
    <x v="0"/>
    <x v="1"/>
    <x v="0"/>
    <x v="7"/>
    <x v="13"/>
    <x v="8"/>
    <x v="10"/>
    <n v="4"/>
  </r>
  <r>
    <x v="0"/>
    <x v="1"/>
    <x v="0"/>
    <x v="7"/>
    <x v="13"/>
    <x v="8"/>
    <x v="12"/>
    <n v="2"/>
  </r>
  <r>
    <x v="0"/>
    <x v="1"/>
    <x v="0"/>
    <x v="7"/>
    <x v="6"/>
    <x v="12"/>
    <x v="1"/>
    <n v="1"/>
  </r>
  <r>
    <x v="0"/>
    <x v="1"/>
    <x v="0"/>
    <x v="7"/>
    <x v="6"/>
    <x v="1"/>
    <x v="10"/>
    <n v="1"/>
  </r>
  <r>
    <x v="0"/>
    <x v="1"/>
    <x v="0"/>
    <x v="7"/>
    <x v="6"/>
    <x v="0"/>
    <x v="1"/>
    <n v="2"/>
  </r>
  <r>
    <x v="0"/>
    <x v="1"/>
    <x v="0"/>
    <x v="8"/>
    <x v="13"/>
    <x v="2"/>
    <x v="4"/>
    <n v="1"/>
  </r>
  <r>
    <x v="0"/>
    <x v="1"/>
    <x v="0"/>
    <x v="8"/>
    <x v="13"/>
    <x v="2"/>
    <x v="5"/>
    <n v="5"/>
  </r>
  <r>
    <x v="0"/>
    <x v="1"/>
    <x v="0"/>
    <x v="8"/>
    <x v="13"/>
    <x v="10"/>
    <x v="9"/>
    <n v="1"/>
  </r>
  <r>
    <x v="0"/>
    <x v="1"/>
    <x v="0"/>
    <x v="8"/>
    <x v="13"/>
    <x v="10"/>
    <x v="3"/>
    <n v="1"/>
  </r>
  <r>
    <x v="0"/>
    <x v="1"/>
    <x v="0"/>
    <x v="8"/>
    <x v="13"/>
    <x v="3"/>
    <x v="3"/>
    <n v="1"/>
  </r>
  <r>
    <x v="0"/>
    <x v="1"/>
    <x v="0"/>
    <x v="8"/>
    <x v="13"/>
    <x v="7"/>
    <x v="2"/>
    <n v="1"/>
  </r>
  <r>
    <x v="0"/>
    <x v="1"/>
    <x v="0"/>
    <x v="8"/>
    <x v="14"/>
    <x v="6"/>
    <x v="8"/>
    <n v="1"/>
  </r>
  <r>
    <x v="0"/>
    <x v="1"/>
    <x v="0"/>
    <x v="8"/>
    <x v="10"/>
    <x v="13"/>
    <x v="5"/>
    <n v="1"/>
  </r>
  <r>
    <x v="0"/>
    <x v="1"/>
    <x v="0"/>
    <x v="8"/>
    <x v="10"/>
    <x v="2"/>
    <x v="15"/>
    <n v="4"/>
  </r>
  <r>
    <x v="0"/>
    <x v="1"/>
    <x v="0"/>
    <x v="8"/>
    <x v="10"/>
    <x v="10"/>
    <x v="15"/>
    <n v="4"/>
  </r>
  <r>
    <x v="0"/>
    <x v="1"/>
    <x v="0"/>
    <x v="8"/>
    <x v="10"/>
    <x v="3"/>
    <x v="15"/>
    <n v="3"/>
  </r>
  <r>
    <x v="0"/>
    <x v="1"/>
    <x v="0"/>
    <x v="8"/>
    <x v="10"/>
    <x v="11"/>
    <x v="1"/>
    <n v="2"/>
  </r>
  <r>
    <x v="0"/>
    <x v="1"/>
    <x v="0"/>
    <x v="8"/>
    <x v="10"/>
    <x v="6"/>
    <x v="10"/>
    <n v="4"/>
  </r>
  <r>
    <x v="0"/>
    <x v="1"/>
    <x v="0"/>
    <x v="8"/>
    <x v="10"/>
    <x v="6"/>
    <x v="1"/>
    <n v="5"/>
  </r>
  <r>
    <x v="0"/>
    <x v="1"/>
    <x v="0"/>
    <x v="8"/>
    <x v="10"/>
    <x v="9"/>
    <x v="10"/>
    <n v="7"/>
  </r>
  <r>
    <x v="0"/>
    <x v="1"/>
    <x v="0"/>
    <x v="8"/>
    <x v="10"/>
    <x v="9"/>
    <x v="1"/>
    <n v="2"/>
  </r>
  <r>
    <x v="0"/>
    <x v="1"/>
    <x v="0"/>
    <x v="8"/>
    <x v="10"/>
    <x v="9"/>
    <x v="13"/>
    <n v="1"/>
  </r>
  <r>
    <x v="0"/>
    <x v="1"/>
    <x v="0"/>
    <x v="8"/>
    <x v="10"/>
    <x v="12"/>
    <x v="6"/>
    <n v="3"/>
  </r>
  <r>
    <x v="0"/>
    <x v="1"/>
    <x v="0"/>
    <x v="8"/>
    <x v="10"/>
    <x v="12"/>
    <x v="10"/>
    <n v="5"/>
  </r>
  <r>
    <x v="0"/>
    <x v="1"/>
    <x v="0"/>
    <x v="8"/>
    <x v="10"/>
    <x v="12"/>
    <x v="1"/>
    <n v="6"/>
  </r>
  <r>
    <x v="0"/>
    <x v="1"/>
    <x v="0"/>
    <x v="8"/>
    <x v="10"/>
    <x v="1"/>
    <x v="6"/>
    <n v="1"/>
  </r>
  <r>
    <x v="0"/>
    <x v="1"/>
    <x v="0"/>
    <x v="8"/>
    <x v="10"/>
    <x v="1"/>
    <x v="10"/>
    <n v="1"/>
  </r>
  <r>
    <x v="0"/>
    <x v="1"/>
    <x v="0"/>
    <x v="8"/>
    <x v="10"/>
    <x v="1"/>
    <x v="1"/>
    <n v="2"/>
  </r>
  <r>
    <x v="0"/>
    <x v="1"/>
    <x v="0"/>
    <x v="8"/>
    <x v="10"/>
    <x v="0"/>
    <x v="10"/>
    <n v="1"/>
  </r>
  <r>
    <x v="0"/>
    <x v="1"/>
    <x v="0"/>
    <x v="8"/>
    <x v="10"/>
    <x v="0"/>
    <x v="1"/>
    <n v="1"/>
  </r>
  <r>
    <x v="0"/>
    <x v="1"/>
    <x v="0"/>
    <x v="8"/>
    <x v="10"/>
    <x v="0"/>
    <x v="4"/>
    <n v="11"/>
  </r>
  <r>
    <x v="0"/>
    <x v="1"/>
    <x v="0"/>
    <x v="8"/>
    <x v="11"/>
    <x v="4"/>
    <x v="7"/>
    <n v="1"/>
  </r>
  <r>
    <x v="0"/>
    <x v="1"/>
    <x v="0"/>
    <x v="8"/>
    <x v="11"/>
    <x v="5"/>
    <x v="7"/>
    <n v="18"/>
  </r>
  <r>
    <x v="0"/>
    <x v="1"/>
    <x v="0"/>
    <x v="8"/>
    <x v="11"/>
    <x v="11"/>
    <x v="9"/>
    <n v="2"/>
  </r>
  <r>
    <x v="0"/>
    <x v="1"/>
    <x v="0"/>
    <x v="8"/>
    <x v="11"/>
    <x v="6"/>
    <x v="12"/>
    <n v="1"/>
  </r>
  <r>
    <x v="0"/>
    <x v="1"/>
    <x v="0"/>
    <x v="8"/>
    <x v="11"/>
    <x v="7"/>
    <x v="6"/>
    <n v="33"/>
  </r>
  <r>
    <x v="0"/>
    <x v="1"/>
    <x v="0"/>
    <x v="8"/>
    <x v="11"/>
    <x v="7"/>
    <x v="10"/>
    <n v="12"/>
  </r>
  <r>
    <x v="0"/>
    <x v="1"/>
    <x v="0"/>
    <x v="8"/>
    <x v="11"/>
    <x v="7"/>
    <x v="1"/>
    <n v="9"/>
  </r>
  <r>
    <x v="0"/>
    <x v="1"/>
    <x v="0"/>
    <x v="8"/>
    <x v="11"/>
    <x v="7"/>
    <x v="5"/>
    <n v="2"/>
  </r>
  <r>
    <x v="0"/>
    <x v="1"/>
    <x v="0"/>
    <x v="8"/>
    <x v="11"/>
    <x v="8"/>
    <x v="6"/>
    <n v="7"/>
  </r>
  <r>
    <x v="0"/>
    <x v="1"/>
    <x v="0"/>
    <x v="8"/>
    <x v="11"/>
    <x v="8"/>
    <x v="10"/>
    <n v="19"/>
  </r>
  <r>
    <x v="0"/>
    <x v="1"/>
    <x v="0"/>
    <x v="8"/>
    <x v="11"/>
    <x v="8"/>
    <x v="1"/>
    <n v="7"/>
  </r>
  <r>
    <x v="0"/>
    <x v="1"/>
    <x v="0"/>
    <x v="10"/>
    <x v="16"/>
    <x v="2"/>
    <x v="7"/>
    <n v="1"/>
  </r>
  <r>
    <x v="0"/>
    <x v="1"/>
    <x v="0"/>
    <x v="10"/>
    <x v="16"/>
    <x v="10"/>
    <x v="7"/>
    <n v="5"/>
  </r>
  <r>
    <x v="0"/>
    <x v="1"/>
    <x v="0"/>
    <x v="10"/>
    <x v="16"/>
    <x v="4"/>
    <x v="8"/>
    <n v="29"/>
  </r>
  <r>
    <x v="0"/>
    <x v="1"/>
    <x v="0"/>
    <x v="10"/>
    <x v="16"/>
    <x v="7"/>
    <x v="6"/>
    <n v="2"/>
  </r>
  <r>
    <x v="0"/>
    <x v="1"/>
    <x v="0"/>
    <x v="10"/>
    <x v="16"/>
    <x v="7"/>
    <x v="12"/>
    <n v="3"/>
  </r>
  <r>
    <x v="0"/>
    <x v="1"/>
    <x v="0"/>
    <x v="10"/>
    <x v="16"/>
    <x v="8"/>
    <x v="12"/>
    <n v="1"/>
  </r>
  <r>
    <x v="0"/>
    <x v="1"/>
    <x v="0"/>
    <x v="11"/>
    <x v="0"/>
    <x v="3"/>
    <x v="6"/>
    <n v="3"/>
  </r>
  <r>
    <x v="0"/>
    <x v="1"/>
    <x v="0"/>
    <x v="11"/>
    <x v="0"/>
    <x v="3"/>
    <x v="10"/>
    <n v="1"/>
  </r>
  <r>
    <x v="0"/>
    <x v="1"/>
    <x v="0"/>
    <x v="11"/>
    <x v="0"/>
    <x v="4"/>
    <x v="7"/>
    <n v="5"/>
  </r>
  <r>
    <x v="0"/>
    <x v="1"/>
    <x v="0"/>
    <x v="11"/>
    <x v="0"/>
    <x v="4"/>
    <x v="6"/>
    <n v="7"/>
  </r>
  <r>
    <x v="0"/>
    <x v="1"/>
    <x v="0"/>
    <x v="11"/>
    <x v="0"/>
    <x v="5"/>
    <x v="7"/>
    <n v="10"/>
  </r>
  <r>
    <x v="0"/>
    <x v="1"/>
    <x v="0"/>
    <x v="11"/>
    <x v="0"/>
    <x v="5"/>
    <x v="6"/>
    <n v="9"/>
  </r>
  <r>
    <x v="0"/>
    <x v="1"/>
    <x v="0"/>
    <x v="11"/>
    <x v="0"/>
    <x v="5"/>
    <x v="10"/>
    <n v="3"/>
  </r>
  <r>
    <x v="0"/>
    <x v="1"/>
    <x v="0"/>
    <x v="11"/>
    <x v="0"/>
    <x v="5"/>
    <x v="5"/>
    <n v="1"/>
  </r>
  <r>
    <x v="0"/>
    <x v="1"/>
    <x v="0"/>
    <x v="10"/>
    <x v="16"/>
    <x v="11"/>
    <x v="3"/>
    <n v="1"/>
  </r>
  <r>
    <x v="0"/>
    <x v="1"/>
    <x v="0"/>
    <x v="10"/>
    <x v="16"/>
    <x v="6"/>
    <x v="1"/>
    <n v="14"/>
  </r>
  <r>
    <x v="0"/>
    <x v="1"/>
    <x v="0"/>
    <x v="10"/>
    <x v="16"/>
    <x v="6"/>
    <x v="12"/>
    <n v="2"/>
  </r>
  <r>
    <x v="0"/>
    <x v="1"/>
    <x v="0"/>
    <x v="10"/>
    <x v="16"/>
    <x v="6"/>
    <x v="9"/>
    <n v="1"/>
  </r>
  <r>
    <x v="0"/>
    <x v="1"/>
    <x v="0"/>
    <x v="10"/>
    <x v="16"/>
    <x v="9"/>
    <x v="10"/>
    <n v="22"/>
  </r>
  <r>
    <x v="0"/>
    <x v="1"/>
    <x v="0"/>
    <x v="10"/>
    <x v="16"/>
    <x v="9"/>
    <x v="1"/>
    <n v="13"/>
  </r>
  <r>
    <x v="0"/>
    <x v="1"/>
    <x v="0"/>
    <x v="10"/>
    <x v="16"/>
    <x v="9"/>
    <x v="12"/>
    <n v="2"/>
  </r>
  <r>
    <x v="0"/>
    <x v="1"/>
    <x v="0"/>
    <x v="10"/>
    <x v="16"/>
    <x v="12"/>
    <x v="10"/>
    <n v="8"/>
  </r>
  <r>
    <x v="0"/>
    <x v="1"/>
    <x v="0"/>
    <x v="10"/>
    <x v="16"/>
    <x v="12"/>
    <x v="1"/>
    <n v="10"/>
  </r>
  <r>
    <x v="0"/>
    <x v="1"/>
    <x v="0"/>
    <x v="10"/>
    <x v="16"/>
    <x v="7"/>
    <x v="3"/>
    <n v="1"/>
  </r>
  <r>
    <x v="0"/>
    <x v="1"/>
    <x v="0"/>
    <x v="10"/>
    <x v="16"/>
    <x v="1"/>
    <x v="10"/>
    <n v="2"/>
  </r>
  <r>
    <x v="0"/>
    <x v="1"/>
    <x v="0"/>
    <x v="10"/>
    <x v="16"/>
    <x v="1"/>
    <x v="1"/>
    <n v="7"/>
  </r>
  <r>
    <x v="0"/>
    <x v="1"/>
    <x v="0"/>
    <x v="10"/>
    <x v="3"/>
    <x v="0"/>
    <x v="3"/>
    <n v="1"/>
  </r>
  <r>
    <x v="0"/>
    <x v="1"/>
    <x v="0"/>
    <x v="10"/>
    <x v="3"/>
    <x v="0"/>
    <x v="4"/>
    <n v="3"/>
  </r>
  <r>
    <x v="0"/>
    <x v="1"/>
    <x v="0"/>
    <x v="10"/>
    <x v="3"/>
    <x v="0"/>
    <x v="5"/>
    <n v="3"/>
  </r>
  <r>
    <x v="0"/>
    <x v="1"/>
    <x v="0"/>
    <x v="10"/>
    <x v="3"/>
    <x v="0"/>
    <x v="2"/>
    <n v="1"/>
  </r>
  <r>
    <x v="0"/>
    <x v="1"/>
    <x v="0"/>
    <x v="11"/>
    <x v="0"/>
    <x v="3"/>
    <x v="15"/>
    <n v="15"/>
  </r>
  <r>
    <x v="0"/>
    <x v="1"/>
    <x v="0"/>
    <x v="11"/>
    <x v="0"/>
    <x v="4"/>
    <x v="1"/>
    <n v="1"/>
  </r>
  <r>
    <x v="0"/>
    <x v="1"/>
    <x v="0"/>
    <x v="11"/>
    <x v="0"/>
    <x v="5"/>
    <x v="1"/>
    <n v="1"/>
  </r>
  <r>
    <x v="0"/>
    <x v="1"/>
    <x v="0"/>
    <x v="11"/>
    <x v="0"/>
    <x v="11"/>
    <x v="10"/>
    <n v="2"/>
  </r>
  <r>
    <x v="0"/>
    <x v="1"/>
    <x v="0"/>
    <x v="11"/>
    <x v="0"/>
    <x v="6"/>
    <x v="10"/>
    <n v="3"/>
  </r>
  <r>
    <x v="0"/>
    <x v="1"/>
    <x v="0"/>
    <x v="11"/>
    <x v="0"/>
    <x v="6"/>
    <x v="1"/>
    <n v="3"/>
  </r>
  <r>
    <x v="0"/>
    <x v="1"/>
    <x v="0"/>
    <x v="11"/>
    <x v="0"/>
    <x v="9"/>
    <x v="6"/>
    <n v="10"/>
  </r>
  <r>
    <x v="0"/>
    <x v="1"/>
    <x v="0"/>
    <x v="11"/>
    <x v="0"/>
    <x v="9"/>
    <x v="10"/>
    <n v="3"/>
  </r>
  <r>
    <x v="0"/>
    <x v="1"/>
    <x v="0"/>
    <x v="11"/>
    <x v="0"/>
    <x v="12"/>
    <x v="6"/>
    <n v="7"/>
  </r>
  <r>
    <x v="0"/>
    <x v="1"/>
    <x v="0"/>
    <x v="11"/>
    <x v="0"/>
    <x v="12"/>
    <x v="10"/>
    <n v="6"/>
  </r>
  <r>
    <x v="0"/>
    <x v="1"/>
    <x v="0"/>
    <x v="11"/>
    <x v="0"/>
    <x v="12"/>
    <x v="1"/>
    <n v="3"/>
  </r>
  <r>
    <x v="0"/>
    <x v="1"/>
    <x v="0"/>
    <x v="11"/>
    <x v="0"/>
    <x v="1"/>
    <x v="7"/>
    <n v="63"/>
  </r>
  <r>
    <x v="0"/>
    <x v="1"/>
    <x v="0"/>
    <x v="11"/>
    <x v="0"/>
    <x v="1"/>
    <x v="6"/>
    <n v="8"/>
  </r>
  <r>
    <x v="0"/>
    <x v="1"/>
    <x v="0"/>
    <x v="11"/>
    <x v="0"/>
    <x v="1"/>
    <x v="10"/>
    <n v="2"/>
  </r>
  <r>
    <x v="0"/>
    <x v="1"/>
    <x v="0"/>
    <x v="11"/>
    <x v="0"/>
    <x v="1"/>
    <x v="1"/>
    <n v="1"/>
  </r>
  <r>
    <x v="0"/>
    <x v="1"/>
    <x v="0"/>
    <x v="11"/>
    <x v="0"/>
    <x v="0"/>
    <x v="7"/>
    <n v="16"/>
  </r>
  <r>
    <x v="0"/>
    <x v="1"/>
    <x v="0"/>
    <x v="11"/>
    <x v="0"/>
    <x v="0"/>
    <x v="6"/>
    <n v="60"/>
  </r>
  <r>
    <x v="0"/>
    <x v="1"/>
    <x v="0"/>
    <x v="11"/>
    <x v="0"/>
    <x v="0"/>
    <x v="10"/>
    <n v="21"/>
  </r>
  <r>
    <x v="0"/>
    <x v="1"/>
    <x v="0"/>
    <x v="11"/>
    <x v="1"/>
    <x v="7"/>
    <x v="3"/>
    <n v="1"/>
  </r>
  <r>
    <x v="0"/>
    <x v="1"/>
    <x v="0"/>
    <x v="11"/>
    <x v="8"/>
    <x v="15"/>
    <x v="12"/>
    <n v="1"/>
  </r>
  <r>
    <x v="0"/>
    <x v="1"/>
    <x v="0"/>
    <x v="11"/>
    <x v="8"/>
    <x v="15"/>
    <x v="9"/>
    <n v="1"/>
  </r>
  <r>
    <x v="0"/>
    <x v="1"/>
    <x v="0"/>
    <x v="11"/>
    <x v="8"/>
    <x v="15"/>
    <x v="3"/>
    <n v="4"/>
  </r>
  <r>
    <x v="0"/>
    <x v="1"/>
    <x v="0"/>
    <x v="11"/>
    <x v="8"/>
    <x v="14"/>
    <x v="1"/>
    <n v="9"/>
  </r>
  <r>
    <x v="0"/>
    <x v="1"/>
    <x v="0"/>
    <x v="11"/>
    <x v="8"/>
    <x v="14"/>
    <x v="12"/>
    <n v="9"/>
  </r>
  <r>
    <x v="0"/>
    <x v="1"/>
    <x v="0"/>
    <x v="11"/>
    <x v="8"/>
    <x v="14"/>
    <x v="9"/>
    <n v="2"/>
  </r>
  <r>
    <x v="0"/>
    <x v="1"/>
    <x v="0"/>
    <x v="11"/>
    <x v="8"/>
    <x v="13"/>
    <x v="16"/>
    <n v="1089"/>
  </r>
  <r>
    <x v="0"/>
    <x v="1"/>
    <x v="0"/>
    <x v="11"/>
    <x v="8"/>
    <x v="13"/>
    <x v="10"/>
    <n v="29"/>
  </r>
  <r>
    <x v="0"/>
    <x v="1"/>
    <x v="0"/>
    <x v="11"/>
    <x v="8"/>
    <x v="13"/>
    <x v="1"/>
    <n v="15"/>
  </r>
  <r>
    <x v="0"/>
    <x v="1"/>
    <x v="0"/>
    <x v="11"/>
    <x v="8"/>
    <x v="2"/>
    <x v="16"/>
    <n v="108"/>
  </r>
  <r>
    <x v="0"/>
    <x v="1"/>
    <x v="0"/>
    <x v="11"/>
    <x v="8"/>
    <x v="2"/>
    <x v="7"/>
    <n v="75"/>
  </r>
  <r>
    <x v="0"/>
    <x v="1"/>
    <x v="0"/>
    <x v="11"/>
    <x v="8"/>
    <x v="2"/>
    <x v="6"/>
    <n v="35"/>
  </r>
  <r>
    <x v="0"/>
    <x v="1"/>
    <x v="0"/>
    <x v="11"/>
    <x v="8"/>
    <x v="2"/>
    <x v="10"/>
    <n v="24"/>
  </r>
  <r>
    <x v="0"/>
    <x v="1"/>
    <x v="0"/>
    <x v="11"/>
    <x v="8"/>
    <x v="10"/>
    <x v="7"/>
    <n v="75"/>
  </r>
  <r>
    <x v="0"/>
    <x v="1"/>
    <x v="0"/>
    <x v="11"/>
    <x v="8"/>
    <x v="10"/>
    <x v="6"/>
    <n v="38"/>
  </r>
  <r>
    <x v="0"/>
    <x v="1"/>
    <x v="0"/>
    <x v="11"/>
    <x v="8"/>
    <x v="10"/>
    <x v="10"/>
    <n v="21"/>
  </r>
  <r>
    <x v="0"/>
    <x v="1"/>
    <x v="0"/>
    <x v="11"/>
    <x v="8"/>
    <x v="3"/>
    <x v="7"/>
    <n v="82"/>
  </r>
  <r>
    <x v="0"/>
    <x v="1"/>
    <x v="0"/>
    <x v="11"/>
    <x v="8"/>
    <x v="3"/>
    <x v="6"/>
    <n v="22"/>
  </r>
  <r>
    <x v="0"/>
    <x v="1"/>
    <x v="0"/>
    <x v="11"/>
    <x v="8"/>
    <x v="4"/>
    <x v="8"/>
    <n v="914"/>
  </r>
  <r>
    <x v="0"/>
    <x v="1"/>
    <x v="0"/>
    <x v="11"/>
    <x v="8"/>
    <x v="4"/>
    <x v="7"/>
    <n v="84"/>
  </r>
  <r>
    <x v="0"/>
    <x v="1"/>
    <x v="0"/>
    <x v="11"/>
    <x v="8"/>
    <x v="4"/>
    <x v="6"/>
    <n v="21"/>
  </r>
  <r>
    <x v="0"/>
    <x v="1"/>
    <x v="0"/>
    <x v="11"/>
    <x v="8"/>
    <x v="5"/>
    <x v="8"/>
    <n v="827"/>
  </r>
  <r>
    <x v="0"/>
    <x v="1"/>
    <x v="0"/>
    <x v="11"/>
    <x v="8"/>
    <x v="5"/>
    <x v="7"/>
    <n v="93"/>
  </r>
  <r>
    <x v="0"/>
    <x v="1"/>
    <x v="0"/>
    <x v="11"/>
    <x v="8"/>
    <x v="11"/>
    <x v="8"/>
    <n v="373"/>
  </r>
  <r>
    <x v="0"/>
    <x v="1"/>
    <x v="0"/>
    <x v="11"/>
    <x v="8"/>
    <x v="11"/>
    <x v="7"/>
    <n v="163"/>
  </r>
  <r>
    <x v="0"/>
    <x v="1"/>
    <x v="0"/>
    <x v="11"/>
    <x v="8"/>
    <x v="6"/>
    <x v="8"/>
    <n v="125"/>
  </r>
  <r>
    <x v="0"/>
    <x v="1"/>
    <x v="0"/>
    <x v="11"/>
    <x v="8"/>
    <x v="9"/>
    <x v="8"/>
    <n v="6"/>
  </r>
  <r>
    <x v="0"/>
    <x v="1"/>
    <x v="0"/>
    <x v="11"/>
    <x v="8"/>
    <x v="9"/>
    <x v="4"/>
    <n v="1"/>
  </r>
  <r>
    <x v="0"/>
    <x v="1"/>
    <x v="0"/>
    <x v="11"/>
    <x v="8"/>
    <x v="9"/>
    <x v="5"/>
    <n v="1"/>
  </r>
  <r>
    <x v="0"/>
    <x v="1"/>
    <x v="0"/>
    <x v="11"/>
    <x v="8"/>
    <x v="12"/>
    <x v="8"/>
    <n v="1"/>
  </r>
  <r>
    <x v="0"/>
    <x v="1"/>
    <x v="0"/>
    <x v="11"/>
    <x v="8"/>
    <x v="7"/>
    <x v="7"/>
    <n v="14"/>
  </r>
  <r>
    <x v="0"/>
    <x v="1"/>
    <x v="0"/>
    <x v="11"/>
    <x v="8"/>
    <x v="7"/>
    <x v="6"/>
    <n v="51"/>
  </r>
  <r>
    <x v="0"/>
    <x v="1"/>
    <x v="0"/>
    <x v="11"/>
    <x v="8"/>
    <x v="7"/>
    <x v="10"/>
    <n v="6"/>
  </r>
  <r>
    <x v="0"/>
    <x v="1"/>
    <x v="0"/>
    <x v="11"/>
    <x v="8"/>
    <x v="1"/>
    <x v="3"/>
    <n v="1"/>
  </r>
  <r>
    <x v="0"/>
    <x v="1"/>
    <x v="0"/>
    <x v="11"/>
    <x v="8"/>
    <x v="8"/>
    <x v="6"/>
    <n v="18"/>
  </r>
  <r>
    <x v="0"/>
    <x v="1"/>
    <x v="0"/>
    <x v="11"/>
    <x v="8"/>
    <x v="0"/>
    <x v="12"/>
    <n v="1"/>
  </r>
  <r>
    <x v="0"/>
    <x v="1"/>
    <x v="0"/>
    <x v="11"/>
    <x v="6"/>
    <x v="0"/>
    <x v="3"/>
    <n v="1"/>
  </r>
  <r>
    <x v="0"/>
    <x v="1"/>
    <x v="0"/>
    <x v="11"/>
    <x v="18"/>
    <x v="0"/>
    <x v="3"/>
    <n v="1"/>
  </r>
  <r>
    <x v="0"/>
    <x v="1"/>
    <x v="0"/>
    <x v="12"/>
    <x v="12"/>
    <x v="5"/>
    <x v="8"/>
    <n v="4"/>
  </r>
  <r>
    <x v="0"/>
    <x v="1"/>
    <x v="0"/>
    <x v="12"/>
    <x v="12"/>
    <x v="5"/>
    <x v="7"/>
    <n v="3"/>
  </r>
  <r>
    <x v="0"/>
    <x v="1"/>
    <x v="0"/>
    <x v="12"/>
    <x v="12"/>
    <x v="11"/>
    <x v="8"/>
    <n v="5"/>
  </r>
  <r>
    <x v="0"/>
    <x v="1"/>
    <x v="0"/>
    <x v="12"/>
    <x v="12"/>
    <x v="6"/>
    <x v="5"/>
    <n v="1"/>
  </r>
  <r>
    <x v="0"/>
    <x v="1"/>
    <x v="0"/>
    <x v="12"/>
    <x v="12"/>
    <x v="9"/>
    <x v="4"/>
    <n v="1"/>
  </r>
  <r>
    <x v="0"/>
    <x v="1"/>
    <x v="0"/>
    <x v="12"/>
    <x v="12"/>
    <x v="7"/>
    <x v="6"/>
    <n v="4"/>
  </r>
  <r>
    <x v="0"/>
    <x v="1"/>
    <x v="0"/>
    <x v="12"/>
    <x v="12"/>
    <x v="8"/>
    <x v="6"/>
    <n v="1"/>
  </r>
  <r>
    <x v="0"/>
    <x v="1"/>
    <x v="0"/>
    <x v="12"/>
    <x v="1"/>
    <x v="2"/>
    <x v="3"/>
    <n v="1"/>
  </r>
  <r>
    <x v="0"/>
    <x v="1"/>
    <x v="0"/>
    <x v="12"/>
    <x v="6"/>
    <x v="13"/>
    <x v="6"/>
    <n v="4"/>
  </r>
  <r>
    <x v="0"/>
    <x v="1"/>
    <x v="0"/>
    <x v="12"/>
    <x v="6"/>
    <x v="5"/>
    <x v="4"/>
    <n v="1"/>
  </r>
  <r>
    <x v="0"/>
    <x v="1"/>
    <x v="0"/>
    <x v="12"/>
    <x v="6"/>
    <x v="5"/>
    <x v="13"/>
    <n v="1"/>
  </r>
  <r>
    <x v="0"/>
    <x v="1"/>
    <x v="0"/>
    <x v="12"/>
    <x v="6"/>
    <x v="6"/>
    <x v="3"/>
    <n v="1"/>
  </r>
  <r>
    <x v="0"/>
    <x v="1"/>
    <x v="0"/>
    <x v="12"/>
    <x v="6"/>
    <x v="6"/>
    <x v="4"/>
    <n v="1"/>
  </r>
  <r>
    <x v="0"/>
    <x v="1"/>
    <x v="0"/>
    <x v="12"/>
    <x v="6"/>
    <x v="9"/>
    <x v="4"/>
    <n v="1"/>
  </r>
  <r>
    <x v="0"/>
    <x v="1"/>
    <x v="0"/>
    <x v="12"/>
    <x v="6"/>
    <x v="12"/>
    <x v="12"/>
    <n v="1"/>
  </r>
  <r>
    <x v="0"/>
    <x v="1"/>
    <x v="0"/>
    <x v="13"/>
    <x v="13"/>
    <x v="7"/>
    <x v="6"/>
    <n v="1"/>
  </r>
  <r>
    <x v="0"/>
    <x v="1"/>
    <x v="0"/>
    <x v="13"/>
    <x v="13"/>
    <x v="8"/>
    <x v="6"/>
    <n v="1"/>
  </r>
  <r>
    <x v="0"/>
    <x v="1"/>
    <x v="0"/>
    <x v="13"/>
    <x v="17"/>
    <x v="2"/>
    <x v="8"/>
    <n v="2"/>
  </r>
  <r>
    <x v="0"/>
    <x v="1"/>
    <x v="0"/>
    <x v="13"/>
    <x v="17"/>
    <x v="2"/>
    <x v="3"/>
    <n v="45"/>
  </r>
  <r>
    <x v="0"/>
    <x v="1"/>
    <x v="0"/>
    <x v="13"/>
    <x v="17"/>
    <x v="2"/>
    <x v="4"/>
    <n v="51"/>
  </r>
  <r>
    <x v="0"/>
    <x v="1"/>
    <x v="0"/>
    <x v="13"/>
    <x v="17"/>
    <x v="2"/>
    <x v="5"/>
    <n v="55"/>
  </r>
  <r>
    <x v="0"/>
    <x v="1"/>
    <x v="0"/>
    <x v="13"/>
    <x v="17"/>
    <x v="2"/>
    <x v="2"/>
    <n v="9"/>
  </r>
  <r>
    <x v="0"/>
    <x v="1"/>
    <x v="0"/>
    <x v="13"/>
    <x v="17"/>
    <x v="2"/>
    <x v="13"/>
    <n v="4"/>
  </r>
  <r>
    <x v="0"/>
    <x v="1"/>
    <x v="0"/>
    <x v="13"/>
    <x v="17"/>
    <x v="10"/>
    <x v="8"/>
    <n v="2"/>
  </r>
  <r>
    <x v="0"/>
    <x v="1"/>
    <x v="0"/>
    <x v="13"/>
    <x v="17"/>
    <x v="10"/>
    <x v="9"/>
    <n v="30"/>
  </r>
  <r>
    <x v="0"/>
    <x v="1"/>
    <x v="0"/>
    <x v="13"/>
    <x v="17"/>
    <x v="10"/>
    <x v="3"/>
    <n v="37"/>
  </r>
  <r>
    <x v="0"/>
    <x v="1"/>
    <x v="0"/>
    <x v="13"/>
    <x v="17"/>
    <x v="10"/>
    <x v="4"/>
    <n v="23"/>
  </r>
  <r>
    <x v="0"/>
    <x v="1"/>
    <x v="0"/>
    <x v="13"/>
    <x v="17"/>
    <x v="10"/>
    <x v="5"/>
    <n v="32"/>
  </r>
  <r>
    <x v="0"/>
    <x v="1"/>
    <x v="0"/>
    <x v="13"/>
    <x v="17"/>
    <x v="10"/>
    <x v="2"/>
    <n v="8"/>
  </r>
  <r>
    <x v="0"/>
    <x v="1"/>
    <x v="0"/>
    <x v="13"/>
    <x v="17"/>
    <x v="10"/>
    <x v="13"/>
    <n v="1"/>
  </r>
  <r>
    <x v="0"/>
    <x v="1"/>
    <x v="0"/>
    <x v="13"/>
    <x v="17"/>
    <x v="3"/>
    <x v="15"/>
    <n v="102"/>
  </r>
  <r>
    <x v="0"/>
    <x v="1"/>
    <x v="0"/>
    <x v="13"/>
    <x v="17"/>
    <x v="3"/>
    <x v="12"/>
    <n v="12"/>
  </r>
  <r>
    <x v="0"/>
    <x v="1"/>
    <x v="0"/>
    <x v="13"/>
    <x v="17"/>
    <x v="3"/>
    <x v="9"/>
    <n v="27"/>
  </r>
  <r>
    <x v="0"/>
    <x v="1"/>
    <x v="0"/>
    <x v="13"/>
    <x v="17"/>
    <x v="3"/>
    <x v="3"/>
    <n v="32"/>
  </r>
  <r>
    <x v="0"/>
    <x v="1"/>
    <x v="0"/>
    <x v="13"/>
    <x v="17"/>
    <x v="3"/>
    <x v="4"/>
    <n v="28"/>
  </r>
  <r>
    <x v="0"/>
    <x v="1"/>
    <x v="0"/>
    <x v="13"/>
    <x v="17"/>
    <x v="3"/>
    <x v="5"/>
    <n v="19"/>
  </r>
  <r>
    <x v="0"/>
    <x v="1"/>
    <x v="0"/>
    <x v="13"/>
    <x v="17"/>
    <x v="3"/>
    <x v="2"/>
    <n v="10"/>
  </r>
  <r>
    <x v="0"/>
    <x v="1"/>
    <x v="0"/>
    <x v="13"/>
    <x v="17"/>
    <x v="4"/>
    <x v="15"/>
    <n v="105"/>
  </r>
  <r>
    <x v="0"/>
    <x v="1"/>
    <x v="0"/>
    <x v="13"/>
    <x v="17"/>
    <x v="4"/>
    <x v="12"/>
    <n v="9"/>
  </r>
  <r>
    <x v="0"/>
    <x v="1"/>
    <x v="0"/>
    <x v="13"/>
    <x v="17"/>
    <x v="4"/>
    <x v="9"/>
    <n v="11"/>
  </r>
  <r>
    <x v="0"/>
    <x v="1"/>
    <x v="0"/>
    <x v="13"/>
    <x v="17"/>
    <x v="4"/>
    <x v="3"/>
    <n v="7"/>
  </r>
  <r>
    <x v="0"/>
    <x v="1"/>
    <x v="0"/>
    <x v="13"/>
    <x v="17"/>
    <x v="4"/>
    <x v="4"/>
    <n v="12"/>
  </r>
  <r>
    <x v="0"/>
    <x v="1"/>
    <x v="0"/>
    <x v="13"/>
    <x v="17"/>
    <x v="4"/>
    <x v="5"/>
    <n v="18"/>
  </r>
  <r>
    <x v="0"/>
    <x v="1"/>
    <x v="0"/>
    <x v="13"/>
    <x v="17"/>
    <x v="5"/>
    <x v="15"/>
    <n v="36"/>
  </r>
  <r>
    <x v="0"/>
    <x v="1"/>
    <x v="0"/>
    <x v="13"/>
    <x v="17"/>
    <x v="5"/>
    <x v="12"/>
    <n v="5"/>
  </r>
  <r>
    <x v="0"/>
    <x v="1"/>
    <x v="0"/>
    <x v="13"/>
    <x v="17"/>
    <x v="5"/>
    <x v="9"/>
    <n v="5"/>
  </r>
  <r>
    <x v="0"/>
    <x v="1"/>
    <x v="0"/>
    <x v="13"/>
    <x v="17"/>
    <x v="5"/>
    <x v="3"/>
    <n v="8"/>
  </r>
  <r>
    <x v="0"/>
    <x v="1"/>
    <x v="0"/>
    <x v="13"/>
    <x v="17"/>
    <x v="5"/>
    <x v="4"/>
    <n v="12"/>
  </r>
  <r>
    <x v="0"/>
    <x v="1"/>
    <x v="0"/>
    <x v="13"/>
    <x v="17"/>
    <x v="11"/>
    <x v="15"/>
    <n v="1"/>
  </r>
  <r>
    <x v="0"/>
    <x v="1"/>
    <x v="0"/>
    <x v="13"/>
    <x v="17"/>
    <x v="11"/>
    <x v="12"/>
    <n v="7"/>
  </r>
  <r>
    <x v="0"/>
    <x v="1"/>
    <x v="0"/>
    <x v="13"/>
    <x v="17"/>
    <x v="11"/>
    <x v="9"/>
    <n v="7"/>
  </r>
  <r>
    <x v="0"/>
    <x v="1"/>
    <x v="0"/>
    <x v="13"/>
    <x v="17"/>
    <x v="11"/>
    <x v="3"/>
    <n v="2"/>
  </r>
  <r>
    <x v="0"/>
    <x v="1"/>
    <x v="0"/>
    <x v="13"/>
    <x v="17"/>
    <x v="6"/>
    <x v="1"/>
    <n v="1"/>
  </r>
  <r>
    <x v="0"/>
    <x v="1"/>
    <x v="0"/>
    <x v="13"/>
    <x v="17"/>
    <x v="6"/>
    <x v="12"/>
    <n v="3"/>
  </r>
  <r>
    <x v="0"/>
    <x v="1"/>
    <x v="0"/>
    <x v="13"/>
    <x v="17"/>
    <x v="6"/>
    <x v="9"/>
    <n v="1"/>
  </r>
  <r>
    <x v="0"/>
    <x v="1"/>
    <x v="0"/>
    <x v="13"/>
    <x v="17"/>
    <x v="7"/>
    <x v="3"/>
    <n v="1"/>
  </r>
  <r>
    <x v="0"/>
    <x v="1"/>
    <x v="0"/>
    <x v="13"/>
    <x v="17"/>
    <x v="7"/>
    <x v="4"/>
    <n v="1"/>
  </r>
  <r>
    <x v="0"/>
    <x v="1"/>
    <x v="0"/>
    <x v="13"/>
    <x v="17"/>
    <x v="7"/>
    <x v="2"/>
    <n v="1"/>
  </r>
  <r>
    <x v="0"/>
    <x v="1"/>
    <x v="0"/>
    <x v="13"/>
    <x v="17"/>
    <x v="8"/>
    <x v="13"/>
    <n v="1"/>
  </r>
  <r>
    <x v="0"/>
    <x v="1"/>
    <x v="0"/>
    <x v="14"/>
    <x v="4"/>
    <x v="8"/>
    <x v="12"/>
    <n v="1"/>
  </r>
  <r>
    <x v="0"/>
    <x v="1"/>
    <x v="0"/>
    <x v="14"/>
    <x v="16"/>
    <x v="2"/>
    <x v="12"/>
    <n v="1"/>
  </r>
  <r>
    <x v="0"/>
    <x v="1"/>
    <x v="0"/>
    <x v="14"/>
    <x v="16"/>
    <x v="10"/>
    <x v="1"/>
    <n v="1"/>
  </r>
  <r>
    <x v="0"/>
    <x v="1"/>
    <x v="0"/>
    <x v="14"/>
    <x v="16"/>
    <x v="10"/>
    <x v="12"/>
    <n v="1"/>
  </r>
  <r>
    <x v="0"/>
    <x v="1"/>
    <x v="0"/>
    <x v="14"/>
    <x v="16"/>
    <x v="3"/>
    <x v="1"/>
    <n v="1"/>
  </r>
  <r>
    <x v="0"/>
    <x v="1"/>
    <x v="0"/>
    <x v="14"/>
    <x v="16"/>
    <x v="3"/>
    <x v="12"/>
    <n v="2"/>
  </r>
  <r>
    <x v="0"/>
    <x v="1"/>
    <x v="0"/>
    <x v="14"/>
    <x v="16"/>
    <x v="4"/>
    <x v="10"/>
    <n v="2"/>
  </r>
  <r>
    <x v="0"/>
    <x v="1"/>
    <x v="0"/>
    <x v="14"/>
    <x v="16"/>
    <x v="4"/>
    <x v="1"/>
    <n v="1"/>
  </r>
  <r>
    <x v="0"/>
    <x v="1"/>
    <x v="0"/>
    <x v="14"/>
    <x v="16"/>
    <x v="4"/>
    <x v="12"/>
    <n v="3"/>
  </r>
  <r>
    <x v="0"/>
    <x v="1"/>
    <x v="0"/>
    <x v="14"/>
    <x v="16"/>
    <x v="5"/>
    <x v="10"/>
    <n v="4"/>
  </r>
  <r>
    <x v="0"/>
    <x v="1"/>
    <x v="0"/>
    <x v="14"/>
    <x v="16"/>
    <x v="11"/>
    <x v="6"/>
    <n v="7"/>
  </r>
  <r>
    <x v="0"/>
    <x v="1"/>
    <x v="0"/>
    <x v="14"/>
    <x v="16"/>
    <x v="11"/>
    <x v="10"/>
    <n v="1"/>
  </r>
  <r>
    <x v="0"/>
    <x v="1"/>
    <x v="0"/>
    <x v="19"/>
    <x v="7"/>
    <x v="15"/>
    <x v="9"/>
    <n v="54"/>
  </r>
  <r>
    <x v="0"/>
    <x v="1"/>
    <x v="0"/>
    <x v="19"/>
    <x v="7"/>
    <x v="15"/>
    <x v="3"/>
    <n v="43"/>
  </r>
  <r>
    <x v="0"/>
    <x v="1"/>
    <x v="0"/>
    <x v="19"/>
    <x v="7"/>
    <x v="14"/>
    <x v="10"/>
    <n v="74"/>
  </r>
  <r>
    <x v="0"/>
    <x v="1"/>
    <x v="0"/>
    <x v="19"/>
    <x v="7"/>
    <x v="14"/>
    <x v="1"/>
    <n v="55"/>
  </r>
  <r>
    <x v="0"/>
    <x v="1"/>
    <x v="0"/>
    <x v="19"/>
    <x v="7"/>
    <x v="14"/>
    <x v="12"/>
    <n v="56"/>
  </r>
  <r>
    <x v="0"/>
    <x v="1"/>
    <x v="0"/>
    <x v="19"/>
    <x v="7"/>
    <x v="13"/>
    <x v="6"/>
    <n v="227"/>
  </r>
  <r>
    <x v="0"/>
    <x v="1"/>
    <x v="0"/>
    <x v="19"/>
    <x v="7"/>
    <x v="13"/>
    <x v="10"/>
    <n v="60"/>
  </r>
  <r>
    <x v="0"/>
    <x v="1"/>
    <x v="0"/>
    <x v="19"/>
    <x v="7"/>
    <x v="13"/>
    <x v="1"/>
    <n v="56"/>
  </r>
  <r>
    <x v="0"/>
    <x v="1"/>
    <x v="0"/>
    <x v="19"/>
    <x v="7"/>
    <x v="2"/>
    <x v="16"/>
    <n v="1933"/>
  </r>
  <r>
    <x v="0"/>
    <x v="1"/>
    <x v="0"/>
    <x v="19"/>
    <x v="7"/>
    <x v="2"/>
    <x v="7"/>
    <n v="464"/>
  </r>
  <r>
    <x v="0"/>
    <x v="1"/>
    <x v="0"/>
    <x v="19"/>
    <x v="7"/>
    <x v="2"/>
    <x v="6"/>
    <n v="213"/>
  </r>
  <r>
    <x v="0"/>
    <x v="1"/>
    <x v="0"/>
    <x v="19"/>
    <x v="7"/>
    <x v="2"/>
    <x v="10"/>
    <n v="56"/>
  </r>
  <r>
    <x v="0"/>
    <x v="1"/>
    <x v="0"/>
    <x v="19"/>
    <x v="7"/>
    <x v="10"/>
    <x v="16"/>
    <n v="248"/>
  </r>
  <r>
    <x v="0"/>
    <x v="1"/>
    <x v="0"/>
    <x v="19"/>
    <x v="7"/>
    <x v="10"/>
    <x v="7"/>
    <n v="344"/>
  </r>
  <r>
    <x v="0"/>
    <x v="1"/>
    <x v="0"/>
    <x v="19"/>
    <x v="7"/>
    <x v="10"/>
    <x v="6"/>
    <n v="201"/>
  </r>
  <r>
    <x v="0"/>
    <x v="1"/>
    <x v="0"/>
    <x v="19"/>
    <x v="7"/>
    <x v="3"/>
    <x v="7"/>
    <n v="246"/>
  </r>
  <r>
    <x v="0"/>
    <x v="1"/>
    <x v="0"/>
    <x v="19"/>
    <x v="7"/>
    <x v="3"/>
    <x v="6"/>
    <n v="167"/>
  </r>
  <r>
    <x v="0"/>
    <x v="1"/>
    <x v="0"/>
    <x v="19"/>
    <x v="7"/>
    <x v="4"/>
    <x v="7"/>
    <n v="187"/>
  </r>
  <r>
    <x v="0"/>
    <x v="1"/>
    <x v="0"/>
    <x v="19"/>
    <x v="7"/>
    <x v="5"/>
    <x v="8"/>
    <n v="320"/>
  </r>
  <r>
    <x v="0"/>
    <x v="1"/>
    <x v="0"/>
    <x v="19"/>
    <x v="7"/>
    <x v="5"/>
    <x v="7"/>
    <n v="113"/>
  </r>
  <r>
    <x v="0"/>
    <x v="1"/>
    <x v="0"/>
    <x v="19"/>
    <x v="7"/>
    <x v="5"/>
    <x v="2"/>
    <n v="1"/>
  </r>
  <r>
    <x v="0"/>
    <x v="1"/>
    <x v="0"/>
    <x v="19"/>
    <x v="7"/>
    <x v="11"/>
    <x v="8"/>
    <n v="152"/>
  </r>
  <r>
    <x v="0"/>
    <x v="1"/>
    <x v="0"/>
    <x v="19"/>
    <x v="7"/>
    <x v="11"/>
    <x v="2"/>
    <n v="2"/>
  </r>
  <r>
    <x v="0"/>
    <x v="1"/>
    <x v="0"/>
    <x v="19"/>
    <x v="7"/>
    <x v="6"/>
    <x v="8"/>
    <n v="43"/>
  </r>
  <r>
    <x v="0"/>
    <x v="1"/>
    <x v="0"/>
    <x v="19"/>
    <x v="7"/>
    <x v="6"/>
    <x v="4"/>
    <n v="1"/>
  </r>
  <r>
    <x v="0"/>
    <x v="1"/>
    <x v="0"/>
    <x v="19"/>
    <x v="7"/>
    <x v="9"/>
    <x v="8"/>
    <n v="10"/>
  </r>
  <r>
    <x v="0"/>
    <x v="1"/>
    <x v="0"/>
    <x v="19"/>
    <x v="7"/>
    <x v="9"/>
    <x v="2"/>
    <n v="1"/>
  </r>
  <r>
    <x v="0"/>
    <x v="1"/>
    <x v="0"/>
    <x v="19"/>
    <x v="7"/>
    <x v="12"/>
    <x v="8"/>
    <n v="1"/>
  </r>
  <r>
    <x v="0"/>
    <x v="1"/>
    <x v="0"/>
    <x v="19"/>
    <x v="7"/>
    <x v="7"/>
    <x v="10"/>
    <n v="4"/>
  </r>
  <r>
    <x v="0"/>
    <x v="1"/>
    <x v="0"/>
    <x v="19"/>
    <x v="7"/>
    <x v="7"/>
    <x v="1"/>
    <n v="3"/>
  </r>
  <r>
    <x v="0"/>
    <x v="1"/>
    <x v="0"/>
    <x v="19"/>
    <x v="7"/>
    <x v="1"/>
    <x v="12"/>
    <n v="1"/>
  </r>
  <r>
    <x v="0"/>
    <x v="1"/>
    <x v="0"/>
    <x v="19"/>
    <x v="7"/>
    <x v="1"/>
    <x v="9"/>
    <n v="1"/>
  </r>
  <r>
    <x v="0"/>
    <x v="1"/>
    <x v="0"/>
    <x v="19"/>
    <x v="7"/>
    <x v="8"/>
    <x v="1"/>
    <n v="1"/>
  </r>
  <r>
    <x v="0"/>
    <x v="1"/>
    <x v="0"/>
    <x v="19"/>
    <x v="7"/>
    <x v="0"/>
    <x v="12"/>
    <n v="1"/>
  </r>
  <r>
    <x v="0"/>
    <x v="1"/>
    <x v="0"/>
    <x v="19"/>
    <x v="10"/>
    <x v="4"/>
    <x v="8"/>
    <n v="32"/>
  </r>
  <r>
    <x v="0"/>
    <x v="1"/>
    <x v="0"/>
    <x v="19"/>
    <x v="10"/>
    <x v="5"/>
    <x v="8"/>
    <n v="291"/>
  </r>
  <r>
    <x v="0"/>
    <x v="1"/>
    <x v="0"/>
    <x v="19"/>
    <x v="10"/>
    <x v="5"/>
    <x v="3"/>
    <n v="4"/>
  </r>
  <r>
    <x v="0"/>
    <x v="1"/>
    <x v="0"/>
    <x v="19"/>
    <x v="10"/>
    <x v="5"/>
    <x v="4"/>
    <n v="1"/>
  </r>
  <r>
    <x v="0"/>
    <x v="1"/>
    <x v="0"/>
    <x v="19"/>
    <x v="10"/>
    <x v="5"/>
    <x v="5"/>
    <n v="3"/>
  </r>
  <r>
    <x v="0"/>
    <x v="1"/>
    <x v="0"/>
    <x v="19"/>
    <x v="10"/>
    <x v="11"/>
    <x v="8"/>
    <n v="360"/>
  </r>
  <r>
    <x v="0"/>
    <x v="1"/>
    <x v="0"/>
    <x v="19"/>
    <x v="10"/>
    <x v="11"/>
    <x v="9"/>
    <n v="4"/>
  </r>
  <r>
    <x v="0"/>
    <x v="1"/>
    <x v="0"/>
    <x v="19"/>
    <x v="10"/>
    <x v="11"/>
    <x v="3"/>
    <n v="3"/>
  </r>
  <r>
    <x v="0"/>
    <x v="1"/>
    <x v="0"/>
    <x v="19"/>
    <x v="10"/>
    <x v="11"/>
    <x v="4"/>
    <n v="2"/>
  </r>
  <r>
    <x v="0"/>
    <x v="1"/>
    <x v="0"/>
    <x v="19"/>
    <x v="10"/>
    <x v="11"/>
    <x v="5"/>
    <n v="2"/>
  </r>
  <r>
    <x v="0"/>
    <x v="1"/>
    <x v="0"/>
    <x v="19"/>
    <x v="10"/>
    <x v="11"/>
    <x v="2"/>
    <n v="1"/>
  </r>
  <r>
    <x v="0"/>
    <x v="1"/>
    <x v="0"/>
    <x v="19"/>
    <x v="10"/>
    <x v="6"/>
    <x v="12"/>
    <n v="5"/>
  </r>
  <r>
    <x v="0"/>
    <x v="1"/>
    <x v="0"/>
    <x v="19"/>
    <x v="10"/>
    <x v="6"/>
    <x v="9"/>
    <n v="4"/>
  </r>
  <r>
    <x v="0"/>
    <x v="1"/>
    <x v="0"/>
    <x v="19"/>
    <x v="10"/>
    <x v="6"/>
    <x v="3"/>
    <n v="7"/>
  </r>
  <r>
    <x v="0"/>
    <x v="1"/>
    <x v="0"/>
    <x v="19"/>
    <x v="10"/>
    <x v="6"/>
    <x v="4"/>
    <n v="2"/>
  </r>
  <r>
    <x v="0"/>
    <x v="1"/>
    <x v="0"/>
    <x v="19"/>
    <x v="10"/>
    <x v="6"/>
    <x v="5"/>
    <n v="2"/>
  </r>
  <r>
    <x v="0"/>
    <x v="1"/>
    <x v="0"/>
    <x v="19"/>
    <x v="10"/>
    <x v="6"/>
    <x v="13"/>
    <n v="1"/>
  </r>
  <r>
    <x v="0"/>
    <x v="1"/>
    <x v="0"/>
    <x v="19"/>
    <x v="10"/>
    <x v="9"/>
    <x v="12"/>
    <n v="3"/>
  </r>
  <r>
    <x v="0"/>
    <x v="1"/>
    <x v="0"/>
    <x v="19"/>
    <x v="10"/>
    <x v="9"/>
    <x v="9"/>
    <n v="8"/>
  </r>
  <r>
    <x v="0"/>
    <x v="1"/>
    <x v="0"/>
    <x v="19"/>
    <x v="10"/>
    <x v="9"/>
    <x v="3"/>
    <n v="4"/>
  </r>
  <r>
    <x v="0"/>
    <x v="1"/>
    <x v="0"/>
    <x v="19"/>
    <x v="10"/>
    <x v="9"/>
    <x v="4"/>
    <n v="6"/>
  </r>
  <r>
    <x v="0"/>
    <x v="1"/>
    <x v="0"/>
    <x v="19"/>
    <x v="10"/>
    <x v="9"/>
    <x v="5"/>
    <n v="1"/>
  </r>
  <r>
    <x v="0"/>
    <x v="1"/>
    <x v="0"/>
    <x v="19"/>
    <x v="10"/>
    <x v="9"/>
    <x v="2"/>
    <n v="4"/>
  </r>
  <r>
    <x v="0"/>
    <x v="1"/>
    <x v="0"/>
    <x v="19"/>
    <x v="10"/>
    <x v="12"/>
    <x v="12"/>
    <n v="7"/>
  </r>
  <r>
    <x v="0"/>
    <x v="1"/>
    <x v="0"/>
    <x v="19"/>
    <x v="10"/>
    <x v="12"/>
    <x v="9"/>
    <n v="3"/>
  </r>
  <r>
    <x v="0"/>
    <x v="1"/>
    <x v="0"/>
    <x v="19"/>
    <x v="10"/>
    <x v="12"/>
    <x v="3"/>
    <n v="5"/>
  </r>
  <r>
    <x v="0"/>
    <x v="1"/>
    <x v="0"/>
    <x v="19"/>
    <x v="10"/>
    <x v="12"/>
    <x v="4"/>
    <n v="3"/>
  </r>
  <r>
    <x v="0"/>
    <x v="1"/>
    <x v="0"/>
    <x v="19"/>
    <x v="10"/>
    <x v="12"/>
    <x v="5"/>
    <n v="1"/>
  </r>
  <r>
    <x v="0"/>
    <x v="1"/>
    <x v="0"/>
    <x v="19"/>
    <x v="10"/>
    <x v="7"/>
    <x v="6"/>
    <n v="75"/>
  </r>
  <r>
    <x v="0"/>
    <x v="1"/>
    <x v="0"/>
    <x v="19"/>
    <x v="10"/>
    <x v="7"/>
    <x v="10"/>
    <n v="30"/>
  </r>
  <r>
    <x v="0"/>
    <x v="1"/>
    <x v="0"/>
    <x v="19"/>
    <x v="10"/>
    <x v="1"/>
    <x v="12"/>
    <n v="5"/>
  </r>
  <r>
    <x v="0"/>
    <x v="1"/>
    <x v="0"/>
    <x v="19"/>
    <x v="10"/>
    <x v="1"/>
    <x v="9"/>
    <n v="1"/>
  </r>
  <r>
    <x v="0"/>
    <x v="1"/>
    <x v="0"/>
    <x v="19"/>
    <x v="10"/>
    <x v="1"/>
    <x v="3"/>
    <n v="4"/>
  </r>
  <r>
    <x v="0"/>
    <x v="1"/>
    <x v="0"/>
    <x v="19"/>
    <x v="10"/>
    <x v="8"/>
    <x v="7"/>
    <n v="8"/>
  </r>
  <r>
    <x v="0"/>
    <x v="1"/>
    <x v="0"/>
    <x v="19"/>
    <x v="10"/>
    <x v="8"/>
    <x v="6"/>
    <n v="157"/>
  </r>
  <r>
    <x v="0"/>
    <x v="1"/>
    <x v="0"/>
    <x v="19"/>
    <x v="10"/>
    <x v="0"/>
    <x v="1"/>
    <n v="36"/>
  </r>
  <r>
    <x v="0"/>
    <x v="1"/>
    <x v="0"/>
    <x v="19"/>
    <x v="10"/>
    <x v="0"/>
    <x v="12"/>
    <n v="6"/>
  </r>
  <r>
    <x v="0"/>
    <x v="1"/>
    <x v="0"/>
    <x v="19"/>
    <x v="10"/>
    <x v="0"/>
    <x v="9"/>
    <n v="4"/>
  </r>
  <r>
    <x v="0"/>
    <x v="1"/>
    <x v="0"/>
    <x v="19"/>
    <x v="10"/>
    <x v="0"/>
    <x v="3"/>
    <n v="3"/>
  </r>
  <r>
    <x v="0"/>
    <x v="1"/>
    <x v="1"/>
    <x v="0"/>
    <x v="1"/>
    <x v="0"/>
    <x v="9"/>
    <n v="1"/>
  </r>
  <r>
    <x v="0"/>
    <x v="1"/>
    <x v="1"/>
    <x v="1"/>
    <x v="3"/>
    <x v="13"/>
    <x v="1"/>
    <n v="11"/>
  </r>
  <r>
    <x v="0"/>
    <x v="1"/>
    <x v="1"/>
    <x v="2"/>
    <x v="0"/>
    <x v="8"/>
    <x v="9"/>
    <n v="1"/>
  </r>
  <r>
    <x v="0"/>
    <x v="1"/>
    <x v="1"/>
    <x v="2"/>
    <x v="13"/>
    <x v="1"/>
    <x v="4"/>
    <n v="1"/>
  </r>
  <r>
    <x v="0"/>
    <x v="1"/>
    <x v="1"/>
    <x v="2"/>
    <x v="7"/>
    <x v="5"/>
    <x v="3"/>
    <n v="1"/>
  </r>
  <r>
    <x v="0"/>
    <x v="1"/>
    <x v="1"/>
    <x v="2"/>
    <x v="7"/>
    <x v="11"/>
    <x v="4"/>
    <n v="1"/>
  </r>
  <r>
    <x v="0"/>
    <x v="1"/>
    <x v="1"/>
    <x v="2"/>
    <x v="7"/>
    <x v="6"/>
    <x v="12"/>
    <n v="1"/>
  </r>
  <r>
    <x v="0"/>
    <x v="1"/>
    <x v="1"/>
    <x v="2"/>
    <x v="7"/>
    <x v="6"/>
    <x v="9"/>
    <n v="1"/>
  </r>
  <r>
    <x v="0"/>
    <x v="1"/>
    <x v="1"/>
    <x v="2"/>
    <x v="7"/>
    <x v="9"/>
    <x v="12"/>
    <n v="2"/>
  </r>
  <r>
    <x v="0"/>
    <x v="1"/>
    <x v="1"/>
    <x v="2"/>
    <x v="7"/>
    <x v="9"/>
    <x v="9"/>
    <n v="1"/>
  </r>
  <r>
    <x v="0"/>
    <x v="1"/>
    <x v="1"/>
    <x v="2"/>
    <x v="6"/>
    <x v="11"/>
    <x v="12"/>
    <n v="1"/>
  </r>
  <r>
    <x v="0"/>
    <x v="1"/>
    <x v="1"/>
    <x v="2"/>
    <x v="6"/>
    <x v="6"/>
    <x v="9"/>
    <n v="2"/>
  </r>
  <r>
    <x v="0"/>
    <x v="1"/>
    <x v="1"/>
    <x v="3"/>
    <x v="5"/>
    <x v="4"/>
    <x v="13"/>
    <n v="1"/>
  </r>
  <r>
    <x v="0"/>
    <x v="1"/>
    <x v="1"/>
    <x v="3"/>
    <x v="5"/>
    <x v="5"/>
    <x v="2"/>
    <n v="1"/>
  </r>
  <r>
    <x v="0"/>
    <x v="1"/>
    <x v="1"/>
    <x v="3"/>
    <x v="5"/>
    <x v="11"/>
    <x v="5"/>
    <n v="1"/>
  </r>
  <r>
    <x v="0"/>
    <x v="1"/>
    <x v="1"/>
    <x v="3"/>
    <x v="5"/>
    <x v="11"/>
    <x v="13"/>
    <n v="1"/>
  </r>
  <r>
    <x v="0"/>
    <x v="1"/>
    <x v="1"/>
    <x v="3"/>
    <x v="5"/>
    <x v="6"/>
    <x v="4"/>
    <n v="2"/>
  </r>
  <r>
    <x v="0"/>
    <x v="1"/>
    <x v="1"/>
    <x v="3"/>
    <x v="5"/>
    <x v="9"/>
    <x v="3"/>
    <n v="2"/>
  </r>
  <r>
    <x v="0"/>
    <x v="1"/>
    <x v="1"/>
    <x v="3"/>
    <x v="5"/>
    <x v="9"/>
    <x v="4"/>
    <n v="1"/>
  </r>
  <r>
    <x v="0"/>
    <x v="1"/>
    <x v="1"/>
    <x v="3"/>
    <x v="5"/>
    <x v="9"/>
    <x v="5"/>
    <n v="1"/>
  </r>
  <r>
    <x v="0"/>
    <x v="1"/>
    <x v="1"/>
    <x v="3"/>
    <x v="5"/>
    <x v="12"/>
    <x v="3"/>
    <n v="1"/>
  </r>
  <r>
    <x v="0"/>
    <x v="1"/>
    <x v="1"/>
    <x v="3"/>
    <x v="5"/>
    <x v="12"/>
    <x v="4"/>
    <n v="2"/>
  </r>
  <r>
    <x v="0"/>
    <x v="1"/>
    <x v="1"/>
    <x v="3"/>
    <x v="8"/>
    <x v="16"/>
    <x v="18"/>
    <n v="1"/>
  </r>
  <r>
    <x v="0"/>
    <x v="1"/>
    <x v="1"/>
    <x v="3"/>
    <x v="8"/>
    <x v="15"/>
    <x v="19"/>
    <n v="1"/>
  </r>
  <r>
    <x v="0"/>
    <x v="1"/>
    <x v="1"/>
    <x v="4"/>
    <x v="8"/>
    <x v="2"/>
    <x v="2"/>
    <n v="1"/>
  </r>
  <r>
    <x v="0"/>
    <x v="1"/>
    <x v="1"/>
    <x v="4"/>
    <x v="8"/>
    <x v="5"/>
    <x v="1"/>
    <n v="2"/>
  </r>
  <r>
    <x v="0"/>
    <x v="1"/>
    <x v="1"/>
    <x v="4"/>
    <x v="7"/>
    <x v="8"/>
    <x v="9"/>
    <n v="1"/>
  </r>
  <r>
    <x v="0"/>
    <x v="1"/>
    <x v="1"/>
    <x v="4"/>
    <x v="18"/>
    <x v="10"/>
    <x v="14"/>
    <n v="1"/>
  </r>
  <r>
    <x v="0"/>
    <x v="1"/>
    <x v="1"/>
    <x v="4"/>
    <x v="18"/>
    <x v="3"/>
    <x v="13"/>
    <n v="1"/>
  </r>
  <r>
    <x v="0"/>
    <x v="1"/>
    <x v="1"/>
    <x v="4"/>
    <x v="19"/>
    <x v="9"/>
    <x v="11"/>
    <n v="1"/>
  </r>
  <r>
    <x v="0"/>
    <x v="1"/>
    <x v="1"/>
    <x v="4"/>
    <x v="19"/>
    <x v="1"/>
    <x v="4"/>
    <n v="1"/>
  </r>
  <r>
    <x v="0"/>
    <x v="1"/>
    <x v="1"/>
    <x v="4"/>
    <x v="19"/>
    <x v="0"/>
    <x v="2"/>
    <n v="1"/>
  </r>
  <r>
    <x v="0"/>
    <x v="1"/>
    <x v="1"/>
    <x v="5"/>
    <x v="8"/>
    <x v="9"/>
    <x v="19"/>
    <n v="1"/>
  </r>
  <r>
    <x v="0"/>
    <x v="1"/>
    <x v="1"/>
    <x v="5"/>
    <x v="9"/>
    <x v="1"/>
    <x v="11"/>
    <n v="1"/>
  </r>
  <r>
    <x v="0"/>
    <x v="1"/>
    <x v="1"/>
    <x v="5"/>
    <x v="10"/>
    <x v="7"/>
    <x v="12"/>
    <n v="1"/>
  </r>
  <r>
    <x v="0"/>
    <x v="1"/>
    <x v="1"/>
    <x v="5"/>
    <x v="10"/>
    <x v="7"/>
    <x v="9"/>
    <n v="1"/>
  </r>
  <r>
    <x v="0"/>
    <x v="1"/>
    <x v="1"/>
    <x v="6"/>
    <x v="16"/>
    <x v="9"/>
    <x v="4"/>
    <n v="1"/>
  </r>
  <r>
    <x v="0"/>
    <x v="1"/>
    <x v="1"/>
    <x v="6"/>
    <x v="8"/>
    <x v="17"/>
    <x v="13"/>
    <n v="10"/>
  </r>
  <r>
    <x v="0"/>
    <x v="1"/>
    <x v="1"/>
    <x v="6"/>
    <x v="8"/>
    <x v="17"/>
    <x v="11"/>
    <n v="6"/>
  </r>
  <r>
    <x v="0"/>
    <x v="1"/>
    <x v="1"/>
    <x v="6"/>
    <x v="8"/>
    <x v="16"/>
    <x v="13"/>
    <n v="1"/>
  </r>
  <r>
    <x v="0"/>
    <x v="1"/>
    <x v="1"/>
    <x v="6"/>
    <x v="8"/>
    <x v="15"/>
    <x v="5"/>
    <n v="6"/>
  </r>
  <r>
    <x v="0"/>
    <x v="1"/>
    <x v="1"/>
    <x v="6"/>
    <x v="8"/>
    <x v="15"/>
    <x v="2"/>
    <n v="4"/>
  </r>
  <r>
    <x v="0"/>
    <x v="1"/>
    <x v="1"/>
    <x v="6"/>
    <x v="8"/>
    <x v="15"/>
    <x v="11"/>
    <n v="1"/>
  </r>
  <r>
    <x v="0"/>
    <x v="1"/>
    <x v="1"/>
    <x v="6"/>
    <x v="8"/>
    <x v="15"/>
    <x v="14"/>
    <n v="1"/>
  </r>
  <r>
    <x v="0"/>
    <x v="1"/>
    <x v="1"/>
    <x v="6"/>
    <x v="8"/>
    <x v="14"/>
    <x v="3"/>
    <n v="3"/>
  </r>
  <r>
    <x v="0"/>
    <x v="1"/>
    <x v="1"/>
    <x v="6"/>
    <x v="8"/>
    <x v="14"/>
    <x v="4"/>
    <n v="10"/>
  </r>
  <r>
    <x v="0"/>
    <x v="1"/>
    <x v="1"/>
    <x v="6"/>
    <x v="8"/>
    <x v="14"/>
    <x v="5"/>
    <n v="5"/>
  </r>
  <r>
    <x v="0"/>
    <x v="1"/>
    <x v="1"/>
    <x v="6"/>
    <x v="8"/>
    <x v="13"/>
    <x v="12"/>
    <n v="1"/>
  </r>
  <r>
    <x v="0"/>
    <x v="1"/>
    <x v="1"/>
    <x v="6"/>
    <x v="8"/>
    <x v="13"/>
    <x v="9"/>
    <n v="3"/>
  </r>
  <r>
    <x v="0"/>
    <x v="1"/>
    <x v="1"/>
    <x v="6"/>
    <x v="8"/>
    <x v="13"/>
    <x v="3"/>
    <n v="3"/>
  </r>
  <r>
    <x v="0"/>
    <x v="1"/>
    <x v="1"/>
    <x v="6"/>
    <x v="8"/>
    <x v="13"/>
    <x v="4"/>
    <n v="4"/>
  </r>
  <r>
    <x v="0"/>
    <x v="1"/>
    <x v="1"/>
    <x v="6"/>
    <x v="8"/>
    <x v="13"/>
    <x v="5"/>
    <n v="2"/>
  </r>
  <r>
    <x v="0"/>
    <x v="1"/>
    <x v="1"/>
    <x v="6"/>
    <x v="8"/>
    <x v="2"/>
    <x v="9"/>
    <n v="1"/>
  </r>
  <r>
    <x v="0"/>
    <x v="1"/>
    <x v="1"/>
    <x v="6"/>
    <x v="3"/>
    <x v="15"/>
    <x v="4"/>
    <n v="2"/>
  </r>
  <r>
    <x v="0"/>
    <x v="1"/>
    <x v="1"/>
    <x v="6"/>
    <x v="3"/>
    <x v="14"/>
    <x v="9"/>
    <n v="4"/>
  </r>
  <r>
    <x v="0"/>
    <x v="1"/>
    <x v="1"/>
    <x v="6"/>
    <x v="3"/>
    <x v="13"/>
    <x v="12"/>
    <n v="1"/>
  </r>
  <r>
    <x v="0"/>
    <x v="1"/>
    <x v="1"/>
    <x v="6"/>
    <x v="3"/>
    <x v="13"/>
    <x v="9"/>
    <n v="1"/>
  </r>
  <r>
    <x v="0"/>
    <x v="1"/>
    <x v="1"/>
    <x v="6"/>
    <x v="3"/>
    <x v="13"/>
    <x v="4"/>
    <n v="1"/>
  </r>
  <r>
    <x v="0"/>
    <x v="1"/>
    <x v="1"/>
    <x v="6"/>
    <x v="3"/>
    <x v="2"/>
    <x v="1"/>
    <n v="2"/>
  </r>
  <r>
    <x v="0"/>
    <x v="1"/>
    <x v="1"/>
    <x v="6"/>
    <x v="3"/>
    <x v="2"/>
    <x v="12"/>
    <n v="2"/>
  </r>
  <r>
    <x v="0"/>
    <x v="1"/>
    <x v="1"/>
    <x v="6"/>
    <x v="3"/>
    <x v="10"/>
    <x v="10"/>
    <n v="3"/>
  </r>
  <r>
    <x v="0"/>
    <x v="1"/>
    <x v="1"/>
    <x v="6"/>
    <x v="3"/>
    <x v="10"/>
    <x v="1"/>
    <n v="2"/>
  </r>
  <r>
    <x v="0"/>
    <x v="1"/>
    <x v="1"/>
    <x v="6"/>
    <x v="3"/>
    <x v="3"/>
    <x v="1"/>
    <n v="3"/>
  </r>
  <r>
    <x v="0"/>
    <x v="1"/>
    <x v="1"/>
    <x v="6"/>
    <x v="3"/>
    <x v="4"/>
    <x v="1"/>
    <n v="3"/>
  </r>
  <r>
    <x v="0"/>
    <x v="1"/>
    <x v="1"/>
    <x v="6"/>
    <x v="3"/>
    <x v="5"/>
    <x v="10"/>
    <n v="1"/>
  </r>
  <r>
    <x v="0"/>
    <x v="1"/>
    <x v="1"/>
    <x v="9"/>
    <x v="10"/>
    <x v="19"/>
    <x v="4"/>
    <n v="3"/>
  </r>
  <r>
    <x v="0"/>
    <x v="1"/>
    <x v="1"/>
    <x v="9"/>
    <x v="10"/>
    <x v="19"/>
    <x v="5"/>
    <n v="2"/>
  </r>
  <r>
    <x v="0"/>
    <x v="1"/>
    <x v="1"/>
    <x v="9"/>
    <x v="10"/>
    <x v="16"/>
    <x v="9"/>
    <n v="10"/>
  </r>
  <r>
    <x v="0"/>
    <x v="1"/>
    <x v="1"/>
    <x v="9"/>
    <x v="10"/>
    <x v="16"/>
    <x v="3"/>
    <n v="5"/>
  </r>
  <r>
    <x v="0"/>
    <x v="1"/>
    <x v="1"/>
    <x v="9"/>
    <x v="10"/>
    <x v="15"/>
    <x v="12"/>
    <n v="4"/>
  </r>
  <r>
    <x v="0"/>
    <x v="1"/>
    <x v="1"/>
    <x v="9"/>
    <x v="10"/>
    <x v="2"/>
    <x v="11"/>
    <n v="1"/>
  </r>
  <r>
    <x v="0"/>
    <x v="1"/>
    <x v="1"/>
    <x v="9"/>
    <x v="10"/>
    <x v="5"/>
    <x v="2"/>
    <n v="1"/>
  </r>
  <r>
    <x v="0"/>
    <x v="1"/>
    <x v="1"/>
    <x v="9"/>
    <x v="10"/>
    <x v="12"/>
    <x v="5"/>
    <n v="1"/>
  </r>
  <r>
    <x v="0"/>
    <x v="1"/>
    <x v="1"/>
    <x v="9"/>
    <x v="19"/>
    <x v="19"/>
    <x v="9"/>
    <n v="5"/>
  </r>
  <r>
    <x v="0"/>
    <x v="1"/>
    <x v="1"/>
    <x v="9"/>
    <x v="19"/>
    <x v="19"/>
    <x v="3"/>
    <n v="3"/>
  </r>
  <r>
    <x v="0"/>
    <x v="1"/>
    <x v="1"/>
    <x v="9"/>
    <x v="19"/>
    <x v="19"/>
    <x v="4"/>
    <n v="1"/>
  </r>
  <r>
    <x v="0"/>
    <x v="1"/>
    <x v="1"/>
    <x v="7"/>
    <x v="3"/>
    <x v="9"/>
    <x v="13"/>
    <n v="1"/>
  </r>
  <r>
    <x v="0"/>
    <x v="1"/>
    <x v="1"/>
    <x v="7"/>
    <x v="6"/>
    <x v="0"/>
    <x v="3"/>
    <n v="1"/>
  </r>
  <r>
    <x v="0"/>
    <x v="1"/>
    <x v="1"/>
    <x v="8"/>
    <x v="4"/>
    <x v="10"/>
    <x v="5"/>
    <n v="1"/>
  </r>
  <r>
    <x v="0"/>
    <x v="1"/>
    <x v="1"/>
    <x v="8"/>
    <x v="4"/>
    <x v="3"/>
    <x v="4"/>
    <n v="1"/>
  </r>
  <r>
    <x v="0"/>
    <x v="1"/>
    <x v="1"/>
    <x v="8"/>
    <x v="4"/>
    <x v="3"/>
    <x v="2"/>
    <n v="1"/>
  </r>
  <r>
    <x v="0"/>
    <x v="1"/>
    <x v="1"/>
    <x v="8"/>
    <x v="4"/>
    <x v="4"/>
    <x v="3"/>
    <n v="1"/>
  </r>
  <r>
    <x v="0"/>
    <x v="1"/>
    <x v="1"/>
    <x v="8"/>
    <x v="4"/>
    <x v="4"/>
    <x v="4"/>
    <n v="1"/>
  </r>
  <r>
    <x v="0"/>
    <x v="1"/>
    <x v="1"/>
    <x v="8"/>
    <x v="4"/>
    <x v="5"/>
    <x v="4"/>
    <n v="1"/>
  </r>
  <r>
    <x v="0"/>
    <x v="1"/>
    <x v="1"/>
    <x v="8"/>
    <x v="4"/>
    <x v="11"/>
    <x v="4"/>
    <n v="1"/>
  </r>
  <r>
    <x v="0"/>
    <x v="1"/>
    <x v="1"/>
    <x v="8"/>
    <x v="4"/>
    <x v="6"/>
    <x v="9"/>
    <n v="1"/>
  </r>
  <r>
    <x v="0"/>
    <x v="1"/>
    <x v="1"/>
    <x v="8"/>
    <x v="4"/>
    <x v="6"/>
    <x v="3"/>
    <n v="1"/>
  </r>
  <r>
    <x v="0"/>
    <x v="1"/>
    <x v="1"/>
    <x v="8"/>
    <x v="13"/>
    <x v="16"/>
    <x v="13"/>
    <n v="1"/>
  </r>
  <r>
    <x v="0"/>
    <x v="1"/>
    <x v="1"/>
    <x v="8"/>
    <x v="13"/>
    <x v="16"/>
    <x v="11"/>
    <n v="2"/>
  </r>
  <r>
    <x v="0"/>
    <x v="1"/>
    <x v="1"/>
    <x v="8"/>
    <x v="13"/>
    <x v="16"/>
    <x v="14"/>
    <n v="2"/>
  </r>
  <r>
    <x v="0"/>
    <x v="1"/>
    <x v="1"/>
    <x v="8"/>
    <x v="13"/>
    <x v="14"/>
    <x v="5"/>
    <n v="1"/>
  </r>
  <r>
    <x v="0"/>
    <x v="1"/>
    <x v="1"/>
    <x v="8"/>
    <x v="7"/>
    <x v="17"/>
    <x v="0"/>
    <n v="23"/>
  </r>
  <r>
    <x v="0"/>
    <x v="1"/>
    <x v="1"/>
    <x v="8"/>
    <x v="7"/>
    <x v="17"/>
    <x v="18"/>
    <n v="19"/>
  </r>
  <r>
    <x v="0"/>
    <x v="1"/>
    <x v="1"/>
    <x v="8"/>
    <x v="7"/>
    <x v="18"/>
    <x v="14"/>
    <n v="7"/>
  </r>
  <r>
    <x v="0"/>
    <x v="1"/>
    <x v="1"/>
    <x v="8"/>
    <x v="7"/>
    <x v="18"/>
    <x v="17"/>
    <n v="13"/>
  </r>
  <r>
    <x v="0"/>
    <x v="1"/>
    <x v="1"/>
    <x v="8"/>
    <x v="7"/>
    <x v="18"/>
    <x v="19"/>
    <n v="9"/>
  </r>
  <r>
    <x v="0"/>
    <x v="1"/>
    <x v="1"/>
    <x v="8"/>
    <x v="7"/>
    <x v="19"/>
    <x v="5"/>
    <n v="2"/>
  </r>
  <r>
    <x v="0"/>
    <x v="1"/>
    <x v="1"/>
    <x v="8"/>
    <x v="7"/>
    <x v="19"/>
    <x v="2"/>
    <n v="3"/>
  </r>
  <r>
    <x v="0"/>
    <x v="1"/>
    <x v="1"/>
    <x v="8"/>
    <x v="7"/>
    <x v="19"/>
    <x v="13"/>
    <n v="1"/>
  </r>
  <r>
    <x v="0"/>
    <x v="1"/>
    <x v="1"/>
    <x v="8"/>
    <x v="7"/>
    <x v="19"/>
    <x v="11"/>
    <n v="3"/>
  </r>
  <r>
    <x v="0"/>
    <x v="1"/>
    <x v="1"/>
    <x v="8"/>
    <x v="7"/>
    <x v="15"/>
    <x v="0"/>
    <n v="1"/>
  </r>
  <r>
    <x v="0"/>
    <x v="1"/>
    <x v="1"/>
    <x v="8"/>
    <x v="7"/>
    <x v="14"/>
    <x v="0"/>
    <n v="1"/>
  </r>
  <r>
    <x v="0"/>
    <x v="1"/>
    <x v="1"/>
    <x v="8"/>
    <x v="7"/>
    <x v="14"/>
    <x v="18"/>
    <n v="1"/>
  </r>
  <r>
    <x v="0"/>
    <x v="1"/>
    <x v="1"/>
    <x v="8"/>
    <x v="7"/>
    <x v="2"/>
    <x v="19"/>
    <n v="1"/>
  </r>
  <r>
    <x v="0"/>
    <x v="1"/>
    <x v="1"/>
    <x v="8"/>
    <x v="7"/>
    <x v="10"/>
    <x v="19"/>
    <n v="1"/>
  </r>
  <r>
    <x v="0"/>
    <x v="1"/>
    <x v="1"/>
    <x v="8"/>
    <x v="6"/>
    <x v="19"/>
    <x v="5"/>
    <n v="1"/>
  </r>
  <r>
    <x v="0"/>
    <x v="1"/>
    <x v="1"/>
    <x v="8"/>
    <x v="6"/>
    <x v="16"/>
    <x v="12"/>
    <n v="2"/>
  </r>
  <r>
    <x v="0"/>
    <x v="1"/>
    <x v="1"/>
    <x v="8"/>
    <x v="6"/>
    <x v="15"/>
    <x v="12"/>
    <n v="4"/>
  </r>
  <r>
    <x v="0"/>
    <x v="1"/>
    <x v="1"/>
    <x v="8"/>
    <x v="6"/>
    <x v="2"/>
    <x v="14"/>
    <n v="1"/>
  </r>
  <r>
    <x v="0"/>
    <x v="1"/>
    <x v="1"/>
    <x v="8"/>
    <x v="6"/>
    <x v="4"/>
    <x v="5"/>
    <n v="1"/>
  </r>
  <r>
    <x v="0"/>
    <x v="1"/>
    <x v="1"/>
    <x v="8"/>
    <x v="6"/>
    <x v="4"/>
    <x v="2"/>
    <n v="1"/>
  </r>
  <r>
    <x v="0"/>
    <x v="1"/>
    <x v="1"/>
    <x v="8"/>
    <x v="6"/>
    <x v="5"/>
    <x v="5"/>
    <n v="1"/>
  </r>
  <r>
    <x v="0"/>
    <x v="1"/>
    <x v="1"/>
    <x v="8"/>
    <x v="6"/>
    <x v="5"/>
    <x v="2"/>
    <n v="1"/>
  </r>
  <r>
    <x v="0"/>
    <x v="1"/>
    <x v="1"/>
    <x v="8"/>
    <x v="6"/>
    <x v="11"/>
    <x v="4"/>
    <n v="2"/>
  </r>
  <r>
    <x v="0"/>
    <x v="1"/>
    <x v="1"/>
    <x v="8"/>
    <x v="6"/>
    <x v="9"/>
    <x v="9"/>
    <n v="1"/>
  </r>
  <r>
    <x v="0"/>
    <x v="1"/>
    <x v="1"/>
    <x v="8"/>
    <x v="6"/>
    <x v="9"/>
    <x v="3"/>
    <n v="1"/>
  </r>
  <r>
    <x v="0"/>
    <x v="1"/>
    <x v="1"/>
    <x v="8"/>
    <x v="6"/>
    <x v="9"/>
    <x v="4"/>
    <n v="1"/>
  </r>
  <r>
    <x v="0"/>
    <x v="1"/>
    <x v="1"/>
    <x v="8"/>
    <x v="6"/>
    <x v="12"/>
    <x v="4"/>
    <n v="1"/>
  </r>
  <r>
    <x v="0"/>
    <x v="1"/>
    <x v="1"/>
    <x v="8"/>
    <x v="6"/>
    <x v="1"/>
    <x v="3"/>
    <n v="1"/>
  </r>
  <r>
    <x v="0"/>
    <x v="1"/>
    <x v="1"/>
    <x v="8"/>
    <x v="11"/>
    <x v="4"/>
    <x v="1"/>
    <n v="1"/>
  </r>
  <r>
    <x v="0"/>
    <x v="1"/>
    <x v="1"/>
    <x v="8"/>
    <x v="11"/>
    <x v="5"/>
    <x v="1"/>
    <n v="2"/>
  </r>
  <r>
    <x v="0"/>
    <x v="1"/>
    <x v="1"/>
    <x v="8"/>
    <x v="11"/>
    <x v="11"/>
    <x v="1"/>
    <n v="1"/>
  </r>
  <r>
    <x v="0"/>
    <x v="1"/>
    <x v="1"/>
    <x v="8"/>
    <x v="11"/>
    <x v="6"/>
    <x v="1"/>
    <n v="2"/>
  </r>
  <r>
    <x v="0"/>
    <x v="1"/>
    <x v="1"/>
    <x v="8"/>
    <x v="11"/>
    <x v="7"/>
    <x v="9"/>
    <n v="1"/>
  </r>
  <r>
    <x v="0"/>
    <x v="1"/>
    <x v="1"/>
    <x v="8"/>
    <x v="11"/>
    <x v="7"/>
    <x v="3"/>
    <n v="1"/>
  </r>
  <r>
    <x v="0"/>
    <x v="1"/>
    <x v="1"/>
    <x v="10"/>
    <x v="16"/>
    <x v="14"/>
    <x v="11"/>
    <n v="1"/>
  </r>
  <r>
    <x v="0"/>
    <x v="1"/>
    <x v="1"/>
    <x v="10"/>
    <x v="16"/>
    <x v="14"/>
    <x v="14"/>
    <n v="1"/>
  </r>
  <r>
    <x v="0"/>
    <x v="1"/>
    <x v="1"/>
    <x v="10"/>
    <x v="16"/>
    <x v="13"/>
    <x v="5"/>
    <n v="2"/>
  </r>
  <r>
    <x v="0"/>
    <x v="1"/>
    <x v="1"/>
    <x v="10"/>
    <x v="16"/>
    <x v="2"/>
    <x v="3"/>
    <n v="4"/>
  </r>
  <r>
    <x v="0"/>
    <x v="1"/>
    <x v="1"/>
    <x v="10"/>
    <x v="16"/>
    <x v="2"/>
    <x v="4"/>
    <n v="2"/>
  </r>
  <r>
    <x v="0"/>
    <x v="1"/>
    <x v="1"/>
    <x v="10"/>
    <x v="16"/>
    <x v="10"/>
    <x v="9"/>
    <n v="1"/>
  </r>
  <r>
    <x v="0"/>
    <x v="1"/>
    <x v="1"/>
    <x v="10"/>
    <x v="16"/>
    <x v="10"/>
    <x v="3"/>
    <n v="3"/>
  </r>
  <r>
    <x v="0"/>
    <x v="1"/>
    <x v="1"/>
    <x v="10"/>
    <x v="16"/>
    <x v="10"/>
    <x v="4"/>
    <n v="2"/>
  </r>
  <r>
    <x v="0"/>
    <x v="1"/>
    <x v="1"/>
    <x v="10"/>
    <x v="16"/>
    <x v="10"/>
    <x v="5"/>
    <n v="1"/>
  </r>
  <r>
    <x v="0"/>
    <x v="1"/>
    <x v="1"/>
    <x v="10"/>
    <x v="16"/>
    <x v="3"/>
    <x v="12"/>
    <n v="14"/>
  </r>
  <r>
    <x v="0"/>
    <x v="1"/>
    <x v="1"/>
    <x v="10"/>
    <x v="16"/>
    <x v="3"/>
    <x v="9"/>
    <n v="7"/>
  </r>
  <r>
    <x v="0"/>
    <x v="1"/>
    <x v="1"/>
    <x v="10"/>
    <x v="16"/>
    <x v="3"/>
    <x v="3"/>
    <n v="1"/>
  </r>
  <r>
    <x v="0"/>
    <x v="1"/>
    <x v="1"/>
    <x v="10"/>
    <x v="16"/>
    <x v="4"/>
    <x v="12"/>
    <n v="13"/>
  </r>
  <r>
    <x v="0"/>
    <x v="1"/>
    <x v="1"/>
    <x v="10"/>
    <x v="16"/>
    <x v="4"/>
    <x v="9"/>
    <n v="6"/>
  </r>
  <r>
    <x v="0"/>
    <x v="1"/>
    <x v="1"/>
    <x v="10"/>
    <x v="16"/>
    <x v="4"/>
    <x v="3"/>
    <n v="1"/>
  </r>
  <r>
    <x v="0"/>
    <x v="1"/>
    <x v="1"/>
    <x v="10"/>
    <x v="16"/>
    <x v="5"/>
    <x v="1"/>
    <n v="14"/>
  </r>
  <r>
    <x v="0"/>
    <x v="1"/>
    <x v="1"/>
    <x v="10"/>
    <x v="16"/>
    <x v="5"/>
    <x v="12"/>
    <n v="10"/>
  </r>
  <r>
    <x v="0"/>
    <x v="1"/>
    <x v="1"/>
    <x v="10"/>
    <x v="16"/>
    <x v="5"/>
    <x v="9"/>
    <n v="7"/>
  </r>
  <r>
    <x v="0"/>
    <x v="1"/>
    <x v="1"/>
    <x v="10"/>
    <x v="16"/>
    <x v="11"/>
    <x v="1"/>
    <n v="9"/>
  </r>
  <r>
    <x v="0"/>
    <x v="1"/>
    <x v="1"/>
    <x v="10"/>
    <x v="16"/>
    <x v="11"/>
    <x v="12"/>
    <n v="10"/>
  </r>
  <r>
    <x v="0"/>
    <x v="1"/>
    <x v="1"/>
    <x v="10"/>
    <x v="16"/>
    <x v="6"/>
    <x v="1"/>
    <n v="2"/>
  </r>
  <r>
    <x v="0"/>
    <x v="1"/>
    <x v="1"/>
    <x v="11"/>
    <x v="0"/>
    <x v="6"/>
    <x v="1"/>
    <n v="3"/>
  </r>
  <r>
    <x v="0"/>
    <x v="1"/>
    <x v="1"/>
    <x v="11"/>
    <x v="14"/>
    <x v="11"/>
    <x v="11"/>
    <n v="1"/>
  </r>
  <r>
    <x v="0"/>
    <x v="1"/>
    <x v="1"/>
    <x v="11"/>
    <x v="14"/>
    <x v="12"/>
    <x v="13"/>
    <n v="1"/>
  </r>
  <r>
    <x v="0"/>
    <x v="1"/>
    <x v="1"/>
    <x v="11"/>
    <x v="14"/>
    <x v="12"/>
    <x v="11"/>
    <n v="1"/>
  </r>
  <r>
    <x v="0"/>
    <x v="1"/>
    <x v="1"/>
    <x v="11"/>
    <x v="14"/>
    <x v="1"/>
    <x v="2"/>
    <n v="1"/>
  </r>
  <r>
    <x v="0"/>
    <x v="1"/>
    <x v="1"/>
    <x v="11"/>
    <x v="8"/>
    <x v="13"/>
    <x v="6"/>
    <n v="1"/>
  </r>
  <r>
    <x v="0"/>
    <x v="1"/>
    <x v="1"/>
    <x v="11"/>
    <x v="8"/>
    <x v="13"/>
    <x v="10"/>
    <n v="3"/>
  </r>
  <r>
    <x v="0"/>
    <x v="1"/>
    <x v="1"/>
    <x v="11"/>
    <x v="7"/>
    <x v="5"/>
    <x v="4"/>
    <n v="2"/>
  </r>
  <r>
    <x v="0"/>
    <x v="1"/>
    <x v="1"/>
    <x v="11"/>
    <x v="7"/>
    <x v="11"/>
    <x v="13"/>
    <n v="2"/>
  </r>
  <r>
    <x v="0"/>
    <x v="1"/>
    <x v="1"/>
    <x v="11"/>
    <x v="7"/>
    <x v="6"/>
    <x v="4"/>
    <n v="1"/>
  </r>
  <r>
    <x v="0"/>
    <x v="1"/>
    <x v="1"/>
    <x v="11"/>
    <x v="7"/>
    <x v="6"/>
    <x v="5"/>
    <n v="1"/>
  </r>
  <r>
    <x v="0"/>
    <x v="1"/>
    <x v="1"/>
    <x v="12"/>
    <x v="1"/>
    <x v="15"/>
    <x v="13"/>
    <n v="1"/>
  </r>
  <r>
    <x v="0"/>
    <x v="1"/>
    <x v="1"/>
    <x v="12"/>
    <x v="1"/>
    <x v="14"/>
    <x v="4"/>
    <n v="1"/>
  </r>
  <r>
    <x v="0"/>
    <x v="1"/>
    <x v="1"/>
    <x v="12"/>
    <x v="6"/>
    <x v="17"/>
    <x v="18"/>
    <n v="1"/>
  </r>
  <r>
    <x v="0"/>
    <x v="1"/>
    <x v="1"/>
    <x v="12"/>
    <x v="6"/>
    <x v="19"/>
    <x v="12"/>
    <n v="10"/>
  </r>
  <r>
    <x v="0"/>
    <x v="1"/>
    <x v="1"/>
    <x v="12"/>
    <x v="6"/>
    <x v="19"/>
    <x v="9"/>
    <n v="2"/>
  </r>
  <r>
    <x v="0"/>
    <x v="1"/>
    <x v="1"/>
    <x v="12"/>
    <x v="6"/>
    <x v="19"/>
    <x v="3"/>
    <n v="1"/>
  </r>
  <r>
    <x v="0"/>
    <x v="1"/>
    <x v="1"/>
    <x v="12"/>
    <x v="6"/>
    <x v="19"/>
    <x v="4"/>
    <n v="1"/>
  </r>
  <r>
    <x v="0"/>
    <x v="1"/>
    <x v="1"/>
    <x v="12"/>
    <x v="6"/>
    <x v="16"/>
    <x v="10"/>
    <n v="5"/>
  </r>
  <r>
    <x v="0"/>
    <x v="1"/>
    <x v="1"/>
    <x v="12"/>
    <x v="6"/>
    <x v="16"/>
    <x v="1"/>
    <n v="9"/>
  </r>
  <r>
    <x v="0"/>
    <x v="1"/>
    <x v="1"/>
    <x v="12"/>
    <x v="6"/>
    <x v="15"/>
    <x v="6"/>
    <n v="2"/>
  </r>
  <r>
    <x v="0"/>
    <x v="1"/>
    <x v="1"/>
    <x v="12"/>
    <x v="6"/>
    <x v="15"/>
    <x v="10"/>
    <n v="10"/>
  </r>
  <r>
    <x v="0"/>
    <x v="1"/>
    <x v="1"/>
    <x v="12"/>
    <x v="6"/>
    <x v="15"/>
    <x v="1"/>
    <n v="6"/>
  </r>
  <r>
    <x v="0"/>
    <x v="1"/>
    <x v="1"/>
    <x v="12"/>
    <x v="6"/>
    <x v="14"/>
    <x v="6"/>
    <n v="1"/>
  </r>
  <r>
    <x v="0"/>
    <x v="1"/>
    <x v="1"/>
    <x v="12"/>
    <x v="6"/>
    <x v="14"/>
    <x v="10"/>
    <n v="7"/>
  </r>
  <r>
    <x v="0"/>
    <x v="1"/>
    <x v="1"/>
    <x v="12"/>
    <x v="6"/>
    <x v="13"/>
    <x v="6"/>
    <n v="1"/>
  </r>
  <r>
    <x v="0"/>
    <x v="1"/>
    <x v="1"/>
    <x v="12"/>
    <x v="6"/>
    <x v="2"/>
    <x v="5"/>
    <n v="1"/>
  </r>
  <r>
    <x v="0"/>
    <x v="1"/>
    <x v="1"/>
    <x v="12"/>
    <x v="6"/>
    <x v="10"/>
    <x v="5"/>
    <n v="1"/>
  </r>
  <r>
    <x v="0"/>
    <x v="1"/>
    <x v="1"/>
    <x v="12"/>
    <x v="6"/>
    <x v="10"/>
    <x v="2"/>
    <n v="2"/>
  </r>
  <r>
    <x v="0"/>
    <x v="1"/>
    <x v="1"/>
    <x v="12"/>
    <x v="6"/>
    <x v="10"/>
    <x v="13"/>
    <n v="1"/>
  </r>
  <r>
    <x v="0"/>
    <x v="1"/>
    <x v="1"/>
    <x v="12"/>
    <x v="6"/>
    <x v="3"/>
    <x v="3"/>
    <n v="3"/>
  </r>
  <r>
    <x v="0"/>
    <x v="1"/>
    <x v="1"/>
    <x v="12"/>
    <x v="6"/>
    <x v="3"/>
    <x v="4"/>
    <n v="1"/>
  </r>
  <r>
    <x v="0"/>
    <x v="1"/>
    <x v="1"/>
    <x v="12"/>
    <x v="6"/>
    <x v="3"/>
    <x v="2"/>
    <n v="1"/>
  </r>
  <r>
    <x v="0"/>
    <x v="1"/>
    <x v="1"/>
    <x v="12"/>
    <x v="6"/>
    <x v="3"/>
    <x v="11"/>
    <n v="1"/>
  </r>
  <r>
    <x v="0"/>
    <x v="1"/>
    <x v="1"/>
    <x v="12"/>
    <x v="6"/>
    <x v="4"/>
    <x v="9"/>
    <n v="3"/>
  </r>
  <r>
    <x v="0"/>
    <x v="1"/>
    <x v="1"/>
    <x v="12"/>
    <x v="6"/>
    <x v="4"/>
    <x v="3"/>
    <n v="1"/>
  </r>
  <r>
    <x v="0"/>
    <x v="1"/>
    <x v="1"/>
    <x v="12"/>
    <x v="6"/>
    <x v="4"/>
    <x v="4"/>
    <n v="1"/>
  </r>
  <r>
    <x v="0"/>
    <x v="1"/>
    <x v="1"/>
    <x v="12"/>
    <x v="6"/>
    <x v="4"/>
    <x v="5"/>
    <n v="1"/>
  </r>
  <r>
    <x v="0"/>
    <x v="1"/>
    <x v="1"/>
    <x v="12"/>
    <x v="6"/>
    <x v="4"/>
    <x v="13"/>
    <n v="1"/>
  </r>
  <r>
    <x v="0"/>
    <x v="1"/>
    <x v="1"/>
    <x v="12"/>
    <x v="6"/>
    <x v="5"/>
    <x v="12"/>
    <n v="4"/>
  </r>
  <r>
    <x v="0"/>
    <x v="1"/>
    <x v="1"/>
    <x v="12"/>
    <x v="6"/>
    <x v="5"/>
    <x v="9"/>
    <n v="5"/>
  </r>
  <r>
    <x v="0"/>
    <x v="1"/>
    <x v="1"/>
    <x v="12"/>
    <x v="6"/>
    <x v="5"/>
    <x v="3"/>
    <n v="2"/>
  </r>
  <r>
    <x v="0"/>
    <x v="1"/>
    <x v="1"/>
    <x v="12"/>
    <x v="6"/>
    <x v="5"/>
    <x v="4"/>
    <n v="1"/>
  </r>
  <r>
    <x v="0"/>
    <x v="1"/>
    <x v="1"/>
    <x v="12"/>
    <x v="6"/>
    <x v="5"/>
    <x v="2"/>
    <n v="2"/>
  </r>
  <r>
    <x v="0"/>
    <x v="1"/>
    <x v="1"/>
    <x v="12"/>
    <x v="6"/>
    <x v="11"/>
    <x v="12"/>
    <n v="4"/>
  </r>
  <r>
    <x v="0"/>
    <x v="1"/>
    <x v="1"/>
    <x v="12"/>
    <x v="6"/>
    <x v="11"/>
    <x v="9"/>
    <n v="7"/>
  </r>
  <r>
    <x v="0"/>
    <x v="1"/>
    <x v="1"/>
    <x v="12"/>
    <x v="6"/>
    <x v="11"/>
    <x v="3"/>
    <n v="3"/>
  </r>
  <r>
    <x v="0"/>
    <x v="1"/>
    <x v="1"/>
    <x v="12"/>
    <x v="6"/>
    <x v="11"/>
    <x v="4"/>
    <n v="4"/>
  </r>
  <r>
    <x v="0"/>
    <x v="1"/>
    <x v="1"/>
    <x v="12"/>
    <x v="6"/>
    <x v="11"/>
    <x v="5"/>
    <n v="1"/>
  </r>
  <r>
    <x v="0"/>
    <x v="1"/>
    <x v="1"/>
    <x v="12"/>
    <x v="6"/>
    <x v="6"/>
    <x v="12"/>
    <n v="4"/>
  </r>
  <r>
    <x v="0"/>
    <x v="1"/>
    <x v="1"/>
    <x v="12"/>
    <x v="6"/>
    <x v="6"/>
    <x v="9"/>
    <n v="2"/>
  </r>
  <r>
    <x v="0"/>
    <x v="1"/>
    <x v="1"/>
    <x v="12"/>
    <x v="6"/>
    <x v="6"/>
    <x v="4"/>
    <n v="1"/>
  </r>
  <r>
    <x v="0"/>
    <x v="1"/>
    <x v="1"/>
    <x v="12"/>
    <x v="6"/>
    <x v="6"/>
    <x v="5"/>
    <n v="2"/>
  </r>
  <r>
    <x v="0"/>
    <x v="1"/>
    <x v="1"/>
    <x v="12"/>
    <x v="6"/>
    <x v="9"/>
    <x v="9"/>
    <n v="6"/>
  </r>
  <r>
    <x v="0"/>
    <x v="1"/>
    <x v="1"/>
    <x v="12"/>
    <x v="6"/>
    <x v="9"/>
    <x v="3"/>
    <n v="8"/>
  </r>
  <r>
    <x v="0"/>
    <x v="1"/>
    <x v="1"/>
    <x v="12"/>
    <x v="6"/>
    <x v="12"/>
    <x v="1"/>
    <n v="1"/>
  </r>
  <r>
    <x v="0"/>
    <x v="1"/>
    <x v="1"/>
    <x v="12"/>
    <x v="6"/>
    <x v="12"/>
    <x v="9"/>
    <n v="3"/>
  </r>
  <r>
    <x v="0"/>
    <x v="1"/>
    <x v="1"/>
    <x v="12"/>
    <x v="6"/>
    <x v="12"/>
    <x v="3"/>
    <n v="4"/>
  </r>
  <r>
    <x v="0"/>
    <x v="1"/>
    <x v="1"/>
    <x v="12"/>
    <x v="6"/>
    <x v="1"/>
    <x v="9"/>
    <n v="1"/>
  </r>
  <r>
    <x v="0"/>
    <x v="1"/>
    <x v="1"/>
    <x v="13"/>
    <x v="0"/>
    <x v="13"/>
    <x v="4"/>
    <n v="1"/>
  </r>
  <r>
    <x v="0"/>
    <x v="1"/>
    <x v="1"/>
    <x v="13"/>
    <x v="15"/>
    <x v="12"/>
    <x v="3"/>
    <n v="1"/>
  </r>
  <r>
    <x v="0"/>
    <x v="1"/>
    <x v="1"/>
    <x v="13"/>
    <x v="15"/>
    <x v="1"/>
    <x v="9"/>
    <n v="1"/>
  </r>
  <r>
    <x v="0"/>
    <x v="1"/>
    <x v="1"/>
    <x v="13"/>
    <x v="17"/>
    <x v="16"/>
    <x v="19"/>
    <n v="1"/>
  </r>
  <r>
    <x v="0"/>
    <x v="1"/>
    <x v="1"/>
    <x v="13"/>
    <x v="17"/>
    <x v="15"/>
    <x v="11"/>
    <n v="1"/>
  </r>
  <r>
    <x v="0"/>
    <x v="1"/>
    <x v="1"/>
    <x v="13"/>
    <x v="17"/>
    <x v="14"/>
    <x v="2"/>
    <n v="1"/>
  </r>
  <r>
    <x v="0"/>
    <x v="1"/>
    <x v="1"/>
    <x v="13"/>
    <x v="17"/>
    <x v="14"/>
    <x v="13"/>
    <n v="3"/>
  </r>
  <r>
    <x v="0"/>
    <x v="1"/>
    <x v="1"/>
    <x v="13"/>
    <x v="17"/>
    <x v="14"/>
    <x v="14"/>
    <n v="2"/>
  </r>
  <r>
    <x v="0"/>
    <x v="1"/>
    <x v="1"/>
    <x v="13"/>
    <x v="17"/>
    <x v="13"/>
    <x v="5"/>
    <n v="1"/>
  </r>
  <r>
    <x v="0"/>
    <x v="1"/>
    <x v="1"/>
    <x v="13"/>
    <x v="17"/>
    <x v="13"/>
    <x v="13"/>
    <n v="1"/>
  </r>
  <r>
    <x v="0"/>
    <x v="1"/>
    <x v="0"/>
    <x v="11"/>
    <x v="0"/>
    <x v="11"/>
    <x v="7"/>
    <n v="15"/>
  </r>
  <r>
    <x v="0"/>
    <x v="1"/>
    <x v="0"/>
    <x v="11"/>
    <x v="0"/>
    <x v="11"/>
    <x v="6"/>
    <n v="6"/>
  </r>
  <r>
    <x v="0"/>
    <x v="1"/>
    <x v="0"/>
    <x v="11"/>
    <x v="0"/>
    <x v="11"/>
    <x v="3"/>
    <n v="1"/>
  </r>
  <r>
    <x v="0"/>
    <x v="1"/>
    <x v="0"/>
    <x v="11"/>
    <x v="0"/>
    <x v="6"/>
    <x v="7"/>
    <n v="12"/>
  </r>
  <r>
    <x v="0"/>
    <x v="1"/>
    <x v="0"/>
    <x v="11"/>
    <x v="0"/>
    <x v="6"/>
    <x v="6"/>
    <n v="14"/>
  </r>
  <r>
    <x v="0"/>
    <x v="1"/>
    <x v="0"/>
    <x v="11"/>
    <x v="0"/>
    <x v="6"/>
    <x v="9"/>
    <n v="2"/>
  </r>
  <r>
    <x v="0"/>
    <x v="1"/>
    <x v="0"/>
    <x v="11"/>
    <x v="0"/>
    <x v="6"/>
    <x v="5"/>
    <n v="1"/>
  </r>
  <r>
    <x v="0"/>
    <x v="1"/>
    <x v="0"/>
    <x v="11"/>
    <x v="0"/>
    <x v="9"/>
    <x v="8"/>
    <n v="91"/>
  </r>
  <r>
    <x v="0"/>
    <x v="1"/>
    <x v="0"/>
    <x v="11"/>
    <x v="0"/>
    <x v="9"/>
    <x v="7"/>
    <n v="17"/>
  </r>
  <r>
    <x v="0"/>
    <x v="1"/>
    <x v="0"/>
    <x v="11"/>
    <x v="0"/>
    <x v="9"/>
    <x v="12"/>
    <n v="2"/>
  </r>
  <r>
    <x v="0"/>
    <x v="1"/>
    <x v="0"/>
    <x v="11"/>
    <x v="0"/>
    <x v="9"/>
    <x v="4"/>
    <n v="2"/>
  </r>
  <r>
    <x v="0"/>
    <x v="1"/>
    <x v="0"/>
    <x v="11"/>
    <x v="0"/>
    <x v="12"/>
    <x v="8"/>
    <n v="67"/>
  </r>
  <r>
    <x v="0"/>
    <x v="1"/>
    <x v="0"/>
    <x v="11"/>
    <x v="0"/>
    <x v="12"/>
    <x v="7"/>
    <n v="27"/>
  </r>
  <r>
    <x v="0"/>
    <x v="1"/>
    <x v="0"/>
    <x v="11"/>
    <x v="0"/>
    <x v="12"/>
    <x v="12"/>
    <n v="3"/>
  </r>
  <r>
    <x v="0"/>
    <x v="1"/>
    <x v="0"/>
    <x v="11"/>
    <x v="0"/>
    <x v="12"/>
    <x v="9"/>
    <n v="1"/>
  </r>
  <r>
    <x v="0"/>
    <x v="1"/>
    <x v="0"/>
    <x v="11"/>
    <x v="0"/>
    <x v="1"/>
    <x v="8"/>
    <n v="7"/>
  </r>
  <r>
    <x v="0"/>
    <x v="1"/>
    <x v="0"/>
    <x v="11"/>
    <x v="0"/>
    <x v="8"/>
    <x v="5"/>
    <n v="1"/>
  </r>
  <r>
    <x v="0"/>
    <x v="1"/>
    <x v="0"/>
    <x v="11"/>
    <x v="0"/>
    <x v="0"/>
    <x v="12"/>
    <n v="2"/>
  </r>
  <r>
    <x v="0"/>
    <x v="1"/>
    <x v="0"/>
    <x v="11"/>
    <x v="16"/>
    <x v="0"/>
    <x v="2"/>
    <n v="1"/>
  </r>
  <r>
    <x v="0"/>
    <x v="1"/>
    <x v="0"/>
    <x v="11"/>
    <x v="8"/>
    <x v="13"/>
    <x v="15"/>
    <n v="355"/>
  </r>
  <r>
    <x v="0"/>
    <x v="1"/>
    <x v="0"/>
    <x v="11"/>
    <x v="8"/>
    <x v="2"/>
    <x v="15"/>
    <n v="2272"/>
  </r>
  <r>
    <x v="0"/>
    <x v="1"/>
    <x v="0"/>
    <x v="11"/>
    <x v="8"/>
    <x v="2"/>
    <x v="8"/>
    <n v="178"/>
  </r>
  <r>
    <x v="0"/>
    <x v="1"/>
    <x v="0"/>
    <x v="11"/>
    <x v="8"/>
    <x v="10"/>
    <x v="15"/>
    <n v="1952"/>
  </r>
  <r>
    <x v="0"/>
    <x v="1"/>
    <x v="0"/>
    <x v="11"/>
    <x v="8"/>
    <x v="10"/>
    <x v="8"/>
    <n v="207"/>
  </r>
  <r>
    <x v="0"/>
    <x v="1"/>
    <x v="0"/>
    <x v="11"/>
    <x v="8"/>
    <x v="3"/>
    <x v="15"/>
    <n v="1151"/>
  </r>
  <r>
    <x v="0"/>
    <x v="1"/>
    <x v="0"/>
    <x v="11"/>
    <x v="8"/>
    <x v="3"/>
    <x v="8"/>
    <n v="432"/>
  </r>
  <r>
    <x v="0"/>
    <x v="1"/>
    <x v="0"/>
    <x v="11"/>
    <x v="8"/>
    <x v="4"/>
    <x v="15"/>
    <n v="328"/>
  </r>
  <r>
    <x v="0"/>
    <x v="1"/>
    <x v="0"/>
    <x v="11"/>
    <x v="8"/>
    <x v="5"/>
    <x v="15"/>
    <n v="26"/>
  </r>
  <r>
    <x v="0"/>
    <x v="1"/>
    <x v="0"/>
    <x v="11"/>
    <x v="8"/>
    <x v="9"/>
    <x v="1"/>
    <n v="4"/>
  </r>
  <r>
    <x v="0"/>
    <x v="1"/>
    <x v="0"/>
    <x v="11"/>
    <x v="8"/>
    <x v="12"/>
    <x v="1"/>
    <n v="3"/>
  </r>
  <r>
    <x v="0"/>
    <x v="1"/>
    <x v="0"/>
    <x v="11"/>
    <x v="8"/>
    <x v="1"/>
    <x v="10"/>
    <n v="2"/>
  </r>
  <r>
    <x v="0"/>
    <x v="1"/>
    <x v="0"/>
    <x v="11"/>
    <x v="8"/>
    <x v="1"/>
    <x v="1"/>
    <n v="3"/>
  </r>
  <r>
    <x v="0"/>
    <x v="1"/>
    <x v="0"/>
    <x v="11"/>
    <x v="8"/>
    <x v="0"/>
    <x v="10"/>
    <n v="16"/>
  </r>
  <r>
    <x v="0"/>
    <x v="1"/>
    <x v="0"/>
    <x v="11"/>
    <x v="8"/>
    <x v="0"/>
    <x v="1"/>
    <n v="5"/>
  </r>
  <r>
    <x v="0"/>
    <x v="1"/>
    <x v="0"/>
    <x v="11"/>
    <x v="7"/>
    <x v="0"/>
    <x v="5"/>
    <n v="3"/>
  </r>
  <r>
    <x v="0"/>
    <x v="1"/>
    <x v="0"/>
    <x v="12"/>
    <x v="12"/>
    <x v="4"/>
    <x v="6"/>
    <n v="3"/>
  </r>
  <r>
    <x v="0"/>
    <x v="1"/>
    <x v="0"/>
    <x v="12"/>
    <x v="12"/>
    <x v="4"/>
    <x v="12"/>
    <n v="1"/>
  </r>
  <r>
    <x v="0"/>
    <x v="1"/>
    <x v="0"/>
    <x v="12"/>
    <x v="12"/>
    <x v="5"/>
    <x v="6"/>
    <n v="1"/>
  </r>
  <r>
    <x v="0"/>
    <x v="1"/>
    <x v="0"/>
    <x v="12"/>
    <x v="12"/>
    <x v="5"/>
    <x v="10"/>
    <n v="2"/>
  </r>
  <r>
    <x v="0"/>
    <x v="1"/>
    <x v="0"/>
    <x v="12"/>
    <x v="12"/>
    <x v="5"/>
    <x v="12"/>
    <n v="1"/>
  </r>
  <r>
    <x v="0"/>
    <x v="1"/>
    <x v="0"/>
    <x v="12"/>
    <x v="12"/>
    <x v="5"/>
    <x v="4"/>
    <n v="1"/>
  </r>
  <r>
    <x v="0"/>
    <x v="1"/>
    <x v="0"/>
    <x v="12"/>
    <x v="12"/>
    <x v="11"/>
    <x v="7"/>
    <n v="4"/>
  </r>
  <r>
    <x v="0"/>
    <x v="1"/>
    <x v="0"/>
    <x v="12"/>
    <x v="12"/>
    <x v="11"/>
    <x v="6"/>
    <n v="2"/>
  </r>
  <r>
    <x v="0"/>
    <x v="1"/>
    <x v="0"/>
    <x v="12"/>
    <x v="12"/>
    <x v="6"/>
    <x v="7"/>
    <n v="6"/>
  </r>
  <r>
    <x v="0"/>
    <x v="1"/>
    <x v="0"/>
    <x v="12"/>
    <x v="12"/>
    <x v="6"/>
    <x v="6"/>
    <n v="3"/>
  </r>
  <r>
    <x v="0"/>
    <x v="1"/>
    <x v="0"/>
    <x v="12"/>
    <x v="12"/>
    <x v="9"/>
    <x v="7"/>
    <n v="7"/>
  </r>
  <r>
    <x v="0"/>
    <x v="1"/>
    <x v="0"/>
    <x v="12"/>
    <x v="12"/>
    <x v="9"/>
    <x v="6"/>
    <n v="3"/>
  </r>
  <r>
    <x v="0"/>
    <x v="1"/>
    <x v="0"/>
    <x v="12"/>
    <x v="12"/>
    <x v="9"/>
    <x v="12"/>
    <n v="1"/>
  </r>
  <r>
    <x v="0"/>
    <x v="1"/>
    <x v="0"/>
    <x v="12"/>
    <x v="12"/>
    <x v="12"/>
    <x v="7"/>
    <n v="4"/>
  </r>
  <r>
    <x v="0"/>
    <x v="1"/>
    <x v="0"/>
    <x v="12"/>
    <x v="12"/>
    <x v="7"/>
    <x v="10"/>
    <n v="1"/>
  </r>
  <r>
    <x v="0"/>
    <x v="1"/>
    <x v="0"/>
    <x v="12"/>
    <x v="6"/>
    <x v="5"/>
    <x v="1"/>
    <n v="1"/>
  </r>
  <r>
    <x v="0"/>
    <x v="1"/>
    <x v="0"/>
    <x v="12"/>
    <x v="6"/>
    <x v="11"/>
    <x v="10"/>
    <n v="3"/>
  </r>
  <r>
    <x v="0"/>
    <x v="1"/>
    <x v="0"/>
    <x v="12"/>
    <x v="6"/>
    <x v="6"/>
    <x v="10"/>
    <n v="1"/>
  </r>
  <r>
    <x v="0"/>
    <x v="1"/>
    <x v="0"/>
    <x v="12"/>
    <x v="6"/>
    <x v="6"/>
    <x v="1"/>
    <n v="3"/>
  </r>
  <r>
    <x v="0"/>
    <x v="1"/>
    <x v="0"/>
    <x v="12"/>
    <x v="6"/>
    <x v="9"/>
    <x v="10"/>
    <n v="2"/>
  </r>
  <r>
    <x v="0"/>
    <x v="1"/>
    <x v="0"/>
    <x v="12"/>
    <x v="6"/>
    <x v="9"/>
    <x v="1"/>
    <n v="3"/>
  </r>
  <r>
    <x v="0"/>
    <x v="1"/>
    <x v="0"/>
    <x v="12"/>
    <x v="6"/>
    <x v="12"/>
    <x v="10"/>
    <n v="1"/>
  </r>
  <r>
    <x v="0"/>
    <x v="1"/>
    <x v="0"/>
    <x v="12"/>
    <x v="6"/>
    <x v="12"/>
    <x v="1"/>
    <n v="2"/>
  </r>
  <r>
    <x v="0"/>
    <x v="1"/>
    <x v="0"/>
    <x v="12"/>
    <x v="6"/>
    <x v="1"/>
    <x v="1"/>
    <n v="1"/>
  </r>
  <r>
    <x v="0"/>
    <x v="1"/>
    <x v="0"/>
    <x v="13"/>
    <x v="13"/>
    <x v="1"/>
    <x v="1"/>
    <n v="1"/>
  </r>
  <r>
    <x v="0"/>
    <x v="1"/>
    <x v="0"/>
    <x v="13"/>
    <x v="13"/>
    <x v="0"/>
    <x v="10"/>
    <n v="2"/>
  </r>
  <r>
    <x v="0"/>
    <x v="1"/>
    <x v="0"/>
    <x v="13"/>
    <x v="15"/>
    <x v="1"/>
    <x v="1"/>
    <n v="1"/>
  </r>
  <r>
    <x v="0"/>
    <x v="1"/>
    <x v="0"/>
    <x v="13"/>
    <x v="15"/>
    <x v="0"/>
    <x v="1"/>
    <n v="3"/>
  </r>
  <r>
    <x v="0"/>
    <x v="1"/>
    <x v="0"/>
    <x v="13"/>
    <x v="17"/>
    <x v="16"/>
    <x v="2"/>
    <n v="1"/>
  </r>
  <r>
    <x v="0"/>
    <x v="1"/>
    <x v="0"/>
    <x v="13"/>
    <x v="17"/>
    <x v="15"/>
    <x v="4"/>
    <n v="35"/>
  </r>
  <r>
    <x v="0"/>
    <x v="1"/>
    <x v="0"/>
    <x v="13"/>
    <x v="17"/>
    <x v="15"/>
    <x v="5"/>
    <n v="42"/>
  </r>
  <r>
    <x v="0"/>
    <x v="1"/>
    <x v="0"/>
    <x v="13"/>
    <x v="17"/>
    <x v="15"/>
    <x v="2"/>
    <n v="17"/>
  </r>
  <r>
    <x v="0"/>
    <x v="1"/>
    <x v="0"/>
    <x v="13"/>
    <x v="17"/>
    <x v="15"/>
    <x v="13"/>
    <n v="2"/>
  </r>
  <r>
    <x v="0"/>
    <x v="1"/>
    <x v="0"/>
    <x v="13"/>
    <x v="17"/>
    <x v="14"/>
    <x v="9"/>
    <n v="61"/>
  </r>
  <r>
    <x v="0"/>
    <x v="1"/>
    <x v="0"/>
    <x v="13"/>
    <x v="17"/>
    <x v="14"/>
    <x v="3"/>
    <n v="87"/>
  </r>
  <r>
    <x v="0"/>
    <x v="1"/>
    <x v="0"/>
    <x v="13"/>
    <x v="17"/>
    <x v="14"/>
    <x v="4"/>
    <n v="94"/>
  </r>
  <r>
    <x v="0"/>
    <x v="1"/>
    <x v="0"/>
    <x v="13"/>
    <x v="17"/>
    <x v="14"/>
    <x v="5"/>
    <n v="80"/>
  </r>
  <r>
    <x v="0"/>
    <x v="1"/>
    <x v="1"/>
    <x v="13"/>
    <x v="17"/>
    <x v="13"/>
    <x v="11"/>
    <n v="1"/>
  </r>
  <r>
    <x v="0"/>
    <x v="1"/>
    <x v="1"/>
    <x v="13"/>
    <x v="17"/>
    <x v="13"/>
    <x v="14"/>
    <n v="2"/>
  </r>
  <r>
    <x v="0"/>
    <x v="1"/>
    <x v="1"/>
    <x v="13"/>
    <x v="17"/>
    <x v="2"/>
    <x v="5"/>
    <n v="1"/>
  </r>
  <r>
    <x v="0"/>
    <x v="1"/>
    <x v="1"/>
    <x v="13"/>
    <x v="17"/>
    <x v="2"/>
    <x v="2"/>
    <n v="4"/>
  </r>
  <r>
    <x v="0"/>
    <x v="1"/>
    <x v="1"/>
    <x v="13"/>
    <x v="17"/>
    <x v="3"/>
    <x v="5"/>
    <n v="1"/>
  </r>
  <r>
    <x v="0"/>
    <x v="1"/>
    <x v="1"/>
    <x v="14"/>
    <x v="4"/>
    <x v="7"/>
    <x v="3"/>
    <n v="1"/>
  </r>
  <r>
    <x v="0"/>
    <x v="1"/>
    <x v="1"/>
    <x v="14"/>
    <x v="16"/>
    <x v="14"/>
    <x v="2"/>
    <n v="1"/>
  </r>
  <r>
    <x v="0"/>
    <x v="1"/>
    <x v="1"/>
    <x v="14"/>
    <x v="16"/>
    <x v="14"/>
    <x v="13"/>
    <n v="1"/>
  </r>
  <r>
    <x v="0"/>
    <x v="1"/>
    <x v="1"/>
    <x v="14"/>
    <x v="16"/>
    <x v="13"/>
    <x v="12"/>
    <n v="10"/>
  </r>
  <r>
    <x v="0"/>
    <x v="1"/>
    <x v="1"/>
    <x v="14"/>
    <x v="16"/>
    <x v="13"/>
    <x v="9"/>
    <n v="2"/>
  </r>
  <r>
    <x v="0"/>
    <x v="1"/>
    <x v="1"/>
    <x v="14"/>
    <x v="16"/>
    <x v="13"/>
    <x v="3"/>
    <n v="1"/>
  </r>
  <r>
    <x v="0"/>
    <x v="1"/>
    <x v="1"/>
    <x v="14"/>
    <x v="16"/>
    <x v="13"/>
    <x v="5"/>
    <n v="1"/>
  </r>
  <r>
    <x v="0"/>
    <x v="1"/>
    <x v="1"/>
    <x v="14"/>
    <x v="16"/>
    <x v="2"/>
    <x v="1"/>
    <n v="12"/>
  </r>
  <r>
    <x v="0"/>
    <x v="1"/>
    <x v="1"/>
    <x v="14"/>
    <x v="16"/>
    <x v="2"/>
    <x v="12"/>
    <n v="6"/>
  </r>
  <r>
    <x v="0"/>
    <x v="1"/>
    <x v="1"/>
    <x v="14"/>
    <x v="16"/>
    <x v="2"/>
    <x v="9"/>
    <n v="2"/>
  </r>
  <r>
    <x v="0"/>
    <x v="1"/>
    <x v="1"/>
    <x v="14"/>
    <x v="16"/>
    <x v="10"/>
    <x v="1"/>
    <n v="7"/>
  </r>
  <r>
    <x v="0"/>
    <x v="1"/>
    <x v="1"/>
    <x v="14"/>
    <x v="16"/>
    <x v="10"/>
    <x v="12"/>
    <n v="5"/>
  </r>
  <r>
    <x v="0"/>
    <x v="1"/>
    <x v="1"/>
    <x v="14"/>
    <x v="16"/>
    <x v="3"/>
    <x v="10"/>
    <n v="12"/>
  </r>
  <r>
    <x v="0"/>
    <x v="1"/>
    <x v="1"/>
    <x v="14"/>
    <x v="16"/>
    <x v="3"/>
    <x v="1"/>
    <n v="9"/>
  </r>
  <r>
    <x v="0"/>
    <x v="1"/>
    <x v="1"/>
    <x v="14"/>
    <x v="16"/>
    <x v="4"/>
    <x v="10"/>
    <n v="6"/>
  </r>
  <r>
    <x v="0"/>
    <x v="1"/>
    <x v="1"/>
    <x v="14"/>
    <x v="16"/>
    <x v="4"/>
    <x v="1"/>
    <n v="4"/>
  </r>
  <r>
    <x v="0"/>
    <x v="1"/>
    <x v="1"/>
    <x v="14"/>
    <x v="16"/>
    <x v="5"/>
    <x v="1"/>
    <n v="3"/>
  </r>
  <r>
    <x v="0"/>
    <x v="1"/>
    <x v="1"/>
    <x v="14"/>
    <x v="16"/>
    <x v="11"/>
    <x v="10"/>
    <n v="1"/>
  </r>
  <r>
    <x v="0"/>
    <x v="1"/>
    <x v="1"/>
    <x v="14"/>
    <x v="16"/>
    <x v="7"/>
    <x v="9"/>
    <n v="1"/>
  </r>
  <r>
    <x v="0"/>
    <x v="1"/>
    <x v="1"/>
    <x v="14"/>
    <x v="18"/>
    <x v="14"/>
    <x v="3"/>
    <n v="1"/>
  </r>
  <r>
    <x v="0"/>
    <x v="1"/>
    <x v="1"/>
    <x v="15"/>
    <x v="1"/>
    <x v="4"/>
    <x v="3"/>
    <n v="1"/>
  </r>
  <r>
    <x v="0"/>
    <x v="1"/>
    <x v="1"/>
    <x v="15"/>
    <x v="1"/>
    <x v="5"/>
    <x v="9"/>
    <n v="1"/>
  </r>
  <r>
    <x v="0"/>
    <x v="1"/>
    <x v="1"/>
    <x v="15"/>
    <x v="1"/>
    <x v="5"/>
    <x v="2"/>
    <n v="1"/>
  </r>
  <r>
    <x v="0"/>
    <x v="1"/>
    <x v="1"/>
    <x v="15"/>
    <x v="1"/>
    <x v="11"/>
    <x v="12"/>
    <n v="6"/>
  </r>
  <r>
    <x v="0"/>
    <x v="1"/>
    <x v="1"/>
    <x v="15"/>
    <x v="1"/>
    <x v="11"/>
    <x v="9"/>
    <n v="5"/>
  </r>
  <r>
    <x v="0"/>
    <x v="1"/>
    <x v="1"/>
    <x v="15"/>
    <x v="1"/>
    <x v="11"/>
    <x v="4"/>
    <n v="1"/>
  </r>
  <r>
    <x v="0"/>
    <x v="1"/>
    <x v="1"/>
    <x v="15"/>
    <x v="1"/>
    <x v="6"/>
    <x v="12"/>
    <n v="5"/>
  </r>
  <r>
    <x v="0"/>
    <x v="1"/>
    <x v="1"/>
    <x v="15"/>
    <x v="1"/>
    <x v="6"/>
    <x v="9"/>
    <n v="4"/>
  </r>
  <r>
    <x v="0"/>
    <x v="1"/>
    <x v="1"/>
    <x v="15"/>
    <x v="1"/>
    <x v="9"/>
    <x v="12"/>
    <n v="3"/>
  </r>
  <r>
    <x v="0"/>
    <x v="1"/>
    <x v="1"/>
    <x v="15"/>
    <x v="1"/>
    <x v="9"/>
    <x v="9"/>
    <n v="4"/>
  </r>
  <r>
    <x v="0"/>
    <x v="1"/>
    <x v="1"/>
    <x v="15"/>
    <x v="1"/>
    <x v="12"/>
    <x v="12"/>
    <n v="1"/>
  </r>
  <r>
    <x v="0"/>
    <x v="1"/>
    <x v="1"/>
    <x v="15"/>
    <x v="1"/>
    <x v="12"/>
    <x v="9"/>
    <n v="2"/>
  </r>
  <r>
    <x v="0"/>
    <x v="1"/>
    <x v="1"/>
    <x v="15"/>
    <x v="1"/>
    <x v="12"/>
    <x v="3"/>
    <n v="1"/>
  </r>
  <r>
    <x v="0"/>
    <x v="1"/>
    <x v="1"/>
    <x v="15"/>
    <x v="11"/>
    <x v="14"/>
    <x v="2"/>
    <n v="1"/>
  </r>
  <r>
    <x v="0"/>
    <x v="1"/>
    <x v="1"/>
    <x v="15"/>
    <x v="11"/>
    <x v="13"/>
    <x v="9"/>
    <n v="3"/>
  </r>
  <r>
    <x v="0"/>
    <x v="1"/>
    <x v="1"/>
    <x v="15"/>
    <x v="11"/>
    <x v="13"/>
    <x v="3"/>
    <n v="2"/>
  </r>
  <r>
    <x v="0"/>
    <x v="1"/>
    <x v="1"/>
    <x v="15"/>
    <x v="11"/>
    <x v="13"/>
    <x v="4"/>
    <n v="1"/>
  </r>
  <r>
    <x v="0"/>
    <x v="1"/>
    <x v="1"/>
    <x v="15"/>
    <x v="11"/>
    <x v="2"/>
    <x v="9"/>
    <n v="1"/>
  </r>
  <r>
    <x v="0"/>
    <x v="1"/>
    <x v="1"/>
    <x v="15"/>
    <x v="11"/>
    <x v="2"/>
    <x v="3"/>
    <n v="4"/>
  </r>
  <r>
    <x v="0"/>
    <x v="1"/>
    <x v="1"/>
    <x v="15"/>
    <x v="11"/>
    <x v="10"/>
    <x v="12"/>
    <n v="1"/>
  </r>
  <r>
    <x v="0"/>
    <x v="1"/>
    <x v="1"/>
    <x v="15"/>
    <x v="11"/>
    <x v="10"/>
    <x v="4"/>
    <n v="2"/>
  </r>
  <r>
    <x v="0"/>
    <x v="1"/>
    <x v="1"/>
    <x v="15"/>
    <x v="11"/>
    <x v="3"/>
    <x v="12"/>
    <n v="3"/>
  </r>
  <r>
    <x v="0"/>
    <x v="1"/>
    <x v="1"/>
    <x v="15"/>
    <x v="11"/>
    <x v="3"/>
    <x v="9"/>
    <n v="1"/>
  </r>
  <r>
    <x v="0"/>
    <x v="1"/>
    <x v="1"/>
    <x v="15"/>
    <x v="11"/>
    <x v="3"/>
    <x v="3"/>
    <n v="2"/>
  </r>
  <r>
    <x v="0"/>
    <x v="1"/>
    <x v="1"/>
    <x v="15"/>
    <x v="11"/>
    <x v="4"/>
    <x v="12"/>
    <n v="1"/>
  </r>
  <r>
    <x v="0"/>
    <x v="1"/>
    <x v="1"/>
    <x v="15"/>
    <x v="11"/>
    <x v="4"/>
    <x v="9"/>
    <n v="2"/>
  </r>
  <r>
    <x v="0"/>
    <x v="1"/>
    <x v="1"/>
    <x v="15"/>
    <x v="11"/>
    <x v="7"/>
    <x v="5"/>
    <n v="2"/>
  </r>
  <r>
    <x v="0"/>
    <x v="1"/>
    <x v="1"/>
    <x v="16"/>
    <x v="15"/>
    <x v="1"/>
    <x v="9"/>
    <n v="1"/>
  </r>
  <r>
    <x v="0"/>
    <x v="1"/>
    <x v="1"/>
    <x v="17"/>
    <x v="11"/>
    <x v="7"/>
    <x v="4"/>
    <n v="3"/>
  </r>
  <r>
    <x v="0"/>
    <x v="1"/>
    <x v="1"/>
    <x v="17"/>
    <x v="11"/>
    <x v="0"/>
    <x v="11"/>
    <n v="1"/>
  </r>
  <r>
    <x v="0"/>
    <x v="1"/>
    <x v="1"/>
    <x v="19"/>
    <x v="7"/>
    <x v="17"/>
    <x v="14"/>
    <n v="7"/>
  </r>
  <r>
    <x v="0"/>
    <x v="1"/>
    <x v="1"/>
    <x v="19"/>
    <x v="7"/>
    <x v="17"/>
    <x v="17"/>
    <n v="2"/>
  </r>
  <r>
    <x v="0"/>
    <x v="1"/>
    <x v="1"/>
    <x v="19"/>
    <x v="7"/>
    <x v="18"/>
    <x v="12"/>
    <n v="146"/>
  </r>
  <r>
    <x v="0"/>
    <x v="1"/>
    <x v="1"/>
    <x v="19"/>
    <x v="7"/>
    <x v="18"/>
    <x v="9"/>
    <n v="60"/>
  </r>
  <r>
    <x v="0"/>
    <x v="1"/>
    <x v="1"/>
    <x v="19"/>
    <x v="7"/>
    <x v="18"/>
    <x v="3"/>
    <n v="20"/>
  </r>
  <r>
    <x v="0"/>
    <x v="1"/>
    <x v="1"/>
    <x v="19"/>
    <x v="7"/>
    <x v="18"/>
    <x v="4"/>
    <n v="25"/>
  </r>
  <r>
    <x v="0"/>
    <x v="1"/>
    <x v="1"/>
    <x v="19"/>
    <x v="7"/>
    <x v="19"/>
    <x v="10"/>
    <n v="341"/>
  </r>
  <r>
    <x v="0"/>
    <x v="1"/>
    <x v="1"/>
    <x v="19"/>
    <x v="7"/>
    <x v="19"/>
    <x v="1"/>
    <n v="231"/>
  </r>
  <r>
    <x v="0"/>
    <x v="1"/>
    <x v="1"/>
    <x v="19"/>
    <x v="7"/>
    <x v="19"/>
    <x v="0"/>
    <n v="7"/>
  </r>
  <r>
    <x v="0"/>
    <x v="1"/>
    <x v="1"/>
    <x v="19"/>
    <x v="7"/>
    <x v="16"/>
    <x v="7"/>
    <n v="267"/>
  </r>
  <r>
    <x v="0"/>
    <x v="1"/>
    <x v="1"/>
    <x v="19"/>
    <x v="7"/>
    <x v="16"/>
    <x v="6"/>
    <n v="436"/>
  </r>
  <r>
    <x v="0"/>
    <x v="1"/>
    <x v="1"/>
    <x v="19"/>
    <x v="7"/>
    <x v="16"/>
    <x v="10"/>
    <n v="319"/>
  </r>
  <r>
    <x v="0"/>
    <x v="1"/>
    <x v="1"/>
    <x v="19"/>
    <x v="7"/>
    <x v="16"/>
    <x v="17"/>
    <n v="1"/>
  </r>
  <r>
    <x v="0"/>
    <x v="1"/>
    <x v="1"/>
    <x v="19"/>
    <x v="7"/>
    <x v="15"/>
    <x v="7"/>
    <n v="48"/>
  </r>
  <r>
    <x v="0"/>
    <x v="1"/>
    <x v="1"/>
    <x v="19"/>
    <x v="7"/>
    <x v="15"/>
    <x v="6"/>
    <n v="419"/>
  </r>
  <r>
    <x v="0"/>
    <x v="1"/>
    <x v="1"/>
    <x v="19"/>
    <x v="7"/>
    <x v="15"/>
    <x v="11"/>
    <n v="10"/>
  </r>
  <r>
    <x v="0"/>
    <x v="1"/>
    <x v="1"/>
    <x v="19"/>
    <x v="7"/>
    <x v="15"/>
    <x v="14"/>
    <n v="6"/>
  </r>
  <r>
    <x v="0"/>
    <x v="1"/>
    <x v="1"/>
    <x v="19"/>
    <x v="7"/>
    <x v="15"/>
    <x v="17"/>
    <n v="3"/>
  </r>
  <r>
    <x v="0"/>
    <x v="1"/>
    <x v="1"/>
    <x v="19"/>
    <x v="7"/>
    <x v="14"/>
    <x v="7"/>
    <n v="9"/>
  </r>
  <r>
    <x v="0"/>
    <x v="1"/>
    <x v="1"/>
    <x v="19"/>
    <x v="7"/>
    <x v="14"/>
    <x v="2"/>
    <n v="13"/>
  </r>
  <r>
    <x v="0"/>
    <x v="1"/>
    <x v="1"/>
    <x v="19"/>
    <x v="7"/>
    <x v="14"/>
    <x v="13"/>
    <n v="13"/>
  </r>
  <r>
    <x v="0"/>
    <x v="1"/>
    <x v="1"/>
    <x v="19"/>
    <x v="7"/>
    <x v="14"/>
    <x v="11"/>
    <n v="7"/>
  </r>
  <r>
    <x v="0"/>
    <x v="1"/>
    <x v="1"/>
    <x v="19"/>
    <x v="7"/>
    <x v="14"/>
    <x v="14"/>
    <n v="3"/>
  </r>
  <r>
    <x v="0"/>
    <x v="1"/>
    <x v="1"/>
    <x v="19"/>
    <x v="7"/>
    <x v="14"/>
    <x v="17"/>
    <n v="1"/>
  </r>
  <r>
    <x v="0"/>
    <x v="1"/>
    <x v="1"/>
    <x v="19"/>
    <x v="7"/>
    <x v="13"/>
    <x v="4"/>
    <n v="11"/>
  </r>
  <r>
    <x v="0"/>
    <x v="1"/>
    <x v="1"/>
    <x v="19"/>
    <x v="7"/>
    <x v="13"/>
    <x v="5"/>
    <n v="13"/>
  </r>
  <r>
    <x v="0"/>
    <x v="1"/>
    <x v="1"/>
    <x v="19"/>
    <x v="7"/>
    <x v="13"/>
    <x v="2"/>
    <n v="6"/>
  </r>
  <r>
    <x v="0"/>
    <x v="1"/>
    <x v="1"/>
    <x v="19"/>
    <x v="7"/>
    <x v="13"/>
    <x v="13"/>
    <n v="7"/>
  </r>
  <r>
    <x v="0"/>
    <x v="1"/>
    <x v="1"/>
    <x v="19"/>
    <x v="7"/>
    <x v="13"/>
    <x v="11"/>
    <n v="4"/>
  </r>
  <r>
    <x v="0"/>
    <x v="1"/>
    <x v="1"/>
    <x v="19"/>
    <x v="7"/>
    <x v="13"/>
    <x v="14"/>
    <n v="2"/>
  </r>
  <r>
    <x v="0"/>
    <x v="1"/>
    <x v="1"/>
    <x v="19"/>
    <x v="7"/>
    <x v="2"/>
    <x v="12"/>
    <n v="44"/>
  </r>
  <r>
    <x v="0"/>
    <x v="1"/>
    <x v="1"/>
    <x v="19"/>
    <x v="7"/>
    <x v="2"/>
    <x v="9"/>
    <n v="14"/>
  </r>
  <r>
    <x v="0"/>
    <x v="1"/>
    <x v="1"/>
    <x v="19"/>
    <x v="7"/>
    <x v="2"/>
    <x v="3"/>
    <n v="15"/>
  </r>
  <r>
    <x v="0"/>
    <x v="1"/>
    <x v="1"/>
    <x v="19"/>
    <x v="7"/>
    <x v="2"/>
    <x v="4"/>
    <n v="6"/>
  </r>
  <r>
    <x v="0"/>
    <x v="1"/>
    <x v="1"/>
    <x v="19"/>
    <x v="7"/>
    <x v="2"/>
    <x v="5"/>
    <n v="9"/>
  </r>
  <r>
    <x v="0"/>
    <x v="1"/>
    <x v="1"/>
    <x v="19"/>
    <x v="7"/>
    <x v="2"/>
    <x v="2"/>
    <n v="4"/>
  </r>
  <r>
    <x v="0"/>
    <x v="1"/>
    <x v="1"/>
    <x v="19"/>
    <x v="7"/>
    <x v="2"/>
    <x v="13"/>
    <n v="6"/>
  </r>
  <r>
    <x v="0"/>
    <x v="1"/>
    <x v="1"/>
    <x v="19"/>
    <x v="7"/>
    <x v="10"/>
    <x v="12"/>
    <n v="33"/>
  </r>
  <r>
    <x v="0"/>
    <x v="1"/>
    <x v="1"/>
    <x v="19"/>
    <x v="7"/>
    <x v="10"/>
    <x v="9"/>
    <n v="21"/>
  </r>
  <r>
    <x v="0"/>
    <x v="1"/>
    <x v="1"/>
    <x v="19"/>
    <x v="7"/>
    <x v="10"/>
    <x v="3"/>
    <n v="7"/>
  </r>
  <r>
    <x v="0"/>
    <x v="1"/>
    <x v="1"/>
    <x v="19"/>
    <x v="7"/>
    <x v="10"/>
    <x v="4"/>
    <n v="5"/>
  </r>
  <r>
    <x v="0"/>
    <x v="1"/>
    <x v="1"/>
    <x v="19"/>
    <x v="7"/>
    <x v="10"/>
    <x v="5"/>
    <n v="4"/>
  </r>
  <r>
    <x v="0"/>
    <x v="1"/>
    <x v="1"/>
    <x v="19"/>
    <x v="7"/>
    <x v="10"/>
    <x v="2"/>
    <n v="3"/>
  </r>
  <r>
    <x v="0"/>
    <x v="1"/>
    <x v="1"/>
    <x v="19"/>
    <x v="7"/>
    <x v="3"/>
    <x v="12"/>
    <n v="16"/>
  </r>
  <r>
    <x v="0"/>
    <x v="1"/>
    <x v="1"/>
    <x v="19"/>
    <x v="7"/>
    <x v="3"/>
    <x v="9"/>
    <n v="17"/>
  </r>
  <r>
    <x v="0"/>
    <x v="1"/>
    <x v="1"/>
    <x v="19"/>
    <x v="7"/>
    <x v="3"/>
    <x v="3"/>
    <n v="8"/>
  </r>
  <r>
    <x v="0"/>
    <x v="1"/>
    <x v="1"/>
    <x v="19"/>
    <x v="7"/>
    <x v="3"/>
    <x v="4"/>
    <n v="3"/>
  </r>
  <r>
    <x v="0"/>
    <x v="1"/>
    <x v="1"/>
    <x v="19"/>
    <x v="7"/>
    <x v="3"/>
    <x v="5"/>
    <n v="1"/>
  </r>
  <r>
    <x v="0"/>
    <x v="1"/>
    <x v="1"/>
    <x v="19"/>
    <x v="7"/>
    <x v="4"/>
    <x v="1"/>
    <n v="33"/>
  </r>
  <r>
    <x v="0"/>
    <x v="1"/>
    <x v="1"/>
    <x v="19"/>
    <x v="7"/>
    <x v="4"/>
    <x v="12"/>
    <n v="20"/>
  </r>
  <r>
    <x v="0"/>
    <x v="1"/>
    <x v="1"/>
    <x v="19"/>
    <x v="7"/>
    <x v="4"/>
    <x v="9"/>
    <n v="10"/>
  </r>
  <r>
    <x v="0"/>
    <x v="1"/>
    <x v="1"/>
    <x v="19"/>
    <x v="7"/>
    <x v="4"/>
    <x v="3"/>
    <n v="5"/>
  </r>
  <r>
    <x v="0"/>
    <x v="1"/>
    <x v="1"/>
    <x v="19"/>
    <x v="7"/>
    <x v="4"/>
    <x v="4"/>
    <n v="1"/>
  </r>
  <r>
    <x v="0"/>
    <x v="1"/>
    <x v="1"/>
    <x v="19"/>
    <x v="7"/>
    <x v="5"/>
    <x v="1"/>
    <n v="28"/>
  </r>
  <r>
    <x v="0"/>
    <x v="1"/>
    <x v="1"/>
    <x v="19"/>
    <x v="7"/>
    <x v="5"/>
    <x v="12"/>
    <n v="7"/>
  </r>
  <r>
    <x v="0"/>
    <x v="1"/>
    <x v="1"/>
    <x v="19"/>
    <x v="7"/>
    <x v="5"/>
    <x v="9"/>
    <n v="5"/>
  </r>
  <r>
    <x v="0"/>
    <x v="1"/>
    <x v="1"/>
    <x v="19"/>
    <x v="7"/>
    <x v="5"/>
    <x v="3"/>
    <n v="3"/>
  </r>
  <r>
    <x v="0"/>
    <x v="1"/>
    <x v="1"/>
    <x v="19"/>
    <x v="7"/>
    <x v="11"/>
    <x v="10"/>
    <n v="2"/>
  </r>
  <r>
    <x v="0"/>
    <x v="1"/>
    <x v="1"/>
    <x v="19"/>
    <x v="7"/>
    <x v="11"/>
    <x v="1"/>
    <n v="20"/>
  </r>
  <r>
    <x v="0"/>
    <x v="1"/>
    <x v="1"/>
    <x v="19"/>
    <x v="7"/>
    <x v="11"/>
    <x v="12"/>
    <n v="15"/>
  </r>
  <r>
    <x v="0"/>
    <x v="1"/>
    <x v="1"/>
    <x v="19"/>
    <x v="7"/>
    <x v="11"/>
    <x v="9"/>
    <n v="12"/>
  </r>
  <r>
    <x v="0"/>
    <x v="1"/>
    <x v="1"/>
    <x v="19"/>
    <x v="7"/>
    <x v="6"/>
    <x v="1"/>
    <n v="6"/>
  </r>
  <r>
    <x v="0"/>
    <x v="1"/>
    <x v="1"/>
    <x v="19"/>
    <x v="7"/>
    <x v="6"/>
    <x v="12"/>
    <n v="12"/>
  </r>
  <r>
    <x v="0"/>
    <x v="1"/>
    <x v="1"/>
    <x v="19"/>
    <x v="10"/>
    <x v="6"/>
    <x v="1"/>
    <n v="1"/>
  </r>
  <r>
    <x v="0"/>
    <x v="1"/>
    <x v="2"/>
    <x v="0"/>
    <x v="1"/>
    <x v="0"/>
    <x v="1"/>
    <n v="8"/>
  </r>
  <r>
    <x v="0"/>
    <x v="1"/>
    <x v="2"/>
    <x v="0"/>
    <x v="8"/>
    <x v="0"/>
    <x v="19"/>
    <n v="5"/>
  </r>
  <r>
    <x v="0"/>
    <x v="1"/>
    <x v="2"/>
    <x v="1"/>
    <x v="4"/>
    <x v="0"/>
    <x v="17"/>
    <n v="1"/>
  </r>
  <r>
    <x v="0"/>
    <x v="1"/>
    <x v="2"/>
    <x v="1"/>
    <x v="4"/>
    <x v="0"/>
    <x v="19"/>
    <n v="7"/>
  </r>
  <r>
    <x v="0"/>
    <x v="1"/>
    <x v="2"/>
    <x v="1"/>
    <x v="13"/>
    <x v="0"/>
    <x v="4"/>
    <n v="1"/>
  </r>
  <r>
    <x v="0"/>
    <x v="1"/>
    <x v="2"/>
    <x v="1"/>
    <x v="8"/>
    <x v="0"/>
    <x v="9"/>
    <n v="1"/>
  </r>
  <r>
    <x v="0"/>
    <x v="1"/>
    <x v="2"/>
    <x v="1"/>
    <x v="6"/>
    <x v="0"/>
    <x v="0"/>
    <n v="1"/>
  </r>
  <r>
    <x v="0"/>
    <x v="1"/>
    <x v="2"/>
    <x v="2"/>
    <x v="0"/>
    <x v="0"/>
    <x v="2"/>
    <n v="1"/>
  </r>
  <r>
    <x v="0"/>
    <x v="1"/>
    <x v="2"/>
    <x v="2"/>
    <x v="12"/>
    <x v="0"/>
    <x v="18"/>
    <n v="1"/>
  </r>
  <r>
    <x v="0"/>
    <x v="1"/>
    <x v="2"/>
    <x v="2"/>
    <x v="2"/>
    <x v="0"/>
    <x v="17"/>
    <n v="2"/>
  </r>
  <r>
    <x v="0"/>
    <x v="1"/>
    <x v="2"/>
    <x v="2"/>
    <x v="10"/>
    <x v="0"/>
    <x v="14"/>
    <n v="2"/>
  </r>
  <r>
    <x v="0"/>
    <x v="1"/>
    <x v="2"/>
    <x v="2"/>
    <x v="10"/>
    <x v="0"/>
    <x v="17"/>
    <n v="5"/>
  </r>
  <r>
    <x v="0"/>
    <x v="1"/>
    <x v="2"/>
    <x v="2"/>
    <x v="10"/>
    <x v="0"/>
    <x v="19"/>
    <n v="51"/>
  </r>
  <r>
    <x v="0"/>
    <x v="1"/>
    <x v="2"/>
    <x v="2"/>
    <x v="17"/>
    <x v="0"/>
    <x v="2"/>
    <n v="1"/>
  </r>
  <r>
    <x v="0"/>
    <x v="1"/>
    <x v="2"/>
    <x v="3"/>
    <x v="1"/>
    <x v="0"/>
    <x v="1"/>
    <n v="4"/>
  </r>
  <r>
    <x v="0"/>
    <x v="1"/>
    <x v="2"/>
    <x v="3"/>
    <x v="1"/>
    <x v="0"/>
    <x v="12"/>
    <n v="5"/>
  </r>
  <r>
    <x v="0"/>
    <x v="1"/>
    <x v="2"/>
    <x v="3"/>
    <x v="1"/>
    <x v="0"/>
    <x v="9"/>
    <n v="9"/>
  </r>
  <r>
    <x v="0"/>
    <x v="1"/>
    <x v="2"/>
    <x v="3"/>
    <x v="13"/>
    <x v="0"/>
    <x v="19"/>
    <n v="4"/>
  </r>
  <r>
    <x v="0"/>
    <x v="1"/>
    <x v="2"/>
    <x v="3"/>
    <x v="9"/>
    <x v="1"/>
    <x v="19"/>
    <n v="1"/>
  </r>
  <r>
    <x v="0"/>
    <x v="1"/>
    <x v="2"/>
    <x v="3"/>
    <x v="10"/>
    <x v="0"/>
    <x v="3"/>
    <n v="4"/>
  </r>
  <r>
    <x v="0"/>
    <x v="1"/>
    <x v="2"/>
    <x v="3"/>
    <x v="10"/>
    <x v="0"/>
    <x v="4"/>
    <n v="2"/>
  </r>
  <r>
    <x v="0"/>
    <x v="1"/>
    <x v="2"/>
    <x v="3"/>
    <x v="10"/>
    <x v="0"/>
    <x v="13"/>
    <n v="1"/>
  </r>
  <r>
    <x v="0"/>
    <x v="1"/>
    <x v="2"/>
    <x v="4"/>
    <x v="12"/>
    <x v="0"/>
    <x v="14"/>
    <n v="1"/>
  </r>
  <r>
    <x v="0"/>
    <x v="1"/>
    <x v="2"/>
    <x v="4"/>
    <x v="12"/>
    <x v="0"/>
    <x v="17"/>
    <n v="1"/>
  </r>
  <r>
    <x v="0"/>
    <x v="1"/>
    <x v="2"/>
    <x v="4"/>
    <x v="12"/>
    <x v="0"/>
    <x v="19"/>
    <n v="5"/>
  </r>
  <r>
    <x v="0"/>
    <x v="1"/>
    <x v="2"/>
    <x v="4"/>
    <x v="19"/>
    <x v="0"/>
    <x v="9"/>
    <n v="1"/>
  </r>
  <r>
    <x v="0"/>
    <x v="1"/>
    <x v="2"/>
    <x v="4"/>
    <x v="19"/>
    <x v="0"/>
    <x v="5"/>
    <n v="1"/>
  </r>
  <r>
    <x v="0"/>
    <x v="1"/>
    <x v="2"/>
    <x v="5"/>
    <x v="0"/>
    <x v="0"/>
    <x v="0"/>
    <n v="1"/>
  </r>
  <r>
    <x v="0"/>
    <x v="1"/>
    <x v="2"/>
    <x v="5"/>
    <x v="13"/>
    <x v="0"/>
    <x v="17"/>
    <n v="1"/>
  </r>
  <r>
    <x v="0"/>
    <x v="1"/>
    <x v="2"/>
    <x v="5"/>
    <x v="13"/>
    <x v="0"/>
    <x v="19"/>
    <n v="1"/>
  </r>
  <r>
    <x v="0"/>
    <x v="1"/>
    <x v="2"/>
    <x v="5"/>
    <x v="14"/>
    <x v="0"/>
    <x v="2"/>
    <n v="2"/>
  </r>
  <r>
    <x v="0"/>
    <x v="1"/>
    <x v="2"/>
    <x v="5"/>
    <x v="8"/>
    <x v="8"/>
    <x v="18"/>
    <n v="1"/>
  </r>
  <r>
    <x v="0"/>
    <x v="1"/>
    <x v="2"/>
    <x v="5"/>
    <x v="8"/>
    <x v="0"/>
    <x v="5"/>
    <n v="1"/>
  </r>
  <r>
    <x v="0"/>
    <x v="1"/>
    <x v="2"/>
    <x v="5"/>
    <x v="8"/>
    <x v="0"/>
    <x v="14"/>
    <n v="1"/>
  </r>
  <r>
    <x v="0"/>
    <x v="1"/>
    <x v="2"/>
    <x v="5"/>
    <x v="10"/>
    <x v="0"/>
    <x v="9"/>
    <n v="1"/>
  </r>
  <r>
    <x v="0"/>
    <x v="1"/>
    <x v="2"/>
    <x v="6"/>
    <x v="0"/>
    <x v="0"/>
    <x v="0"/>
    <n v="1"/>
  </r>
  <r>
    <x v="0"/>
    <x v="1"/>
    <x v="2"/>
    <x v="6"/>
    <x v="6"/>
    <x v="0"/>
    <x v="3"/>
    <n v="4"/>
  </r>
  <r>
    <x v="0"/>
    <x v="1"/>
    <x v="2"/>
    <x v="6"/>
    <x v="6"/>
    <x v="0"/>
    <x v="4"/>
    <n v="2"/>
  </r>
  <r>
    <x v="0"/>
    <x v="1"/>
    <x v="2"/>
    <x v="6"/>
    <x v="6"/>
    <x v="0"/>
    <x v="5"/>
    <n v="3"/>
  </r>
  <r>
    <x v="0"/>
    <x v="1"/>
    <x v="2"/>
    <x v="6"/>
    <x v="18"/>
    <x v="0"/>
    <x v="17"/>
    <n v="2"/>
  </r>
  <r>
    <x v="0"/>
    <x v="1"/>
    <x v="2"/>
    <x v="9"/>
    <x v="8"/>
    <x v="0"/>
    <x v="4"/>
    <n v="1"/>
  </r>
  <r>
    <x v="0"/>
    <x v="1"/>
    <x v="2"/>
    <x v="9"/>
    <x v="8"/>
    <x v="0"/>
    <x v="5"/>
    <n v="1"/>
  </r>
  <r>
    <x v="0"/>
    <x v="1"/>
    <x v="2"/>
    <x v="9"/>
    <x v="9"/>
    <x v="0"/>
    <x v="18"/>
    <n v="1"/>
  </r>
  <r>
    <x v="0"/>
    <x v="1"/>
    <x v="2"/>
    <x v="7"/>
    <x v="12"/>
    <x v="0"/>
    <x v="12"/>
    <n v="4"/>
  </r>
  <r>
    <x v="0"/>
    <x v="1"/>
    <x v="2"/>
    <x v="7"/>
    <x v="12"/>
    <x v="0"/>
    <x v="9"/>
    <n v="16"/>
  </r>
  <r>
    <x v="0"/>
    <x v="1"/>
    <x v="2"/>
    <x v="7"/>
    <x v="12"/>
    <x v="0"/>
    <x v="3"/>
    <n v="3"/>
  </r>
  <r>
    <x v="0"/>
    <x v="1"/>
    <x v="2"/>
    <x v="7"/>
    <x v="12"/>
    <x v="0"/>
    <x v="4"/>
    <n v="2"/>
  </r>
  <r>
    <x v="0"/>
    <x v="1"/>
    <x v="2"/>
    <x v="7"/>
    <x v="4"/>
    <x v="0"/>
    <x v="19"/>
    <n v="5"/>
  </r>
  <r>
    <x v="0"/>
    <x v="1"/>
    <x v="2"/>
    <x v="7"/>
    <x v="13"/>
    <x v="0"/>
    <x v="12"/>
    <n v="16"/>
  </r>
  <r>
    <x v="0"/>
    <x v="1"/>
    <x v="2"/>
    <x v="7"/>
    <x v="13"/>
    <x v="0"/>
    <x v="9"/>
    <n v="6"/>
  </r>
  <r>
    <x v="0"/>
    <x v="1"/>
    <x v="2"/>
    <x v="7"/>
    <x v="13"/>
    <x v="0"/>
    <x v="3"/>
    <n v="2"/>
  </r>
  <r>
    <x v="0"/>
    <x v="1"/>
    <x v="2"/>
    <x v="7"/>
    <x v="6"/>
    <x v="0"/>
    <x v="1"/>
    <n v="1"/>
  </r>
  <r>
    <x v="0"/>
    <x v="1"/>
    <x v="2"/>
    <x v="8"/>
    <x v="11"/>
    <x v="1"/>
    <x v="2"/>
    <n v="1"/>
  </r>
  <r>
    <x v="0"/>
    <x v="1"/>
    <x v="2"/>
    <x v="8"/>
    <x v="11"/>
    <x v="8"/>
    <x v="1"/>
    <n v="1"/>
  </r>
  <r>
    <x v="0"/>
    <x v="1"/>
    <x v="2"/>
    <x v="8"/>
    <x v="11"/>
    <x v="0"/>
    <x v="5"/>
    <n v="1"/>
  </r>
  <r>
    <x v="0"/>
    <x v="1"/>
    <x v="2"/>
    <x v="8"/>
    <x v="11"/>
    <x v="0"/>
    <x v="2"/>
    <n v="4"/>
  </r>
  <r>
    <x v="0"/>
    <x v="1"/>
    <x v="2"/>
    <x v="8"/>
    <x v="11"/>
    <x v="0"/>
    <x v="13"/>
    <n v="3"/>
  </r>
  <r>
    <x v="0"/>
    <x v="1"/>
    <x v="2"/>
    <x v="10"/>
    <x v="0"/>
    <x v="0"/>
    <x v="19"/>
    <n v="2"/>
  </r>
  <r>
    <x v="0"/>
    <x v="1"/>
    <x v="2"/>
    <x v="10"/>
    <x v="3"/>
    <x v="0"/>
    <x v="0"/>
    <n v="1"/>
  </r>
  <r>
    <x v="0"/>
    <x v="1"/>
    <x v="2"/>
    <x v="10"/>
    <x v="3"/>
    <x v="0"/>
    <x v="18"/>
    <n v="1"/>
  </r>
  <r>
    <x v="0"/>
    <x v="1"/>
    <x v="2"/>
    <x v="10"/>
    <x v="10"/>
    <x v="0"/>
    <x v="19"/>
    <n v="2"/>
  </r>
  <r>
    <x v="0"/>
    <x v="1"/>
    <x v="2"/>
    <x v="11"/>
    <x v="1"/>
    <x v="0"/>
    <x v="13"/>
    <n v="1"/>
  </r>
  <r>
    <x v="0"/>
    <x v="1"/>
    <x v="2"/>
    <x v="11"/>
    <x v="1"/>
    <x v="0"/>
    <x v="11"/>
    <n v="1"/>
  </r>
  <r>
    <x v="0"/>
    <x v="1"/>
    <x v="2"/>
    <x v="11"/>
    <x v="1"/>
    <x v="0"/>
    <x v="14"/>
    <n v="1"/>
  </r>
  <r>
    <x v="0"/>
    <x v="1"/>
    <x v="2"/>
    <x v="11"/>
    <x v="17"/>
    <x v="0"/>
    <x v="17"/>
    <n v="1"/>
  </r>
  <r>
    <x v="0"/>
    <x v="1"/>
    <x v="2"/>
    <x v="11"/>
    <x v="17"/>
    <x v="0"/>
    <x v="19"/>
    <n v="1"/>
  </r>
  <r>
    <x v="0"/>
    <x v="1"/>
    <x v="2"/>
    <x v="12"/>
    <x v="5"/>
    <x v="0"/>
    <x v="5"/>
    <n v="1"/>
  </r>
  <r>
    <x v="0"/>
    <x v="1"/>
    <x v="2"/>
    <x v="12"/>
    <x v="15"/>
    <x v="0"/>
    <x v="12"/>
    <n v="38"/>
  </r>
  <r>
    <x v="0"/>
    <x v="1"/>
    <x v="2"/>
    <x v="12"/>
    <x v="15"/>
    <x v="0"/>
    <x v="0"/>
    <n v="4"/>
  </r>
  <r>
    <x v="0"/>
    <x v="1"/>
    <x v="2"/>
    <x v="12"/>
    <x v="15"/>
    <x v="0"/>
    <x v="18"/>
    <n v="2"/>
  </r>
  <r>
    <x v="0"/>
    <x v="1"/>
    <x v="2"/>
    <x v="13"/>
    <x v="2"/>
    <x v="0"/>
    <x v="19"/>
    <n v="9"/>
  </r>
  <r>
    <x v="0"/>
    <x v="1"/>
    <x v="2"/>
    <x v="13"/>
    <x v="4"/>
    <x v="0"/>
    <x v="5"/>
    <n v="2"/>
  </r>
  <r>
    <x v="0"/>
    <x v="1"/>
    <x v="2"/>
    <x v="13"/>
    <x v="13"/>
    <x v="0"/>
    <x v="1"/>
    <n v="2"/>
  </r>
  <r>
    <x v="0"/>
    <x v="1"/>
    <x v="2"/>
    <x v="13"/>
    <x v="13"/>
    <x v="0"/>
    <x v="12"/>
    <n v="5"/>
  </r>
  <r>
    <x v="0"/>
    <x v="1"/>
    <x v="2"/>
    <x v="13"/>
    <x v="13"/>
    <x v="0"/>
    <x v="9"/>
    <n v="9"/>
  </r>
  <r>
    <x v="0"/>
    <x v="1"/>
    <x v="2"/>
    <x v="13"/>
    <x v="18"/>
    <x v="0"/>
    <x v="0"/>
    <n v="6"/>
  </r>
  <r>
    <x v="0"/>
    <x v="1"/>
    <x v="2"/>
    <x v="13"/>
    <x v="18"/>
    <x v="0"/>
    <x v="18"/>
    <n v="1"/>
  </r>
  <r>
    <x v="0"/>
    <x v="1"/>
    <x v="2"/>
    <x v="14"/>
    <x v="0"/>
    <x v="0"/>
    <x v="3"/>
    <n v="1"/>
  </r>
  <r>
    <x v="0"/>
    <x v="1"/>
    <x v="2"/>
    <x v="14"/>
    <x v="4"/>
    <x v="8"/>
    <x v="9"/>
    <n v="1"/>
  </r>
  <r>
    <x v="0"/>
    <x v="1"/>
    <x v="2"/>
    <x v="14"/>
    <x v="4"/>
    <x v="0"/>
    <x v="4"/>
    <n v="12"/>
  </r>
  <r>
    <x v="0"/>
    <x v="1"/>
    <x v="2"/>
    <x v="14"/>
    <x v="4"/>
    <x v="0"/>
    <x v="5"/>
    <n v="9"/>
  </r>
  <r>
    <x v="0"/>
    <x v="1"/>
    <x v="2"/>
    <x v="14"/>
    <x v="4"/>
    <x v="0"/>
    <x v="2"/>
    <n v="3"/>
  </r>
  <r>
    <x v="0"/>
    <x v="1"/>
    <x v="2"/>
    <x v="14"/>
    <x v="14"/>
    <x v="0"/>
    <x v="0"/>
    <n v="2"/>
  </r>
  <r>
    <x v="0"/>
    <x v="1"/>
    <x v="2"/>
    <x v="14"/>
    <x v="7"/>
    <x v="0"/>
    <x v="19"/>
    <n v="1"/>
  </r>
  <r>
    <x v="0"/>
    <x v="1"/>
    <x v="2"/>
    <x v="14"/>
    <x v="10"/>
    <x v="0"/>
    <x v="13"/>
    <n v="3"/>
  </r>
  <r>
    <x v="0"/>
    <x v="1"/>
    <x v="2"/>
    <x v="14"/>
    <x v="10"/>
    <x v="0"/>
    <x v="11"/>
    <n v="2"/>
  </r>
  <r>
    <x v="0"/>
    <x v="1"/>
    <x v="2"/>
    <x v="14"/>
    <x v="10"/>
    <x v="0"/>
    <x v="14"/>
    <n v="1"/>
  </r>
  <r>
    <x v="0"/>
    <x v="1"/>
    <x v="2"/>
    <x v="14"/>
    <x v="10"/>
    <x v="0"/>
    <x v="17"/>
    <n v="2"/>
  </r>
  <r>
    <x v="0"/>
    <x v="1"/>
    <x v="2"/>
    <x v="14"/>
    <x v="10"/>
    <x v="0"/>
    <x v="19"/>
    <n v="3"/>
  </r>
  <r>
    <x v="0"/>
    <x v="1"/>
    <x v="2"/>
    <x v="14"/>
    <x v="19"/>
    <x v="0"/>
    <x v="14"/>
    <n v="1"/>
  </r>
  <r>
    <x v="0"/>
    <x v="1"/>
    <x v="2"/>
    <x v="18"/>
    <x v="0"/>
    <x v="0"/>
    <x v="5"/>
    <n v="1"/>
  </r>
  <r>
    <x v="0"/>
    <x v="1"/>
    <x v="2"/>
    <x v="18"/>
    <x v="0"/>
    <x v="0"/>
    <x v="2"/>
    <n v="1"/>
  </r>
  <r>
    <x v="0"/>
    <x v="1"/>
    <x v="2"/>
    <x v="18"/>
    <x v="8"/>
    <x v="8"/>
    <x v="13"/>
    <n v="1"/>
  </r>
  <r>
    <x v="0"/>
    <x v="1"/>
    <x v="2"/>
    <x v="18"/>
    <x v="8"/>
    <x v="0"/>
    <x v="19"/>
    <n v="1"/>
  </r>
  <r>
    <x v="0"/>
    <x v="1"/>
    <x v="2"/>
    <x v="18"/>
    <x v="7"/>
    <x v="0"/>
    <x v="14"/>
    <n v="1"/>
  </r>
  <r>
    <x v="0"/>
    <x v="1"/>
    <x v="2"/>
    <x v="18"/>
    <x v="10"/>
    <x v="0"/>
    <x v="19"/>
    <n v="6"/>
  </r>
  <r>
    <x v="0"/>
    <x v="1"/>
    <x v="2"/>
    <x v="18"/>
    <x v="18"/>
    <x v="0"/>
    <x v="0"/>
    <n v="4"/>
  </r>
  <r>
    <x v="0"/>
    <x v="1"/>
    <x v="2"/>
    <x v="15"/>
    <x v="12"/>
    <x v="0"/>
    <x v="5"/>
    <n v="1"/>
  </r>
  <r>
    <x v="0"/>
    <x v="1"/>
    <x v="2"/>
    <x v="15"/>
    <x v="12"/>
    <x v="0"/>
    <x v="2"/>
    <n v="3"/>
  </r>
  <r>
    <x v="0"/>
    <x v="1"/>
    <x v="2"/>
    <x v="15"/>
    <x v="12"/>
    <x v="0"/>
    <x v="11"/>
    <n v="2"/>
  </r>
  <r>
    <x v="0"/>
    <x v="1"/>
    <x v="2"/>
    <x v="15"/>
    <x v="5"/>
    <x v="0"/>
    <x v="19"/>
    <n v="4"/>
  </r>
  <r>
    <x v="0"/>
    <x v="1"/>
    <x v="2"/>
    <x v="15"/>
    <x v="3"/>
    <x v="0"/>
    <x v="4"/>
    <n v="1"/>
  </r>
  <r>
    <x v="0"/>
    <x v="1"/>
    <x v="2"/>
    <x v="15"/>
    <x v="3"/>
    <x v="0"/>
    <x v="5"/>
    <n v="1"/>
  </r>
  <r>
    <x v="0"/>
    <x v="1"/>
    <x v="2"/>
    <x v="15"/>
    <x v="11"/>
    <x v="7"/>
    <x v="0"/>
    <n v="1"/>
  </r>
  <r>
    <x v="0"/>
    <x v="1"/>
    <x v="2"/>
    <x v="16"/>
    <x v="11"/>
    <x v="0"/>
    <x v="0"/>
    <n v="1"/>
  </r>
  <r>
    <x v="0"/>
    <x v="1"/>
    <x v="2"/>
    <x v="16"/>
    <x v="17"/>
    <x v="0"/>
    <x v="5"/>
    <n v="1"/>
  </r>
  <r>
    <x v="0"/>
    <x v="1"/>
    <x v="2"/>
    <x v="16"/>
    <x v="17"/>
    <x v="0"/>
    <x v="2"/>
    <n v="1"/>
  </r>
  <r>
    <x v="0"/>
    <x v="1"/>
    <x v="2"/>
    <x v="16"/>
    <x v="17"/>
    <x v="0"/>
    <x v="13"/>
    <n v="3"/>
  </r>
  <r>
    <x v="0"/>
    <x v="1"/>
    <x v="2"/>
    <x v="16"/>
    <x v="17"/>
    <x v="0"/>
    <x v="11"/>
    <n v="1"/>
  </r>
  <r>
    <x v="0"/>
    <x v="1"/>
    <x v="2"/>
    <x v="17"/>
    <x v="14"/>
    <x v="0"/>
    <x v="13"/>
    <n v="1"/>
  </r>
  <r>
    <x v="0"/>
    <x v="1"/>
    <x v="2"/>
    <x v="17"/>
    <x v="7"/>
    <x v="0"/>
    <x v="0"/>
    <n v="1"/>
  </r>
  <r>
    <x v="0"/>
    <x v="1"/>
    <x v="2"/>
    <x v="17"/>
    <x v="11"/>
    <x v="1"/>
    <x v="2"/>
    <n v="1"/>
  </r>
  <r>
    <x v="0"/>
    <x v="1"/>
    <x v="2"/>
    <x v="17"/>
    <x v="11"/>
    <x v="0"/>
    <x v="4"/>
    <n v="2"/>
  </r>
  <r>
    <x v="0"/>
    <x v="1"/>
    <x v="2"/>
    <x v="17"/>
    <x v="11"/>
    <x v="0"/>
    <x v="5"/>
    <n v="6"/>
  </r>
  <r>
    <x v="0"/>
    <x v="1"/>
    <x v="2"/>
    <x v="17"/>
    <x v="11"/>
    <x v="0"/>
    <x v="2"/>
    <n v="1"/>
  </r>
  <r>
    <x v="0"/>
    <x v="1"/>
    <x v="2"/>
    <x v="19"/>
    <x v="2"/>
    <x v="0"/>
    <x v="11"/>
    <n v="1"/>
  </r>
  <r>
    <x v="0"/>
    <x v="1"/>
    <x v="2"/>
    <x v="19"/>
    <x v="2"/>
    <x v="0"/>
    <x v="19"/>
    <n v="1"/>
  </r>
  <r>
    <x v="0"/>
    <x v="1"/>
    <x v="2"/>
    <x v="19"/>
    <x v="10"/>
    <x v="12"/>
    <x v="2"/>
    <n v="1"/>
  </r>
  <r>
    <x v="0"/>
    <x v="1"/>
    <x v="2"/>
    <x v="19"/>
    <x v="10"/>
    <x v="7"/>
    <x v="12"/>
    <n v="2"/>
  </r>
  <r>
    <x v="0"/>
    <x v="1"/>
    <x v="2"/>
    <x v="19"/>
    <x v="10"/>
    <x v="1"/>
    <x v="5"/>
    <n v="1"/>
  </r>
  <r>
    <x v="0"/>
    <x v="1"/>
    <x v="2"/>
    <x v="19"/>
    <x v="10"/>
    <x v="1"/>
    <x v="2"/>
    <n v="2"/>
  </r>
  <r>
    <x v="0"/>
    <x v="1"/>
    <x v="2"/>
    <x v="19"/>
    <x v="10"/>
    <x v="8"/>
    <x v="0"/>
    <n v="1"/>
  </r>
  <r>
    <x v="0"/>
    <x v="1"/>
    <x v="2"/>
    <x v="19"/>
    <x v="10"/>
    <x v="0"/>
    <x v="4"/>
    <n v="12"/>
  </r>
  <r>
    <x v="0"/>
    <x v="1"/>
    <x v="2"/>
    <x v="19"/>
    <x v="10"/>
    <x v="0"/>
    <x v="5"/>
    <n v="10"/>
  </r>
  <r>
    <x v="0"/>
    <x v="1"/>
    <x v="2"/>
    <x v="19"/>
    <x v="10"/>
    <x v="0"/>
    <x v="2"/>
    <n v="5"/>
  </r>
  <r>
    <x v="0"/>
    <x v="1"/>
    <x v="2"/>
    <x v="19"/>
    <x v="10"/>
    <x v="0"/>
    <x v="13"/>
    <n v="7"/>
  </r>
  <r>
    <x v="0"/>
    <x v="1"/>
    <x v="2"/>
    <x v="19"/>
    <x v="10"/>
    <x v="0"/>
    <x v="11"/>
    <n v="9"/>
  </r>
  <r>
    <x v="0"/>
    <x v="1"/>
    <x v="2"/>
    <x v="19"/>
    <x v="10"/>
    <x v="0"/>
    <x v="14"/>
    <n v="13"/>
  </r>
  <r>
    <x v="0"/>
    <x v="1"/>
    <x v="2"/>
    <x v="19"/>
    <x v="10"/>
    <x v="0"/>
    <x v="17"/>
    <n v="3"/>
  </r>
  <r>
    <x v="0"/>
    <x v="1"/>
    <x v="2"/>
    <x v="19"/>
    <x v="19"/>
    <x v="0"/>
    <x v="13"/>
    <n v="2"/>
  </r>
  <r>
    <x v="0"/>
    <x v="1"/>
    <x v="3"/>
    <x v="0"/>
    <x v="13"/>
    <x v="0"/>
    <x v="11"/>
    <n v="1"/>
  </r>
  <r>
    <x v="0"/>
    <x v="1"/>
    <x v="3"/>
    <x v="0"/>
    <x v="14"/>
    <x v="5"/>
    <x v="6"/>
    <n v="1"/>
  </r>
  <r>
    <x v="0"/>
    <x v="1"/>
    <x v="3"/>
    <x v="0"/>
    <x v="14"/>
    <x v="11"/>
    <x v="6"/>
    <n v="28"/>
  </r>
  <r>
    <x v="0"/>
    <x v="1"/>
    <x v="3"/>
    <x v="0"/>
    <x v="14"/>
    <x v="8"/>
    <x v="1"/>
    <n v="7"/>
  </r>
  <r>
    <x v="0"/>
    <x v="1"/>
    <x v="3"/>
    <x v="0"/>
    <x v="15"/>
    <x v="0"/>
    <x v="4"/>
    <n v="3"/>
  </r>
  <r>
    <x v="0"/>
    <x v="1"/>
    <x v="3"/>
    <x v="0"/>
    <x v="7"/>
    <x v="7"/>
    <x v="10"/>
    <n v="1"/>
  </r>
  <r>
    <x v="0"/>
    <x v="1"/>
    <x v="3"/>
    <x v="0"/>
    <x v="11"/>
    <x v="0"/>
    <x v="19"/>
    <n v="3"/>
  </r>
  <r>
    <x v="0"/>
    <x v="1"/>
    <x v="3"/>
    <x v="0"/>
    <x v="19"/>
    <x v="10"/>
    <x v="2"/>
    <n v="1"/>
  </r>
  <r>
    <x v="0"/>
    <x v="1"/>
    <x v="3"/>
    <x v="0"/>
    <x v="19"/>
    <x v="5"/>
    <x v="9"/>
    <n v="2"/>
  </r>
  <r>
    <x v="0"/>
    <x v="1"/>
    <x v="3"/>
    <x v="0"/>
    <x v="19"/>
    <x v="5"/>
    <x v="3"/>
    <n v="2"/>
  </r>
  <r>
    <x v="0"/>
    <x v="1"/>
    <x v="3"/>
    <x v="0"/>
    <x v="19"/>
    <x v="5"/>
    <x v="4"/>
    <n v="1"/>
  </r>
  <r>
    <x v="0"/>
    <x v="1"/>
    <x v="3"/>
    <x v="0"/>
    <x v="19"/>
    <x v="11"/>
    <x v="9"/>
    <n v="1"/>
  </r>
  <r>
    <x v="0"/>
    <x v="1"/>
    <x v="3"/>
    <x v="0"/>
    <x v="19"/>
    <x v="6"/>
    <x v="12"/>
    <n v="2"/>
  </r>
  <r>
    <x v="0"/>
    <x v="1"/>
    <x v="3"/>
    <x v="0"/>
    <x v="19"/>
    <x v="9"/>
    <x v="3"/>
    <n v="2"/>
  </r>
  <r>
    <x v="0"/>
    <x v="1"/>
    <x v="3"/>
    <x v="0"/>
    <x v="19"/>
    <x v="7"/>
    <x v="7"/>
    <n v="7"/>
  </r>
  <r>
    <x v="0"/>
    <x v="1"/>
    <x v="3"/>
    <x v="0"/>
    <x v="19"/>
    <x v="7"/>
    <x v="6"/>
    <n v="1"/>
  </r>
  <r>
    <x v="0"/>
    <x v="1"/>
    <x v="3"/>
    <x v="1"/>
    <x v="0"/>
    <x v="6"/>
    <x v="7"/>
    <n v="1"/>
  </r>
  <r>
    <x v="0"/>
    <x v="1"/>
    <x v="3"/>
    <x v="1"/>
    <x v="0"/>
    <x v="7"/>
    <x v="10"/>
    <n v="9"/>
  </r>
  <r>
    <x v="0"/>
    <x v="1"/>
    <x v="3"/>
    <x v="1"/>
    <x v="0"/>
    <x v="7"/>
    <x v="1"/>
    <n v="1"/>
  </r>
  <r>
    <x v="0"/>
    <x v="1"/>
    <x v="3"/>
    <x v="1"/>
    <x v="0"/>
    <x v="8"/>
    <x v="10"/>
    <n v="8"/>
  </r>
  <r>
    <x v="0"/>
    <x v="1"/>
    <x v="3"/>
    <x v="1"/>
    <x v="0"/>
    <x v="8"/>
    <x v="1"/>
    <n v="1"/>
  </r>
  <r>
    <x v="0"/>
    <x v="1"/>
    <x v="3"/>
    <x v="1"/>
    <x v="0"/>
    <x v="8"/>
    <x v="12"/>
    <n v="1"/>
  </r>
  <r>
    <x v="0"/>
    <x v="1"/>
    <x v="3"/>
    <x v="1"/>
    <x v="2"/>
    <x v="6"/>
    <x v="1"/>
    <n v="1"/>
  </r>
  <r>
    <x v="0"/>
    <x v="1"/>
    <x v="3"/>
    <x v="1"/>
    <x v="16"/>
    <x v="7"/>
    <x v="1"/>
    <n v="2"/>
  </r>
  <r>
    <x v="0"/>
    <x v="1"/>
    <x v="3"/>
    <x v="1"/>
    <x v="16"/>
    <x v="7"/>
    <x v="3"/>
    <n v="1"/>
  </r>
  <r>
    <x v="0"/>
    <x v="1"/>
    <x v="3"/>
    <x v="1"/>
    <x v="16"/>
    <x v="8"/>
    <x v="1"/>
    <n v="2"/>
  </r>
  <r>
    <x v="0"/>
    <x v="1"/>
    <x v="3"/>
    <x v="1"/>
    <x v="16"/>
    <x v="8"/>
    <x v="9"/>
    <n v="2"/>
  </r>
  <r>
    <x v="0"/>
    <x v="1"/>
    <x v="3"/>
    <x v="1"/>
    <x v="16"/>
    <x v="0"/>
    <x v="4"/>
    <n v="3"/>
  </r>
  <r>
    <x v="0"/>
    <x v="1"/>
    <x v="3"/>
    <x v="1"/>
    <x v="8"/>
    <x v="1"/>
    <x v="10"/>
    <n v="3"/>
  </r>
  <r>
    <x v="0"/>
    <x v="1"/>
    <x v="3"/>
    <x v="1"/>
    <x v="8"/>
    <x v="0"/>
    <x v="1"/>
    <n v="5"/>
  </r>
  <r>
    <x v="0"/>
    <x v="1"/>
    <x v="3"/>
    <x v="1"/>
    <x v="3"/>
    <x v="2"/>
    <x v="4"/>
    <n v="1"/>
  </r>
  <r>
    <x v="0"/>
    <x v="1"/>
    <x v="3"/>
    <x v="1"/>
    <x v="3"/>
    <x v="3"/>
    <x v="9"/>
    <n v="1"/>
  </r>
  <r>
    <x v="0"/>
    <x v="1"/>
    <x v="3"/>
    <x v="1"/>
    <x v="3"/>
    <x v="11"/>
    <x v="12"/>
    <n v="2"/>
  </r>
  <r>
    <x v="0"/>
    <x v="1"/>
    <x v="3"/>
    <x v="1"/>
    <x v="3"/>
    <x v="6"/>
    <x v="1"/>
    <n v="1"/>
  </r>
  <r>
    <x v="0"/>
    <x v="1"/>
    <x v="3"/>
    <x v="1"/>
    <x v="3"/>
    <x v="6"/>
    <x v="12"/>
    <n v="2"/>
  </r>
  <r>
    <x v="0"/>
    <x v="1"/>
    <x v="3"/>
    <x v="1"/>
    <x v="3"/>
    <x v="9"/>
    <x v="10"/>
    <n v="1"/>
  </r>
  <r>
    <x v="0"/>
    <x v="1"/>
    <x v="3"/>
    <x v="1"/>
    <x v="3"/>
    <x v="9"/>
    <x v="1"/>
    <n v="2"/>
  </r>
  <r>
    <x v="0"/>
    <x v="1"/>
    <x v="3"/>
    <x v="1"/>
    <x v="17"/>
    <x v="0"/>
    <x v="2"/>
    <n v="1"/>
  </r>
  <r>
    <x v="0"/>
    <x v="1"/>
    <x v="3"/>
    <x v="1"/>
    <x v="17"/>
    <x v="0"/>
    <x v="19"/>
    <n v="1"/>
  </r>
  <r>
    <x v="0"/>
    <x v="1"/>
    <x v="3"/>
    <x v="1"/>
    <x v="18"/>
    <x v="0"/>
    <x v="12"/>
    <n v="8"/>
  </r>
  <r>
    <x v="0"/>
    <x v="1"/>
    <x v="3"/>
    <x v="1"/>
    <x v="18"/>
    <x v="0"/>
    <x v="9"/>
    <n v="10"/>
  </r>
  <r>
    <x v="0"/>
    <x v="1"/>
    <x v="3"/>
    <x v="1"/>
    <x v="18"/>
    <x v="0"/>
    <x v="3"/>
    <n v="1"/>
  </r>
  <r>
    <x v="0"/>
    <x v="1"/>
    <x v="3"/>
    <x v="2"/>
    <x v="5"/>
    <x v="1"/>
    <x v="1"/>
    <n v="1"/>
  </r>
  <r>
    <x v="0"/>
    <x v="1"/>
    <x v="3"/>
    <x v="2"/>
    <x v="5"/>
    <x v="0"/>
    <x v="10"/>
    <n v="1"/>
  </r>
  <r>
    <x v="0"/>
    <x v="1"/>
    <x v="3"/>
    <x v="2"/>
    <x v="5"/>
    <x v="0"/>
    <x v="1"/>
    <n v="2"/>
  </r>
  <r>
    <x v="0"/>
    <x v="1"/>
    <x v="3"/>
    <x v="2"/>
    <x v="13"/>
    <x v="12"/>
    <x v="10"/>
    <n v="1"/>
  </r>
  <r>
    <x v="0"/>
    <x v="1"/>
    <x v="3"/>
    <x v="2"/>
    <x v="13"/>
    <x v="12"/>
    <x v="1"/>
    <n v="1"/>
  </r>
  <r>
    <x v="0"/>
    <x v="1"/>
    <x v="3"/>
    <x v="3"/>
    <x v="16"/>
    <x v="6"/>
    <x v="12"/>
    <n v="1"/>
  </r>
  <r>
    <x v="0"/>
    <x v="1"/>
    <x v="3"/>
    <x v="3"/>
    <x v="16"/>
    <x v="9"/>
    <x v="1"/>
    <n v="1"/>
  </r>
  <r>
    <x v="0"/>
    <x v="1"/>
    <x v="3"/>
    <x v="3"/>
    <x v="16"/>
    <x v="7"/>
    <x v="7"/>
    <n v="1"/>
  </r>
  <r>
    <x v="0"/>
    <x v="1"/>
    <x v="3"/>
    <x v="3"/>
    <x v="16"/>
    <x v="7"/>
    <x v="6"/>
    <n v="2"/>
  </r>
  <r>
    <x v="0"/>
    <x v="1"/>
    <x v="3"/>
    <x v="3"/>
    <x v="16"/>
    <x v="1"/>
    <x v="10"/>
    <n v="3"/>
  </r>
  <r>
    <x v="0"/>
    <x v="1"/>
    <x v="3"/>
    <x v="3"/>
    <x v="16"/>
    <x v="8"/>
    <x v="6"/>
    <n v="6"/>
  </r>
  <r>
    <x v="0"/>
    <x v="1"/>
    <x v="3"/>
    <x v="3"/>
    <x v="16"/>
    <x v="0"/>
    <x v="10"/>
    <n v="13"/>
  </r>
  <r>
    <x v="0"/>
    <x v="1"/>
    <x v="3"/>
    <x v="3"/>
    <x v="16"/>
    <x v="0"/>
    <x v="1"/>
    <n v="7"/>
  </r>
  <r>
    <x v="0"/>
    <x v="1"/>
    <x v="3"/>
    <x v="3"/>
    <x v="1"/>
    <x v="0"/>
    <x v="10"/>
    <n v="1"/>
  </r>
  <r>
    <x v="0"/>
    <x v="1"/>
    <x v="3"/>
    <x v="3"/>
    <x v="3"/>
    <x v="0"/>
    <x v="3"/>
    <n v="1"/>
  </r>
  <r>
    <x v="0"/>
    <x v="1"/>
    <x v="3"/>
    <x v="3"/>
    <x v="3"/>
    <x v="0"/>
    <x v="2"/>
    <n v="2"/>
  </r>
  <r>
    <x v="0"/>
    <x v="1"/>
    <x v="3"/>
    <x v="3"/>
    <x v="3"/>
    <x v="0"/>
    <x v="13"/>
    <n v="2"/>
  </r>
  <r>
    <x v="0"/>
    <x v="1"/>
    <x v="3"/>
    <x v="3"/>
    <x v="7"/>
    <x v="0"/>
    <x v="13"/>
    <n v="1"/>
  </r>
  <r>
    <x v="0"/>
    <x v="1"/>
    <x v="3"/>
    <x v="3"/>
    <x v="11"/>
    <x v="11"/>
    <x v="1"/>
    <n v="1"/>
  </r>
  <r>
    <x v="0"/>
    <x v="1"/>
    <x v="3"/>
    <x v="3"/>
    <x v="11"/>
    <x v="11"/>
    <x v="12"/>
    <n v="1"/>
  </r>
  <r>
    <x v="0"/>
    <x v="1"/>
    <x v="3"/>
    <x v="3"/>
    <x v="11"/>
    <x v="9"/>
    <x v="10"/>
    <n v="1"/>
  </r>
  <r>
    <x v="0"/>
    <x v="1"/>
    <x v="3"/>
    <x v="3"/>
    <x v="11"/>
    <x v="12"/>
    <x v="10"/>
    <n v="1"/>
  </r>
  <r>
    <x v="0"/>
    <x v="1"/>
    <x v="3"/>
    <x v="3"/>
    <x v="11"/>
    <x v="1"/>
    <x v="6"/>
    <n v="15"/>
  </r>
  <r>
    <x v="0"/>
    <x v="1"/>
    <x v="3"/>
    <x v="3"/>
    <x v="11"/>
    <x v="1"/>
    <x v="10"/>
    <n v="9"/>
  </r>
  <r>
    <x v="0"/>
    <x v="1"/>
    <x v="3"/>
    <x v="3"/>
    <x v="11"/>
    <x v="0"/>
    <x v="10"/>
    <n v="10"/>
  </r>
  <r>
    <x v="0"/>
    <x v="1"/>
    <x v="3"/>
    <x v="4"/>
    <x v="2"/>
    <x v="0"/>
    <x v="12"/>
    <n v="4"/>
  </r>
  <r>
    <x v="0"/>
    <x v="1"/>
    <x v="3"/>
    <x v="4"/>
    <x v="2"/>
    <x v="0"/>
    <x v="9"/>
    <n v="4"/>
  </r>
  <r>
    <x v="0"/>
    <x v="1"/>
    <x v="3"/>
    <x v="4"/>
    <x v="2"/>
    <x v="0"/>
    <x v="3"/>
    <n v="1"/>
  </r>
  <r>
    <x v="0"/>
    <x v="1"/>
    <x v="3"/>
    <x v="4"/>
    <x v="4"/>
    <x v="19"/>
    <x v="3"/>
    <n v="2"/>
  </r>
  <r>
    <x v="0"/>
    <x v="1"/>
    <x v="3"/>
    <x v="4"/>
    <x v="4"/>
    <x v="15"/>
    <x v="1"/>
    <n v="2"/>
  </r>
  <r>
    <x v="0"/>
    <x v="1"/>
    <x v="3"/>
    <x v="4"/>
    <x v="15"/>
    <x v="0"/>
    <x v="3"/>
    <n v="1"/>
  </r>
  <r>
    <x v="0"/>
    <x v="1"/>
    <x v="3"/>
    <x v="4"/>
    <x v="9"/>
    <x v="7"/>
    <x v="10"/>
    <n v="3"/>
  </r>
  <r>
    <x v="0"/>
    <x v="1"/>
    <x v="3"/>
    <x v="4"/>
    <x v="9"/>
    <x v="0"/>
    <x v="12"/>
    <n v="11"/>
  </r>
  <r>
    <x v="0"/>
    <x v="1"/>
    <x v="3"/>
    <x v="4"/>
    <x v="9"/>
    <x v="0"/>
    <x v="9"/>
    <n v="3"/>
  </r>
  <r>
    <x v="0"/>
    <x v="1"/>
    <x v="3"/>
    <x v="4"/>
    <x v="17"/>
    <x v="0"/>
    <x v="1"/>
    <n v="1"/>
  </r>
  <r>
    <x v="0"/>
    <x v="1"/>
    <x v="3"/>
    <x v="4"/>
    <x v="17"/>
    <x v="0"/>
    <x v="12"/>
    <n v="2"/>
  </r>
  <r>
    <x v="0"/>
    <x v="1"/>
    <x v="3"/>
    <x v="5"/>
    <x v="12"/>
    <x v="0"/>
    <x v="3"/>
    <n v="1"/>
  </r>
  <r>
    <x v="0"/>
    <x v="1"/>
    <x v="3"/>
    <x v="5"/>
    <x v="15"/>
    <x v="0"/>
    <x v="3"/>
    <n v="2"/>
  </r>
  <r>
    <x v="0"/>
    <x v="1"/>
    <x v="3"/>
    <x v="5"/>
    <x v="10"/>
    <x v="0"/>
    <x v="12"/>
    <n v="1"/>
  </r>
  <r>
    <x v="0"/>
    <x v="1"/>
    <x v="3"/>
    <x v="5"/>
    <x v="11"/>
    <x v="3"/>
    <x v="12"/>
    <n v="1"/>
  </r>
  <r>
    <x v="0"/>
    <x v="1"/>
    <x v="3"/>
    <x v="5"/>
    <x v="11"/>
    <x v="4"/>
    <x v="10"/>
    <n v="1"/>
  </r>
  <r>
    <x v="0"/>
    <x v="1"/>
    <x v="3"/>
    <x v="5"/>
    <x v="11"/>
    <x v="4"/>
    <x v="1"/>
    <n v="2"/>
  </r>
  <r>
    <x v="0"/>
    <x v="1"/>
    <x v="3"/>
    <x v="5"/>
    <x v="11"/>
    <x v="5"/>
    <x v="10"/>
    <n v="4"/>
  </r>
  <r>
    <x v="0"/>
    <x v="1"/>
    <x v="3"/>
    <x v="5"/>
    <x v="11"/>
    <x v="5"/>
    <x v="1"/>
    <n v="2"/>
  </r>
  <r>
    <x v="0"/>
    <x v="1"/>
    <x v="3"/>
    <x v="5"/>
    <x v="11"/>
    <x v="11"/>
    <x v="6"/>
    <n v="11"/>
  </r>
  <r>
    <x v="0"/>
    <x v="1"/>
    <x v="3"/>
    <x v="5"/>
    <x v="11"/>
    <x v="11"/>
    <x v="10"/>
    <n v="2"/>
  </r>
  <r>
    <x v="0"/>
    <x v="1"/>
    <x v="3"/>
    <x v="5"/>
    <x v="11"/>
    <x v="6"/>
    <x v="6"/>
    <n v="12"/>
  </r>
  <r>
    <x v="0"/>
    <x v="1"/>
    <x v="3"/>
    <x v="5"/>
    <x v="11"/>
    <x v="6"/>
    <x v="10"/>
    <n v="3"/>
  </r>
  <r>
    <x v="0"/>
    <x v="1"/>
    <x v="3"/>
    <x v="5"/>
    <x v="11"/>
    <x v="9"/>
    <x v="6"/>
    <n v="8"/>
  </r>
  <r>
    <x v="0"/>
    <x v="1"/>
    <x v="3"/>
    <x v="5"/>
    <x v="11"/>
    <x v="12"/>
    <x v="6"/>
    <n v="3"/>
  </r>
  <r>
    <x v="0"/>
    <x v="1"/>
    <x v="3"/>
    <x v="5"/>
    <x v="11"/>
    <x v="7"/>
    <x v="1"/>
    <n v="5"/>
  </r>
  <r>
    <x v="0"/>
    <x v="1"/>
    <x v="3"/>
    <x v="5"/>
    <x v="11"/>
    <x v="7"/>
    <x v="12"/>
    <n v="1"/>
  </r>
  <r>
    <x v="0"/>
    <x v="1"/>
    <x v="3"/>
    <x v="5"/>
    <x v="11"/>
    <x v="8"/>
    <x v="10"/>
    <n v="2"/>
  </r>
  <r>
    <x v="0"/>
    <x v="1"/>
    <x v="3"/>
    <x v="5"/>
    <x v="11"/>
    <x v="8"/>
    <x v="1"/>
    <n v="8"/>
  </r>
  <r>
    <x v="0"/>
    <x v="1"/>
    <x v="3"/>
    <x v="5"/>
    <x v="18"/>
    <x v="13"/>
    <x v="3"/>
    <n v="1"/>
  </r>
  <r>
    <x v="0"/>
    <x v="1"/>
    <x v="3"/>
    <x v="5"/>
    <x v="18"/>
    <x v="2"/>
    <x v="12"/>
    <n v="1"/>
  </r>
  <r>
    <x v="0"/>
    <x v="1"/>
    <x v="3"/>
    <x v="6"/>
    <x v="2"/>
    <x v="15"/>
    <x v="0"/>
    <n v="2"/>
  </r>
  <r>
    <x v="0"/>
    <x v="1"/>
    <x v="3"/>
    <x v="6"/>
    <x v="2"/>
    <x v="15"/>
    <x v="18"/>
    <n v="1"/>
  </r>
  <r>
    <x v="0"/>
    <x v="1"/>
    <x v="3"/>
    <x v="6"/>
    <x v="2"/>
    <x v="10"/>
    <x v="13"/>
    <n v="1"/>
  </r>
  <r>
    <x v="0"/>
    <x v="1"/>
    <x v="3"/>
    <x v="6"/>
    <x v="2"/>
    <x v="3"/>
    <x v="2"/>
    <n v="1"/>
  </r>
  <r>
    <x v="0"/>
    <x v="1"/>
    <x v="3"/>
    <x v="6"/>
    <x v="2"/>
    <x v="5"/>
    <x v="2"/>
    <n v="2"/>
  </r>
  <r>
    <x v="0"/>
    <x v="1"/>
    <x v="3"/>
    <x v="6"/>
    <x v="3"/>
    <x v="16"/>
    <x v="1"/>
    <n v="5"/>
  </r>
  <r>
    <x v="0"/>
    <x v="1"/>
    <x v="3"/>
    <x v="6"/>
    <x v="3"/>
    <x v="16"/>
    <x v="12"/>
    <n v="3"/>
  </r>
  <r>
    <x v="0"/>
    <x v="1"/>
    <x v="3"/>
    <x v="6"/>
    <x v="3"/>
    <x v="15"/>
    <x v="10"/>
    <n v="16"/>
  </r>
  <r>
    <x v="0"/>
    <x v="1"/>
    <x v="3"/>
    <x v="6"/>
    <x v="3"/>
    <x v="15"/>
    <x v="1"/>
    <n v="8"/>
  </r>
  <r>
    <x v="0"/>
    <x v="1"/>
    <x v="3"/>
    <x v="6"/>
    <x v="3"/>
    <x v="15"/>
    <x v="0"/>
    <n v="1"/>
  </r>
  <r>
    <x v="0"/>
    <x v="1"/>
    <x v="3"/>
    <x v="6"/>
    <x v="3"/>
    <x v="14"/>
    <x v="6"/>
    <n v="18"/>
  </r>
  <r>
    <x v="0"/>
    <x v="1"/>
    <x v="3"/>
    <x v="6"/>
    <x v="3"/>
    <x v="14"/>
    <x v="10"/>
    <n v="14"/>
  </r>
  <r>
    <x v="0"/>
    <x v="1"/>
    <x v="3"/>
    <x v="6"/>
    <x v="3"/>
    <x v="14"/>
    <x v="1"/>
    <n v="5"/>
  </r>
  <r>
    <x v="0"/>
    <x v="1"/>
    <x v="3"/>
    <x v="6"/>
    <x v="3"/>
    <x v="13"/>
    <x v="7"/>
    <n v="5"/>
  </r>
  <r>
    <x v="0"/>
    <x v="1"/>
    <x v="3"/>
    <x v="6"/>
    <x v="3"/>
    <x v="13"/>
    <x v="6"/>
    <n v="8"/>
  </r>
  <r>
    <x v="0"/>
    <x v="1"/>
    <x v="3"/>
    <x v="6"/>
    <x v="3"/>
    <x v="13"/>
    <x v="10"/>
    <n v="2"/>
  </r>
  <r>
    <x v="0"/>
    <x v="1"/>
    <x v="3"/>
    <x v="6"/>
    <x v="3"/>
    <x v="2"/>
    <x v="7"/>
    <n v="3"/>
  </r>
  <r>
    <x v="0"/>
    <x v="1"/>
    <x v="3"/>
    <x v="6"/>
    <x v="3"/>
    <x v="10"/>
    <x v="7"/>
    <n v="3"/>
  </r>
  <r>
    <x v="0"/>
    <x v="1"/>
    <x v="3"/>
    <x v="6"/>
    <x v="3"/>
    <x v="4"/>
    <x v="8"/>
    <n v="5"/>
  </r>
  <r>
    <x v="0"/>
    <x v="1"/>
    <x v="3"/>
    <x v="6"/>
    <x v="3"/>
    <x v="5"/>
    <x v="8"/>
    <n v="7"/>
  </r>
  <r>
    <x v="0"/>
    <x v="1"/>
    <x v="3"/>
    <x v="6"/>
    <x v="3"/>
    <x v="11"/>
    <x v="8"/>
    <n v="9"/>
  </r>
  <r>
    <x v="0"/>
    <x v="1"/>
    <x v="3"/>
    <x v="6"/>
    <x v="3"/>
    <x v="7"/>
    <x v="6"/>
    <n v="1"/>
  </r>
  <r>
    <x v="0"/>
    <x v="1"/>
    <x v="3"/>
    <x v="6"/>
    <x v="3"/>
    <x v="1"/>
    <x v="12"/>
    <n v="1"/>
  </r>
  <r>
    <x v="0"/>
    <x v="1"/>
    <x v="3"/>
    <x v="9"/>
    <x v="4"/>
    <x v="0"/>
    <x v="13"/>
    <n v="1"/>
  </r>
  <r>
    <x v="0"/>
    <x v="1"/>
    <x v="3"/>
    <x v="9"/>
    <x v="5"/>
    <x v="0"/>
    <x v="12"/>
    <n v="1"/>
  </r>
  <r>
    <x v="0"/>
    <x v="1"/>
    <x v="3"/>
    <x v="9"/>
    <x v="5"/>
    <x v="0"/>
    <x v="9"/>
    <n v="1"/>
  </r>
  <r>
    <x v="0"/>
    <x v="1"/>
    <x v="3"/>
    <x v="9"/>
    <x v="13"/>
    <x v="11"/>
    <x v="11"/>
    <n v="1"/>
  </r>
  <r>
    <x v="0"/>
    <x v="1"/>
    <x v="3"/>
    <x v="9"/>
    <x v="15"/>
    <x v="0"/>
    <x v="12"/>
    <n v="1"/>
  </r>
  <r>
    <x v="0"/>
    <x v="1"/>
    <x v="3"/>
    <x v="9"/>
    <x v="15"/>
    <x v="0"/>
    <x v="9"/>
    <n v="1"/>
  </r>
  <r>
    <x v="0"/>
    <x v="1"/>
    <x v="3"/>
    <x v="9"/>
    <x v="17"/>
    <x v="0"/>
    <x v="14"/>
    <n v="2"/>
  </r>
  <r>
    <x v="0"/>
    <x v="1"/>
    <x v="3"/>
    <x v="7"/>
    <x v="1"/>
    <x v="0"/>
    <x v="9"/>
    <n v="6"/>
  </r>
  <r>
    <x v="0"/>
    <x v="1"/>
    <x v="3"/>
    <x v="7"/>
    <x v="1"/>
    <x v="0"/>
    <x v="4"/>
    <n v="1"/>
  </r>
  <r>
    <x v="0"/>
    <x v="1"/>
    <x v="3"/>
    <x v="7"/>
    <x v="14"/>
    <x v="0"/>
    <x v="10"/>
    <n v="1"/>
  </r>
  <r>
    <x v="0"/>
    <x v="1"/>
    <x v="3"/>
    <x v="7"/>
    <x v="14"/>
    <x v="0"/>
    <x v="1"/>
    <n v="2"/>
  </r>
  <r>
    <x v="0"/>
    <x v="1"/>
    <x v="3"/>
    <x v="7"/>
    <x v="14"/>
    <x v="0"/>
    <x v="12"/>
    <n v="4"/>
  </r>
  <r>
    <x v="0"/>
    <x v="1"/>
    <x v="3"/>
    <x v="7"/>
    <x v="14"/>
    <x v="0"/>
    <x v="9"/>
    <n v="1"/>
  </r>
  <r>
    <x v="0"/>
    <x v="1"/>
    <x v="3"/>
    <x v="7"/>
    <x v="19"/>
    <x v="0"/>
    <x v="17"/>
    <n v="1"/>
  </r>
  <r>
    <x v="0"/>
    <x v="1"/>
    <x v="3"/>
    <x v="8"/>
    <x v="13"/>
    <x v="16"/>
    <x v="18"/>
    <n v="1"/>
  </r>
  <r>
    <x v="0"/>
    <x v="1"/>
    <x v="3"/>
    <x v="8"/>
    <x v="13"/>
    <x v="14"/>
    <x v="0"/>
    <n v="1"/>
  </r>
  <r>
    <x v="0"/>
    <x v="1"/>
    <x v="3"/>
    <x v="8"/>
    <x v="13"/>
    <x v="13"/>
    <x v="14"/>
    <n v="2"/>
  </r>
  <r>
    <x v="0"/>
    <x v="1"/>
    <x v="3"/>
    <x v="8"/>
    <x v="13"/>
    <x v="13"/>
    <x v="17"/>
    <n v="1"/>
  </r>
  <r>
    <x v="0"/>
    <x v="1"/>
    <x v="3"/>
    <x v="8"/>
    <x v="13"/>
    <x v="2"/>
    <x v="2"/>
    <n v="4"/>
  </r>
  <r>
    <x v="0"/>
    <x v="1"/>
    <x v="3"/>
    <x v="8"/>
    <x v="13"/>
    <x v="2"/>
    <x v="13"/>
    <n v="1"/>
  </r>
  <r>
    <x v="0"/>
    <x v="1"/>
    <x v="3"/>
    <x v="8"/>
    <x v="13"/>
    <x v="2"/>
    <x v="11"/>
    <n v="4"/>
  </r>
  <r>
    <x v="0"/>
    <x v="1"/>
    <x v="3"/>
    <x v="8"/>
    <x v="13"/>
    <x v="2"/>
    <x v="14"/>
    <n v="1"/>
  </r>
  <r>
    <x v="0"/>
    <x v="1"/>
    <x v="3"/>
    <x v="8"/>
    <x v="13"/>
    <x v="2"/>
    <x v="19"/>
    <n v="1"/>
  </r>
  <r>
    <x v="0"/>
    <x v="1"/>
    <x v="3"/>
    <x v="8"/>
    <x v="13"/>
    <x v="10"/>
    <x v="5"/>
    <n v="3"/>
  </r>
  <r>
    <x v="0"/>
    <x v="1"/>
    <x v="3"/>
    <x v="8"/>
    <x v="13"/>
    <x v="10"/>
    <x v="2"/>
    <n v="1"/>
  </r>
  <r>
    <x v="0"/>
    <x v="1"/>
    <x v="3"/>
    <x v="8"/>
    <x v="13"/>
    <x v="10"/>
    <x v="13"/>
    <n v="1"/>
  </r>
  <r>
    <x v="0"/>
    <x v="1"/>
    <x v="3"/>
    <x v="8"/>
    <x v="13"/>
    <x v="10"/>
    <x v="11"/>
    <n v="1"/>
  </r>
  <r>
    <x v="0"/>
    <x v="1"/>
    <x v="3"/>
    <x v="8"/>
    <x v="13"/>
    <x v="10"/>
    <x v="14"/>
    <n v="2"/>
  </r>
  <r>
    <x v="0"/>
    <x v="1"/>
    <x v="3"/>
    <x v="8"/>
    <x v="13"/>
    <x v="10"/>
    <x v="19"/>
    <n v="1"/>
  </r>
  <r>
    <x v="0"/>
    <x v="1"/>
    <x v="3"/>
    <x v="8"/>
    <x v="13"/>
    <x v="3"/>
    <x v="5"/>
    <n v="1"/>
  </r>
  <r>
    <x v="0"/>
    <x v="1"/>
    <x v="3"/>
    <x v="8"/>
    <x v="13"/>
    <x v="3"/>
    <x v="2"/>
    <n v="1"/>
  </r>
  <r>
    <x v="0"/>
    <x v="1"/>
    <x v="3"/>
    <x v="8"/>
    <x v="13"/>
    <x v="3"/>
    <x v="13"/>
    <n v="1"/>
  </r>
  <r>
    <x v="0"/>
    <x v="1"/>
    <x v="3"/>
    <x v="8"/>
    <x v="13"/>
    <x v="3"/>
    <x v="11"/>
    <n v="1"/>
  </r>
  <r>
    <x v="0"/>
    <x v="1"/>
    <x v="3"/>
    <x v="8"/>
    <x v="13"/>
    <x v="3"/>
    <x v="14"/>
    <n v="1"/>
  </r>
  <r>
    <x v="0"/>
    <x v="1"/>
    <x v="3"/>
    <x v="8"/>
    <x v="13"/>
    <x v="3"/>
    <x v="17"/>
    <n v="1"/>
  </r>
  <r>
    <x v="0"/>
    <x v="1"/>
    <x v="3"/>
    <x v="8"/>
    <x v="13"/>
    <x v="4"/>
    <x v="4"/>
    <n v="2"/>
  </r>
  <r>
    <x v="0"/>
    <x v="1"/>
    <x v="3"/>
    <x v="8"/>
    <x v="13"/>
    <x v="4"/>
    <x v="5"/>
    <n v="1"/>
  </r>
  <r>
    <x v="0"/>
    <x v="1"/>
    <x v="3"/>
    <x v="8"/>
    <x v="13"/>
    <x v="4"/>
    <x v="13"/>
    <n v="2"/>
  </r>
  <r>
    <x v="0"/>
    <x v="1"/>
    <x v="3"/>
    <x v="8"/>
    <x v="13"/>
    <x v="4"/>
    <x v="11"/>
    <n v="2"/>
  </r>
  <r>
    <x v="0"/>
    <x v="1"/>
    <x v="3"/>
    <x v="8"/>
    <x v="13"/>
    <x v="5"/>
    <x v="3"/>
    <n v="2"/>
  </r>
  <r>
    <x v="0"/>
    <x v="1"/>
    <x v="3"/>
    <x v="8"/>
    <x v="13"/>
    <x v="5"/>
    <x v="5"/>
    <n v="1"/>
  </r>
  <r>
    <x v="0"/>
    <x v="1"/>
    <x v="3"/>
    <x v="8"/>
    <x v="13"/>
    <x v="5"/>
    <x v="13"/>
    <n v="2"/>
  </r>
  <r>
    <x v="0"/>
    <x v="1"/>
    <x v="3"/>
    <x v="8"/>
    <x v="13"/>
    <x v="11"/>
    <x v="5"/>
    <n v="1"/>
  </r>
  <r>
    <x v="0"/>
    <x v="1"/>
    <x v="3"/>
    <x v="8"/>
    <x v="13"/>
    <x v="11"/>
    <x v="2"/>
    <n v="1"/>
  </r>
  <r>
    <x v="0"/>
    <x v="1"/>
    <x v="3"/>
    <x v="8"/>
    <x v="13"/>
    <x v="6"/>
    <x v="3"/>
    <n v="1"/>
  </r>
  <r>
    <x v="0"/>
    <x v="1"/>
    <x v="3"/>
    <x v="8"/>
    <x v="13"/>
    <x v="9"/>
    <x v="5"/>
    <n v="1"/>
  </r>
  <r>
    <x v="0"/>
    <x v="1"/>
    <x v="3"/>
    <x v="8"/>
    <x v="14"/>
    <x v="7"/>
    <x v="7"/>
    <n v="1"/>
  </r>
  <r>
    <x v="0"/>
    <x v="1"/>
    <x v="3"/>
    <x v="8"/>
    <x v="14"/>
    <x v="8"/>
    <x v="6"/>
    <n v="1"/>
  </r>
  <r>
    <x v="0"/>
    <x v="1"/>
    <x v="3"/>
    <x v="8"/>
    <x v="14"/>
    <x v="0"/>
    <x v="10"/>
    <n v="6"/>
  </r>
  <r>
    <x v="0"/>
    <x v="1"/>
    <x v="3"/>
    <x v="8"/>
    <x v="14"/>
    <x v="0"/>
    <x v="1"/>
    <n v="1"/>
  </r>
  <r>
    <x v="0"/>
    <x v="1"/>
    <x v="3"/>
    <x v="8"/>
    <x v="8"/>
    <x v="0"/>
    <x v="6"/>
    <n v="1"/>
  </r>
  <r>
    <x v="0"/>
    <x v="1"/>
    <x v="3"/>
    <x v="8"/>
    <x v="8"/>
    <x v="0"/>
    <x v="10"/>
    <n v="7"/>
  </r>
  <r>
    <x v="0"/>
    <x v="1"/>
    <x v="3"/>
    <x v="8"/>
    <x v="8"/>
    <x v="0"/>
    <x v="1"/>
    <n v="3"/>
  </r>
  <r>
    <x v="0"/>
    <x v="1"/>
    <x v="3"/>
    <x v="8"/>
    <x v="11"/>
    <x v="7"/>
    <x v="6"/>
    <n v="3"/>
  </r>
  <r>
    <x v="0"/>
    <x v="1"/>
    <x v="3"/>
    <x v="8"/>
    <x v="19"/>
    <x v="4"/>
    <x v="6"/>
    <n v="1"/>
  </r>
  <r>
    <x v="0"/>
    <x v="1"/>
    <x v="3"/>
    <x v="8"/>
    <x v="19"/>
    <x v="5"/>
    <x v="7"/>
    <n v="4"/>
  </r>
  <r>
    <x v="0"/>
    <x v="1"/>
    <x v="3"/>
    <x v="8"/>
    <x v="19"/>
    <x v="5"/>
    <x v="6"/>
    <n v="1"/>
  </r>
  <r>
    <x v="0"/>
    <x v="1"/>
    <x v="3"/>
    <x v="8"/>
    <x v="19"/>
    <x v="5"/>
    <x v="10"/>
    <n v="1"/>
  </r>
  <r>
    <x v="0"/>
    <x v="1"/>
    <x v="3"/>
    <x v="8"/>
    <x v="19"/>
    <x v="11"/>
    <x v="6"/>
    <n v="6"/>
  </r>
  <r>
    <x v="0"/>
    <x v="1"/>
    <x v="3"/>
    <x v="8"/>
    <x v="19"/>
    <x v="11"/>
    <x v="10"/>
    <n v="1"/>
  </r>
  <r>
    <x v="0"/>
    <x v="1"/>
    <x v="3"/>
    <x v="8"/>
    <x v="19"/>
    <x v="6"/>
    <x v="6"/>
    <n v="10"/>
  </r>
  <r>
    <x v="0"/>
    <x v="1"/>
    <x v="3"/>
    <x v="8"/>
    <x v="19"/>
    <x v="6"/>
    <x v="10"/>
    <n v="3"/>
  </r>
  <r>
    <x v="0"/>
    <x v="1"/>
    <x v="0"/>
    <x v="13"/>
    <x v="17"/>
    <x v="14"/>
    <x v="2"/>
    <n v="8"/>
  </r>
  <r>
    <x v="0"/>
    <x v="1"/>
    <x v="0"/>
    <x v="13"/>
    <x v="17"/>
    <x v="14"/>
    <x v="13"/>
    <n v="2"/>
  </r>
  <r>
    <x v="0"/>
    <x v="1"/>
    <x v="0"/>
    <x v="13"/>
    <x v="17"/>
    <x v="13"/>
    <x v="12"/>
    <n v="45"/>
  </r>
  <r>
    <x v="0"/>
    <x v="1"/>
    <x v="0"/>
    <x v="13"/>
    <x v="17"/>
    <x v="13"/>
    <x v="9"/>
    <n v="49"/>
  </r>
  <r>
    <x v="0"/>
    <x v="1"/>
    <x v="0"/>
    <x v="13"/>
    <x v="17"/>
    <x v="13"/>
    <x v="3"/>
    <n v="53"/>
  </r>
  <r>
    <x v="0"/>
    <x v="1"/>
    <x v="0"/>
    <x v="13"/>
    <x v="17"/>
    <x v="13"/>
    <x v="4"/>
    <n v="74"/>
  </r>
  <r>
    <x v="0"/>
    <x v="1"/>
    <x v="0"/>
    <x v="13"/>
    <x v="17"/>
    <x v="13"/>
    <x v="5"/>
    <n v="64"/>
  </r>
  <r>
    <x v="0"/>
    <x v="1"/>
    <x v="0"/>
    <x v="13"/>
    <x v="17"/>
    <x v="13"/>
    <x v="2"/>
    <n v="11"/>
  </r>
  <r>
    <x v="0"/>
    <x v="1"/>
    <x v="0"/>
    <x v="13"/>
    <x v="17"/>
    <x v="2"/>
    <x v="1"/>
    <n v="26"/>
  </r>
  <r>
    <x v="0"/>
    <x v="1"/>
    <x v="0"/>
    <x v="13"/>
    <x v="17"/>
    <x v="10"/>
    <x v="10"/>
    <n v="16"/>
  </r>
  <r>
    <x v="0"/>
    <x v="1"/>
    <x v="0"/>
    <x v="13"/>
    <x v="17"/>
    <x v="10"/>
    <x v="1"/>
    <n v="24"/>
  </r>
  <r>
    <x v="0"/>
    <x v="1"/>
    <x v="0"/>
    <x v="13"/>
    <x v="17"/>
    <x v="3"/>
    <x v="10"/>
    <n v="12"/>
  </r>
  <r>
    <x v="0"/>
    <x v="1"/>
    <x v="0"/>
    <x v="13"/>
    <x v="17"/>
    <x v="3"/>
    <x v="1"/>
    <n v="16"/>
  </r>
  <r>
    <x v="0"/>
    <x v="1"/>
    <x v="0"/>
    <x v="13"/>
    <x v="17"/>
    <x v="3"/>
    <x v="13"/>
    <n v="1"/>
  </r>
  <r>
    <x v="0"/>
    <x v="1"/>
    <x v="0"/>
    <x v="13"/>
    <x v="17"/>
    <x v="4"/>
    <x v="6"/>
    <n v="5"/>
  </r>
  <r>
    <x v="0"/>
    <x v="1"/>
    <x v="0"/>
    <x v="13"/>
    <x v="17"/>
    <x v="4"/>
    <x v="10"/>
    <n v="1"/>
  </r>
  <r>
    <x v="0"/>
    <x v="1"/>
    <x v="0"/>
    <x v="13"/>
    <x v="17"/>
    <x v="4"/>
    <x v="1"/>
    <n v="10"/>
  </r>
  <r>
    <x v="0"/>
    <x v="1"/>
    <x v="0"/>
    <x v="13"/>
    <x v="17"/>
    <x v="4"/>
    <x v="2"/>
    <n v="8"/>
  </r>
  <r>
    <x v="0"/>
    <x v="1"/>
    <x v="0"/>
    <x v="13"/>
    <x v="17"/>
    <x v="5"/>
    <x v="6"/>
    <n v="4"/>
  </r>
  <r>
    <x v="0"/>
    <x v="1"/>
    <x v="0"/>
    <x v="13"/>
    <x v="17"/>
    <x v="5"/>
    <x v="10"/>
    <n v="4"/>
  </r>
  <r>
    <x v="0"/>
    <x v="1"/>
    <x v="0"/>
    <x v="13"/>
    <x v="17"/>
    <x v="5"/>
    <x v="1"/>
    <n v="6"/>
  </r>
  <r>
    <x v="0"/>
    <x v="1"/>
    <x v="0"/>
    <x v="13"/>
    <x v="17"/>
    <x v="5"/>
    <x v="5"/>
    <n v="5"/>
  </r>
  <r>
    <x v="0"/>
    <x v="1"/>
    <x v="0"/>
    <x v="13"/>
    <x v="17"/>
    <x v="11"/>
    <x v="6"/>
    <n v="2"/>
  </r>
  <r>
    <x v="0"/>
    <x v="1"/>
    <x v="0"/>
    <x v="13"/>
    <x v="17"/>
    <x v="11"/>
    <x v="10"/>
    <n v="4"/>
  </r>
  <r>
    <x v="0"/>
    <x v="1"/>
    <x v="0"/>
    <x v="13"/>
    <x v="17"/>
    <x v="11"/>
    <x v="1"/>
    <n v="5"/>
  </r>
  <r>
    <x v="0"/>
    <x v="1"/>
    <x v="0"/>
    <x v="13"/>
    <x v="17"/>
    <x v="11"/>
    <x v="4"/>
    <n v="9"/>
  </r>
  <r>
    <x v="0"/>
    <x v="1"/>
    <x v="0"/>
    <x v="13"/>
    <x v="17"/>
    <x v="6"/>
    <x v="6"/>
    <n v="2"/>
  </r>
  <r>
    <x v="0"/>
    <x v="1"/>
    <x v="0"/>
    <x v="13"/>
    <x v="17"/>
    <x v="6"/>
    <x v="10"/>
    <n v="1"/>
  </r>
  <r>
    <x v="0"/>
    <x v="1"/>
    <x v="0"/>
    <x v="13"/>
    <x v="17"/>
    <x v="6"/>
    <x v="3"/>
    <n v="8"/>
  </r>
  <r>
    <x v="0"/>
    <x v="1"/>
    <x v="0"/>
    <x v="13"/>
    <x v="17"/>
    <x v="9"/>
    <x v="9"/>
    <n v="1"/>
  </r>
  <r>
    <x v="0"/>
    <x v="1"/>
    <x v="0"/>
    <x v="14"/>
    <x v="16"/>
    <x v="10"/>
    <x v="8"/>
    <n v="3"/>
  </r>
  <r>
    <x v="0"/>
    <x v="1"/>
    <x v="0"/>
    <x v="14"/>
    <x v="16"/>
    <x v="3"/>
    <x v="15"/>
    <n v="10"/>
  </r>
  <r>
    <x v="0"/>
    <x v="1"/>
    <x v="0"/>
    <x v="14"/>
    <x v="16"/>
    <x v="4"/>
    <x v="15"/>
    <n v="179"/>
  </r>
  <r>
    <x v="0"/>
    <x v="1"/>
    <x v="0"/>
    <x v="14"/>
    <x v="16"/>
    <x v="5"/>
    <x v="15"/>
    <n v="108"/>
  </r>
  <r>
    <x v="0"/>
    <x v="1"/>
    <x v="0"/>
    <x v="14"/>
    <x v="16"/>
    <x v="11"/>
    <x v="15"/>
    <n v="14"/>
  </r>
  <r>
    <x v="0"/>
    <x v="1"/>
    <x v="0"/>
    <x v="14"/>
    <x v="16"/>
    <x v="7"/>
    <x v="8"/>
    <n v="1"/>
  </r>
  <r>
    <x v="0"/>
    <x v="1"/>
    <x v="0"/>
    <x v="14"/>
    <x v="18"/>
    <x v="0"/>
    <x v="1"/>
    <n v="1"/>
  </r>
  <r>
    <x v="0"/>
    <x v="1"/>
    <x v="0"/>
    <x v="15"/>
    <x v="1"/>
    <x v="7"/>
    <x v="12"/>
    <n v="5"/>
  </r>
  <r>
    <x v="0"/>
    <x v="1"/>
    <x v="0"/>
    <x v="15"/>
    <x v="1"/>
    <x v="7"/>
    <x v="9"/>
    <n v="1"/>
  </r>
  <r>
    <x v="0"/>
    <x v="1"/>
    <x v="0"/>
    <x v="15"/>
    <x v="1"/>
    <x v="7"/>
    <x v="3"/>
    <n v="1"/>
  </r>
  <r>
    <x v="0"/>
    <x v="1"/>
    <x v="0"/>
    <x v="15"/>
    <x v="1"/>
    <x v="8"/>
    <x v="12"/>
    <n v="5"/>
  </r>
  <r>
    <x v="0"/>
    <x v="1"/>
    <x v="0"/>
    <x v="15"/>
    <x v="1"/>
    <x v="8"/>
    <x v="9"/>
    <n v="1"/>
  </r>
  <r>
    <x v="0"/>
    <x v="1"/>
    <x v="0"/>
    <x v="16"/>
    <x v="15"/>
    <x v="1"/>
    <x v="1"/>
    <n v="2"/>
  </r>
  <r>
    <x v="0"/>
    <x v="1"/>
    <x v="0"/>
    <x v="16"/>
    <x v="19"/>
    <x v="7"/>
    <x v="13"/>
    <n v="1"/>
  </r>
  <r>
    <x v="0"/>
    <x v="1"/>
    <x v="0"/>
    <x v="17"/>
    <x v="3"/>
    <x v="0"/>
    <x v="14"/>
    <n v="1"/>
  </r>
  <r>
    <x v="0"/>
    <x v="1"/>
    <x v="0"/>
    <x v="19"/>
    <x v="7"/>
    <x v="16"/>
    <x v="2"/>
    <n v="1"/>
  </r>
  <r>
    <x v="0"/>
    <x v="1"/>
    <x v="0"/>
    <x v="19"/>
    <x v="7"/>
    <x v="15"/>
    <x v="4"/>
    <n v="30"/>
  </r>
  <r>
    <x v="0"/>
    <x v="1"/>
    <x v="0"/>
    <x v="19"/>
    <x v="7"/>
    <x v="15"/>
    <x v="5"/>
    <n v="8"/>
  </r>
  <r>
    <x v="0"/>
    <x v="1"/>
    <x v="0"/>
    <x v="19"/>
    <x v="7"/>
    <x v="14"/>
    <x v="9"/>
    <n v="40"/>
  </r>
  <r>
    <x v="0"/>
    <x v="1"/>
    <x v="0"/>
    <x v="19"/>
    <x v="7"/>
    <x v="14"/>
    <x v="3"/>
    <n v="28"/>
  </r>
  <r>
    <x v="0"/>
    <x v="1"/>
    <x v="0"/>
    <x v="19"/>
    <x v="7"/>
    <x v="14"/>
    <x v="4"/>
    <n v="18"/>
  </r>
  <r>
    <x v="0"/>
    <x v="1"/>
    <x v="0"/>
    <x v="19"/>
    <x v="7"/>
    <x v="14"/>
    <x v="5"/>
    <n v="2"/>
  </r>
  <r>
    <x v="0"/>
    <x v="1"/>
    <x v="0"/>
    <x v="19"/>
    <x v="7"/>
    <x v="13"/>
    <x v="12"/>
    <n v="41"/>
  </r>
  <r>
    <x v="0"/>
    <x v="1"/>
    <x v="0"/>
    <x v="19"/>
    <x v="7"/>
    <x v="13"/>
    <x v="9"/>
    <n v="22"/>
  </r>
  <r>
    <x v="0"/>
    <x v="1"/>
    <x v="0"/>
    <x v="19"/>
    <x v="7"/>
    <x v="13"/>
    <x v="3"/>
    <n v="25"/>
  </r>
  <r>
    <x v="0"/>
    <x v="1"/>
    <x v="0"/>
    <x v="19"/>
    <x v="7"/>
    <x v="13"/>
    <x v="4"/>
    <n v="16"/>
  </r>
  <r>
    <x v="0"/>
    <x v="1"/>
    <x v="0"/>
    <x v="19"/>
    <x v="7"/>
    <x v="13"/>
    <x v="5"/>
    <n v="7"/>
  </r>
  <r>
    <x v="0"/>
    <x v="1"/>
    <x v="0"/>
    <x v="19"/>
    <x v="7"/>
    <x v="13"/>
    <x v="2"/>
    <n v="3"/>
  </r>
  <r>
    <x v="0"/>
    <x v="1"/>
    <x v="0"/>
    <x v="19"/>
    <x v="7"/>
    <x v="2"/>
    <x v="1"/>
    <n v="36"/>
  </r>
  <r>
    <x v="0"/>
    <x v="1"/>
    <x v="0"/>
    <x v="19"/>
    <x v="7"/>
    <x v="10"/>
    <x v="10"/>
    <n v="57"/>
  </r>
  <r>
    <x v="0"/>
    <x v="1"/>
    <x v="0"/>
    <x v="19"/>
    <x v="7"/>
    <x v="10"/>
    <x v="1"/>
    <n v="26"/>
  </r>
  <r>
    <x v="0"/>
    <x v="1"/>
    <x v="0"/>
    <x v="19"/>
    <x v="7"/>
    <x v="3"/>
    <x v="10"/>
    <n v="55"/>
  </r>
  <r>
    <x v="0"/>
    <x v="1"/>
    <x v="0"/>
    <x v="19"/>
    <x v="7"/>
    <x v="3"/>
    <x v="1"/>
    <n v="17"/>
  </r>
  <r>
    <x v="0"/>
    <x v="1"/>
    <x v="0"/>
    <x v="19"/>
    <x v="7"/>
    <x v="4"/>
    <x v="6"/>
    <n v="145"/>
  </r>
  <r>
    <x v="0"/>
    <x v="1"/>
    <x v="0"/>
    <x v="19"/>
    <x v="7"/>
    <x v="4"/>
    <x v="10"/>
    <n v="56"/>
  </r>
  <r>
    <x v="0"/>
    <x v="1"/>
    <x v="0"/>
    <x v="19"/>
    <x v="7"/>
    <x v="4"/>
    <x v="1"/>
    <n v="12"/>
  </r>
  <r>
    <x v="0"/>
    <x v="1"/>
    <x v="0"/>
    <x v="19"/>
    <x v="7"/>
    <x v="5"/>
    <x v="6"/>
    <n v="93"/>
  </r>
  <r>
    <x v="0"/>
    <x v="1"/>
    <x v="0"/>
    <x v="19"/>
    <x v="7"/>
    <x v="5"/>
    <x v="10"/>
    <n v="64"/>
  </r>
  <r>
    <x v="0"/>
    <x v="1"/>
    <x v="0"/>
    <x v="19"/>
    <x v="7"/>
    <x v="5"/>
    <x v="1"/>
    <n v="5"/>
  </r>
  <r>
    <x v="0"/>
    <x v="1"/>
    <x v="0"/>
    <x v="19"/>
    <x v="7"/>
    <x v="5"/>
    <x v="5"/>
    <n v="1"/>
  </r>
  <r>
    <x v="0"/>
    <x v="1"/>
    <x v="0"/>
    <x v="19"/>
    <x v="7"/>
    <x v="11"/>
    <x v="7"/>
    <n v="68"/>
  </r>
  <r>
    <x v="0"/>
    <x v="1"/>
    <x v="0"/>
    <x v="19"/>
    <x v="7"/>
    <x v="11"/>
    <x v="6"/>
    <n v="61"/>
  </r>
  <r>
    <x v="0"/>
    <x v="1"/>
    <x v="3"/>
    <x v="8"/>
    <x v="19"/>
    <x v="9"/>
    <x v="6"/>
    <n v="3"/>
  </r>
  <r>
    <x v="0"/>
    <x v="1"/>
    <x v="3"/>
    <x v="10"/>
    <x v="2"/>
    <x v="0"/>
    <x v="17"/>
    <n v="1"/>
  </r>
  <r>
    <x v="0"/>
    <x v="1"/>
    <x v="3"/>
    <x v="10"/>
    <x v="2"/>
    <x v="0"/>
    <x v="19"/>
    <n v="2"/>
  </r>
  <r>
    <x v="0"/>
    <x v="1"/>
    <x v="3"/>
    <x v="10"/>
    <x v="4"/>
    <x v="0"/>
    <x v="4"/>
    <n v="1"/>
  </r>
  <r>
    <x v="0"/>
    <x v="1"/>
    <x v="3"/>
    <x v="10"/>
    <x v="16"/>
    <x v="4"/>
    <x v="6"/>
    <n v="2"/>
  </r>
  <r>
    <x v="0"/>
    <x v="1"/>
    <x v="3"/>
    <x v="10"/>
    <x v="16"/>
    <x v="5"/>
    <x v="6"/>
    <n v="2"/>
  </r>
  <r>
    <x v="0"/>
    <x v="1"/>
    <x v="3"/>
    <x v="10"/>
    <x v="16"/>
    <x v="7"/>
    <x v="9"/>
    <n v="1"/>
  </r>
  <r>
    <x v="0"/>
    <x v="1"/>
    <x v="3"/>
    <x v="10"/>
    <x v="8"/>
    <x v="0"/>
    <x v="1"/>
    <n v="1"/>
  </r>
  <r>
    <x v="0"/>
    <x v="1"/>
    <x v="3"/>
    <x v="10"/>
    <x v="7"/>
    <x v="11"/>
    <x v="1"/>
    <n v="1"/>
  </r>
  <r>
    <x v="0"/>
    <x v="1"/>
    <x v="3"/>
    <x v="10"/>
    <x v="7"/>
    <x v="9"/>
    <x v="10"/>
    <n v="1"/>
  </r>
  <r>
    <x v="0"/>
    <x v="1"/>
    <x v="3"/>
    <x v="10"/>
    <x v="7"/>
    <x v="12"/>
    <x v="10"/>
    <n v="6"/>
  </r>
  <r>
    <x v="0"/>
    <x v="1"/>
    <x v="3"/>
    <x v="10"/>
    <x v="7"/>
    <x v="12"/>
    <x v="1"/>
    <n v="1"/>
  </r>
  <r>
    <x v="0"/>
    <x v="1"/>
    <x v="3"/>
    <x v="10"/>
    <x v="7"/>
    <x v="1"/>
    <x v="10"/>
    <n v="9"/>
  </r>
  <r>
    <x v="0"/>
    <x v="1"/>
    <x v="3"/>
    <x v="10"/>
    <x v="9"/>
    <x v="0"/>
    <x v="19"/>
    <n v="1"/>
  </r>
  <r>
    <x v="0"/>
    <x v="1"/>
    <x v="3"/>
    <x v="10"/>
    <x v="19"/>
    <x v="15"/>
    <x v="3"/>
    <n v="1"/>
  </r>
  <r>
    <x v="0"/>
    <x v="1"/>
    <x v="3"/>
    <x v="10"/>
    <x v="19"/>
    <x v="14"/>
    <x v="12"/>
    <n v="2"/>
  </r>
  <r>
    <x v="0"/>
    <x v="1"/>
    <x v="3"/>
    <x v="10"/>
    <x v="19"/>
    <x v="14"/>
    <x v="9"/>
    <n v="1"/>
  </r>
  <r>
    <x v="0"/>
    <x v="1"/>
    <x v="3"/>
    <x v="10"/>
    <x v="19"/>
    <x v="14"/>
    <x v="3"/>
    <n v="1"/>
  </r>
  <r>
    <x v="0"/>
    <x v="1"/>
    <x v="3"/>
    <x v="10"/>
    <x v="19"/>
    <x v="14"/>
    <x v="5"/>
    <n v="1"/>
  </r>
  <r>
    <x v="0"/>
    <x v="1"/>
    <x v="3"/>
    <x v="10"/>
    <x v="19"/>
    <x v="13"/>
    <x v="12"/>
    <n v="3"/>
  </r>
  <r>
    <x v="0"/>
    <x v="1"/>
    <x v="3"/>
    <x v="10"/>
    <x v="19"/>
    <x v="13"/>
    <x v="9"/>
    <n v="2"/>
  </r>
  <r>
    <x v="0"/>
    <x v="1"/>
    <x v="3"/>
    <x v="10"/>
    <x v="19"/>
    <x v="13"/>
    <x v="3"/>
    <n v="2"/>
  </r>
  <r>
    <x v="0"/>
    <x v="1"/>
    <x v="3"/>
    <x v="10"/>
    <x v="19"/>
    <x v="13"/>
    <x v="4"/>
    <n v="1"/>
  </r>
  <r>
    <x v="0"/>
    <x v="1"/>
    <x v="3"/>
    <x v="10"/>
    <x v="19"/>
    <x v="2"/>
    <x v="10"/>
    <n v="22"/>
  </r>
  <r>
    <x v="0"/>
    <x v="1"/>
    <x v="3"/>
    <x v="10"/>
    <x v="19"/>
    <x v="2"/>
    <x v="1"/>
    <n v="8"/>
  </r>
  <r>
    <x v="0"/>
    <x v="1"/>
    <x v="3"/>
    <x v="10"/>
    <x v="19"/>
    <x v="2"/>
    <x v="12"/>
    <n v="5"/>
  </r>
  <r>
    <x v="0"/>
    <x v="1"/>
    <x v="3"/>
    <x v="10"/>
    <x v="19"/>
    <x v="10"/>
    <x v="6"/>
    <n v="40"/>
  </r>
  <r>
    <x v="0"/>
    <x v="1"/>
    <x v="3"/>
    <x v="10"/>
    <x v="19"/>
    <x v="10"/>
    <x v="10"/>
    <n v="14"/>
  </r>
  <r>
    <x v="0"/>
    <x v="1"/>
    <x v="3"/>
    <x v="10"/>
    <x v="19"/>
    <x v="10"/>
    <x v="1"/>
    <n v="4"/>
  </r>
  <r>
    <x v="0"/>
    <x v="1"/>
    <x v="3"/>
    <x v="10"/>
    <x v="19"/>
    <x v="3"/>
    <x v="6"/>
    <n v="36"/>
  </r>
  <r>
    <x v="0"/>
    <x v="1"/>
    <x v="3"/>
    <x v="10"/>
    <x v="19"/>
    <x v="3"/>
    <x v="10"/>
    <n v="10"/>
  </r>
  <r>
    <x v="0"/>
    <x v="1"/>
    <x v="3"/>
    <x v="10"/>
    <x v="19"/>
    <x v="3"/>
    <x v="1"/>
    <n v="12"/>
  </r>
  <r>
    <x v="0"/>
    <x v="1"/>
    <x v="3"/>
    <x v="10"/>
    <x v="19"/>
    <x v="4"/>
    <x v="7"/>
    <n v="198"/>
  </r>
  <r>
    <x v="0"/>
    <x v="1"/>
    <x v="3"/>
    <x v="10"/>
    <x v="19"/>
    <x v="4"/>
    <x v="6"/>
    <n v="33"/>
  </r>
  <r>
    <x v="0"/>
    <x v="1"/>
    <x v="3"/>
    <x v="10"/>
    <x v="19"/>
    <x v="4"/>
    <x v="10"/>
    <n v="15"/>
  </r>
  <r>
    <x v="0"/>
    <x v="1"/>
    <x v="3"/>
    <x v="10"/>
    <x v="19"/>
    <x v="4"/>
    <x v="1"/>
    <n v="4"/>
  </r>
  <r>
    <x v="0"/>
    <x v="1"/>
    <x v="3"/>
    <x v="10"/>
    <x v="19"/>
    <x v="5"/>
    <x v="7"/>
    <n v="194"/>
  </r>
  <r>
    <x v="0"/>
    <x v="1"/>
    <x v="3"/>
    <x v="10"/>
    <x v="19"/>
    <x v="5"/>
    <x v="6"/>
    <n v="25"/>
  </r>
  <r>
    <x v="0"/>
    <x v="1"/>
    <x v="3"/>
    <x v="10"/>
    <x v="19"/>
    <x v="5"/>
    <x v="10"/>
    <n v="9"/>
  </r>
  <r>
    <x v="0"/>
    <x v="1"/>
    <x v="3"/>
    <x v="10"/>
    <x v="19"/>
    <x v="11"/>
    <x v="7"/>
    <n v="187"/>
  </r>
  <r>
    <x v="0"/>
    <x v="1"/>
    <x v="3"/>
    <x v="10"/>
    <x v="19"/>
    <x v="11"/>
    <x v="6"/>
    <n v="33"/>
  </r>
  <r>
    <x v="0"/>
    <x v="1"/>
    <x v="3"/>
    <x v="10"/>
    <x v="19"/>
    <x v="11"/>
    <x v="10"/>
    <n v="9"/>
  </r>
  <r>
    <x v="0"/>
    <x v="1"/>
    <x v="3"/>
    <x v="10"/>
    <x v="19"/>
    <x v="6"/>
    <x v="7"/>
    <n v="105"/>
  </r>
  <r>
    <x v="0"/>
    <x v="1"/>
    <x v="3"/>
    <x v="10"/>
    <x v="19"/>
    <x v="6"/>
    <x v="6"/>
    <n v="63"/>
  </r>
  <r>
    <x v="0"/>
    <x v="1"/>
    <x v="3"/>
    <x v="10"/>
    <x v="19"/>
    <x v="9"/>
    <x v="7"/>
    <n v="60"/>
  </r>
  <r>
    <x v="0"/>
    <x v="1"/>
    <x v="3"/>
    <x v="10"/>
    <x v="19"/>
    <x v="9"/>
    <x v="6"/>
    <n v="60"/>
  </r>
  <r>
    <x v="0"/>
    <x v="1"/>
    <x v="3"/>
    <x v="10"/>
    <x v="19"/>
    <x v="12"/>
    <x v="7"/>
    <n v="15"/>
  </r>
  <r>
    <x v="0"/>
    <x v="1"/>
    <x v="3"/>
    <x v="11"/>
    <x v="0"/>
    <x v="9"/>
    <x v="8"/>
    <n v="3"/>
  </r>
  <r>
    <x v="0"/>
    <x v="1"/>
    <x v="3"/>
    <x v="11"/>
    <x v="0"/>
    <x v="12"/>
    <x v="5"/>
    <n v="1"/>
  </r>
  <r>
    <x v="0"/>
    <x v="1"/>
    <x v="3"/>
    <x v="11"/>
    <x v="0"/>
    <x v="7"/>
    <x v="10"/>
    <n v="1"/>
  </r>
  <r>
    <x v="0"/>
    <x v="1"/>
    <x v="3"/>
    <x v="11"/>
    <x v="0"/>
    <x v="7"/>
    <x v="1"/>
    <n v="3"/>
  </r>
  <r>
    <x v="0"/>
    <x v="1"/>
    <x v="3"/>
    <x v="11"/>
    <x v="0"/>
    <x v="7"/>
    <x v="12"/>
    <n v="1"/>
  </r>
  <r>
    <x v="0"/>
    <x v="1"/>
    <x v="3"/>
    <x v="11"/>
    <x v="0"/>
    <x v="8"/>
    <x v="10"/>
    <n v="3"/>
  </r>
  <r>
    <x v="0"/>
    <x v="1"/>
    <x v="3"/>
    <x v="11"/>
    <x v="0"/>
    <x v="8"/>
    <x v="1"/>
    <n v="1"/>
  </r>
  <r>
    <x v="0"/>
    <x v="1"/>
    <x v="3"/>
    <x v="11"/>
    <x v="0"/>
    <x v="0"/>
    <x v="9"/>
    <n v="2"/>
  </r>
  <r>
    <x v="0"/>
    <x v="1"/>
    <x v="3"/>
    <x v="11"/>
    <x v="0"/>
    <x v="0"/>
    <x v="4"/>
    <n v="1"/>
  </r>
  <r>
    <x v="0"/>
    <x v="1"/>
    <x v="3"/>
    <x v="11"/>
    <x v="1"/>
    <x v="0"/>
    <x v="9"/>
    <n v="1"/>
  </r>
  <r>
    <x v="0"/>
    <x v="1"/>
    <x v="3"/>
    <x v="11"/>
    <x v="1"/>
    <x v="0"/>
    <x v="5"/>
    <n v="2"/>
  </r>
  <r>
    <x v="0"/>
    <x v="1"/>
    <x v="3"/>
    <x v="11"/>
    <x v="5"/>
    <x v="9"/>
    <x v="12"/>
    <n v="1"/>
  </r>
  <r>
    <x v="0"/>
    <x v="1"/>
    <x v="3"/>
    <x v="11"/>
    <x v="5"/>
    <x v="1"/>
    <x v="12"/>
    <n v="2"/>
  </r>
  <r>
    <x v="0"/>
    <x v="1"/>
    <x v="3"/>
    <x v="11"/>
    <x v="5"/>
    <x v="0"/>
    <x v="12"/>
    <n v="2"/>
  </r>
  <r>
    <x v="0"/>
    <x v="1"/>
    <x v="3"/>
    <x v="11"/>
    <x v="5"/>
    <x v="0"/>
    <x v="9"/>
    <n v="1"/>
  </r>
  <r>
    <x v="0"/>
    <x v="1"/>
    <x v="3"/>
    <x v="11"/>
    <x v="8"/>
    <x v="14"/>
    <x v="7"/>
    <n v="25"/>
  </r>
  <r>
    <x v="0"/>
    <x v="1"/>
    <x v="3"/>
    <x v="11"/>
    <x v="8"/>
    <x v="14"/>
    <x v="2"/>
    <n v="1"/>
  </r>
  <r>
    <x v="0"/>
    <x v="1"/>
    <x v="3"/>
    <x v="11"/>
    <x v="8"/>
    <x v="13"/>
    <x v="8"/>
    <n v="30"/>
  </r>
  <r>
    <x v="0"/>
    <x v="1"/>
    <x v="3"/>
    <x v="11"/>
    <x v="8"/>
    <x v="13"/>
    <x v="5"/>
    <n v="1"/>
  </r>
  <r>
    <x v="0"/>
    <x v="1"/>
    <x v="3"/>
    <x v="11"/>
    <x v="8"/>
    <x v="13"/>
    <x v="13"/>
    <n v="1"/>
  </r>
  <r>
    <x v="0"/>
    <x v="1"/>
    <x v="3"/>
    <x v="11"/>
    <x v="8"/>
    <x v="2"/>
    <x v="15"/>
    <n v="221"/>
  </r>
  <r>
    <x v="0"/>
    <x v="1"/>
    <x v="3"/>
    <x v="11"/>
    <x v="8"/>
    <x v="2"/>
    <x v="12"/>
    <n v="1"/>
  </r>
  <r>
    <x v="0"/>
    <x v="1"/>
    <x v="3"/>
    <x v="11"/>
    <x v="8"/>
    <x v="2"/>
    <x v="9"/>
    <n v="3"/>
  </r>
  <r>
    <x v="0"/>
    <x v="1"/>
    <x v="3"/>
    <x v="11"/>
    <x v="8"/>
    <x v="2"/>
    <x v="3"/>
    <n v="1"/>
  </r>
  <r>
    <x v="0"/>
    <x v="1"/>
    <x v="3"/>
    <x v="11"/>
    <x v="8"/>
    <x v="2"/>
    <x v="4"/>
    <n v="2"/>
  </r>
  <r>
    <x v="0"/>
    <x v="1"/>
    <x v="3"/>
    <x v="11"/>
    <x v="8"/>
    <x v="2"/>
    <x v="5"/>
    <n v="1"/>
  </r>
  <r>
    <x v="0"/>
    <x v="1"/>
    <x v="3"/>
    <x v="11"/>
    <x v="8"/>
    <x v="10"/>
    <x v="15"/>
    <n v="111"/>
  </r>
  <r>
    <x v="0"/>
    <x v="1"/>
    <x v="3"/>
    <x v="11"/>
    <x v="8"/>
    <x v="10"/>
    <x v="12"/>
    <n v="4"/>
  </r>
  <r>
    <x v="0"/>
    <x v="1"/>
    <x v="3"/>
    <x v="11"/>
    <x v="8"/>
    <x v="10"/>
    <x v="9"/>
    <n v="1"/>
  </r>
  <r>
    <x v="0"/>
    <x v="1"/>
    <x v="3"/>
    <x v="11"/>
    <x v="8"/>
    <x v="10"/>
    <x v="2"/>
    <n v="1"/>
  </r>
  <r>
    <x v="0"/>
    <x v="1"/>
    <x v="3"/>
    <x v="11"/>
    <x v="8"/>
    <x v="3"/>
    <x v="15"/>
    <n v="40"/>
  </r>
  <r>
    <x v="0"/>
    <x v="1"/>
    <x v="3"/>
    <x v="11"/>
    <x v="8"/>
    <x v="3"/>
    <x v="12"/>
    <n v="2"/>
  </r>
  <r>
    <x v="0"/>
    <x v="1"/>
    <x v="3"/>
    <x v="11"/>
    <x v="8"/>
    <x v="3"/>
    <x v="9"/>
    <n v="2"/>
  </r>
  <r>
    <x v="0"/>
    <x v="1"/>
    <x v="3"/>
    <x v="11"/>
    <x v="8"/>
    <x v="4"/>
    <x v="15"/>
    <n v="4"/>
  </r>
  <r>
    <x v="0"/>
    <x v="1"/>
    <x v="3"/>
    <x v="11"/>
    <x v="8"/>
    <x v="4"/>
    <x v="1"/>
    <n v="1"/>
  </r>
  <r>
    <x v="0"/>
    <x v="1"/>
    <x v="3"/>
    <x v="11"/>
    <x v="8"/>
    <x v="4"/>
    <x v="12"/>
    <n v="2"/>
  </r>
  <r>
    <x v="0"/>
    <x v="1"/>
    <x v="3"/>
    <x v="11"/>
    <x v="8"/>
    <x v="4"/>
    <x v="4"/>
    <n v="1"/>
  </r>
  <r>
    <x v="0"/>
    <x v="1"/>
    <x v="3"/>
    <x v="11"/>
    <x v="8"/>
    <x v="5"/>
    <x v="1"/>
    <n v="2"/>
  </r>
  <r>
    <x v="0"/>
    <x v="1"/>
    <x v="3"/>
    <x v="11"/>
    <x v="8"/>
    <x v="11"/>
    <x v="10"/>
    <n v="2"/>
  </r>
  <r>
    <x v="0"/>
    <x v="1"/>
    <x v="3"/>
    <x v="11"/>
    <x v="8"/>
    <x v="11"/>
    <x v="1"/>
    <n v="2"/>
  </r>
  <r>
    <x v="0"/>
    <x v="1"/>
    <x v="3"/>
    <x v="11"/>
    <x v="8"/>
    <x v="11"/>
    <x v="9"/>
    <n v="1"/>
  </r>
  <r>
    <x v="0"/>
    <x v="1"/>
    <x v="3"/>
    <x v="11"/>
    <x v="8"/>
    <x v="6"/>
    <x v="10"/>
    <n v="2"/>
  </r>
  <r>
    <x v="0"/>
    <x v="1"/>
    <x v="3"/>
    <x v="11"/>
    <x v="8"/>
    <x v="9"/>
    <x v="6"/>
    <n v="12"/>
  </r>
  <r>
    <x v="0"/>
    <x v="1"/>
    <x v="3"/>
    <x v="11"/>
    <x v="8"/>
    <x v="9"/>
    <x v="10"/>
    <n v="1"/>
  </r>
  <r>
    <x v="0"/>
    <x v="1"/>
    <x v="3"/>
    <x v="11"/>
    <x v="8"/>
    <x v="9"/>
    <x v="1"/>
    <n v="2"/>
  </r>
  <r>
    <x v="0"/>
    <x v="1"/>
    <x v="3"/>
    <x v="11"/>
    <x v="8"/>
    <x v="12"/>
    <x v="6"/>
    <n v="7"/>
  </r>
  <r>
    <x v="0"/>
    <x v="1"/>
    <x v="3"/>
    <x v="11"/>
    <x v="8"/>
    <x v="12"/>
    <x v="10"/>
    <n v="1"/>
  </r>
  <r>
    <x v="0"/>
    <x v="1"/>
    <x v="3"/>
    <x v="11"/>
    <x v="8"/>
    <x v="1"/>
    <x v="7"/>
    <n v="1"/>
  </r>
  <r>
    <x v="0"/>
    <x v="1"/>
    <x v="3"/>
    <x v="11"/>
    <x v="8"/>
    <x v="1"/>
    <x v="6"/>
    <n v="5"/>
  </r>
  <r>
    <x v="0"/>
    <x v="1"/>
    <x v="3"/>
    <x v="11"/>
    <x v="8"/>
    <x v="1"/>
    <x v="10"/>
    <n v="1"/>
  </r>
  <r>
    <x v="0"/>
    <x v="1"/>
    <x v="3"/>
    <x v="11"/>
    <x v="8"/>
    <x v="0"/>
    <x v="10"/>
    <n v="9"/>
  </r>
  <r>
    <x v="0"/>
    <x v="1"/>
    <x v="3"/>
    <x v="11"/>
    <x v="6"/>
    <x v="0"/>
    <x v="14"/>
    <n v="1"/>
  </r>
  <r>
    <x v="0"/>
    <x v="1"/>
    <x v="3"/>
    <x v="12"/>
    <x v="16"/>
    <x v="0"/>
    <x v="9"/>
    <n v="2"/>
  </r>
  <r>
    <x v="0"/>
    <x v="1"/>
    <x v="3"/>
    <x v="12"/>
    <x v="16"/>
    <x v="0"/>
    <x v="3"/>
    <n v="1"/>
  </r>
  <r>
    <x v="0"/>
    <x v="1"/>
    <x v="3"/>
    <x v="12"/>
    <x v="16"/>
    <x v="0"/>
    <x v="4"/>
    <n v="1"/>
  </r>
  <r>
    <x v="0"/>
    <x v="1"/>
    <x v="3"/>
    <x v="12"/>
    <x v="6"/>
    <x v="16"/>
    <x v="2"/>
    <n v="1"/>
  </r>
  <r>
    <x v="0"/>
    <x v="1"/>
    <x v="3"/>
    <x v="12"/>
    <x v="6"/>
    <x v="15"/>
    <x v="4"/>
    <n v="1"/>
  </r>
  <r>
    <x v="0"/>
    <x v="1"/>
    <x v="3"/>
    <x v="12"/>
    <x v="6"/>
    <x v="14"/>
    <x v="9"/>
    <n v="1"/>
  </r>
  <r>
    <x v="0"/>
    <x v="1"/>
    <x v="3"/>
    <x v="12"/>
    <x v="6"/>
    <x v="13"/>
    <x v="12"/>
    <n v="1"/>
  </r>
  <r>
    <x v="0"/>
    <x v="1"/>
    <x v="3"/>
    <x v="12"/>
    <x v="6"/>
    <x v="13"/>
    <x v="9"/>
    <n v="1"/>
  </r>
  <r>
    <x v="0"/>
    <x v="1"/>
    <x v="3"/>
    <x v="12"/>
    <x v="6"/>
    <x v="2"/>
    <x v="1"/>
    <n v="1"/>
  </r>
  <r>
    <x v="0"/>
    <x v="1"/>
    <x v="3"/>
    <x v="12"/>
    <x v="6"/>
    <x v="10"/>
    <x v="10"/>
    <n v="2"/>
  </r>
  <r>
    <x v="0"/>
    <x v="1"/>
    <x v="3"/>
    <x v="12"/>
    <x v="6"/>
    <x v="10"/>
    <x v="1"/>
    <n v="3"/>
  </r>
  <r>
    <x v="0"/>
    <x v="1"/>
    <x v="3"/>
    <x v="12"/>
    <x v="6"/>
    <x v="10"/>
    <x v="12"/>
    <n v="1"/>
  </r>
  <r>
    <x v="0"/>
    <x v="1"/>
    <x v="3"/>
    <x v="12"/>
    <x v="6"/>
    <x v="10"/>
    <x v="9"/>
    <n v="1"/>
  </r>
  <r>
    <x v="0"/>
    <x v="1"/>
    <x v="3"/>
    <x v="12"/>
    <x v="6"/>
    <x v="3"/>
    <x v="10"/>
    <n v="8"/>
  </r>
  <r>
    <x v="0"/>
    <x v="1"/>
    <x v="3"/>
    <x v="12"/>
    <x v="6"/>
    <x v="3"/>
    <x v="1"/>
    <n v="2"/>
  </r>
  <r>
    <x v="0"/>
    <x v="1"/>
    <x v="3"/>
    <x v="12"/>
    <x v="6"/>
    <x v="3"/>
    <x v="12"/>
    <n v="1"/>
  </r>
  <r>
    <x v="0"/>
    <x v="1"/>
    <x v="3"/>
    <x v="12"/>
    <x v="6"/>
    <x v="4"/>
    <x v="6"/>
    <n v="3"/>
  </r>
  <r>
    <x v="0"/>
    <x v="1"/>
    <x v="3"/>
    <x v="12"/>
    <x v="6"/>
    <x v="4"/>
    <x v="10"/>
    <n v="2"/>
  </r>
  <r>
    <x v="0"/>
    <x v="1"/>
    <x v="3"/>
    <x v="12"/>
    <x v="6"/>
    <x v="4"/>
    <x v="1"/>
    <n v="3"/>
  </r>
  <r>
    <x v="0"/>
    <x v="1"/>
    <x v="3"/>
    <x v="12"/>
    <x v="6"/>
    <x v="5"/>
    <x v="10"/>
    <n v="5"/>
  </r>
  <r>
    <x v="0"/>
    <x v="1"/>
    <x v="3"/>
    <x v="12"/>
    <x v="6"/>
    <x v="5"/>
    <x v="1"/>
    <n v="3"/>
  </r>
  <r>
    <x v="0"/>
    <x v="1"/>
    <x v="3"/>
    <x v="12"/>
    <x v="6"/>
    <x v="11"/>
    <x v="6"/>
    <n v="1"/>
  </r>
  <r>
    <x v="0"/>
    <x v="1"/>
    <x v="3"/>
    <x v="12"/>
    <x v="6"/>
    <x v="11"/>
    <x v="10"/>
    <n v="5"/>
  </r>
  <r>
    <x v="0"/>
    <x v="1"/>
    <x v="3"/>
    <x v="12"/>
    <x v="6"/>
    <x v="11"/>
    <x v="1"/>
    <n v="5"/>
  </r>
  <r>
    <x v="0"/>
    <x v="1"/>
    <x v="3"/>
    <x v="12"/>
    <x v="6"/>
    <x v="6"/>
    <x v="6"/>
    <n v="1"/>
  </r>
  <r>
    <x v="0"/>
    <x v="1"/>
    <x v="3"/>
    <x v="12"/>
    <x v="6"/>
    <x v="6"/>
    <x v="10"/>
    <n v="4"/>
  </r>
  <r>
    <x v="0"/>
    <x v="1"/>
    <x v="3"/>
    <x v="12"/>
    <x v="6"/>
    <x v="9"/>
    <x v="10"/>
    <n v="5"/>
  </r>
  <r>
    <x v="0"/>
    <x v="1"/>
    <x v="3"/>
    <x v="12"/>
    <x v="6"/>
    <x v="7"/>
    <x v="4"/>
    <n v="1"/>
  </r>
  <r>
    <x v="0"/>
    <x v="1"/>
    <x v="3"/>
    <x v="12"/>
    <x v="6"/>
    <x v="8"/>
    <x v="3"/>
    <n v="1"/>
  </r>
  <r>
    <x v="0"/>
    <x v="1"/>
    <x v="3"/>
    <x v="12"/>
    <x v="9"/>
    <x v="0"/>
    <x v="19"/>
    <n v="1"/>
  </r>
  <r>
    <x v="0"/>
    <x v="1"/>
    <x v="3"/>
    <x v="13"/>
    <x v="15"/>
    <x v="6"/>
    <x v="6"/>
    <n v="3"/>
  </r>
  <r>
    <x v="0"/>
    <x v="1"/>
    <x v="3"/>
    <x v="13"/>
    <x v="15"/>
    <x v="6"/>
    <x v="10"/>
    <n v="1"/>
  </r>
  <r>
    <x v="0"/>
    <x v="1"/>
    <x v="3"/>
    <x v="13"/>
    <x v="15"/>
    <x v="9"/>
    <x v="10"/>
    <n v="6"/>
  </r>
  <r>
    <x v="0"/>
    <x v="1"/>
    <x v="3"/>
    <x v="13"/>
    <x v="15"/>
    <x v="9"/>
    <x v="1"/>
    <n v="3"/>
  </r>
  <r>
    <x v="0"/>
    <x v="1"/>
    <x v="3"/>
    <x v="13"/>
    <x v="15"/>
    <x v="12"/>
    <x v="10"/>
    <n v="8"/>
  </r>
  <r>
    <x v="0"/>
    <x v="1"/>
    <x v="3"/>
    <x v="13"/>
    <x v="15"/>
    <x v="12"/>
    <x v="1"/>
    <n v="4"/>
  </r>
  <r>
    <x v="0"/>
    <x v="1"/>
    <x v="3"/>
    <x v="13"/>
    <x v="15"/>
    <x v="1"/>
    <x v="10"/>
    <n v="1"/>
  </r>
  <r>
    <x v="0"/>
    <x v="1"/>
    <x v="3"/>
    <x v="13"/>
    <x v="15"/>
    <x v="8"/>
    <x v="2"/>
    <n v="1"/>
  </r>
  <r>
    <x v="0"/>
    <x v="1"/>
    <x v="3"/>
    <x v="13"/>
    <x v="7"/>
    <x v="11"/>
    <x v="1"/>
    <n v="2"/>
  </r>
  <r>
    <x v="0"/>
    <x v="1"/>
    <x v="3"/>
    <x v="13"/>
    <x v="7"/>
    <x v="6"/>
    <x v="6"/>
    <n v="1"/>
  </r>
  <r>
    <x v="0"/>
    <x v="1"/>
    <x v="3"/>
    <x v="13"/>
    <x v="7"/>
    <x v="6"/>
    <x v="10"/>
    <n v="2"/>
  </r>
  <r>
    <x v="0"/>
    <x v="1"/>
    <x v="3"/>
    <x v="13"/>
    <x v="7"/>
    <x v="9"/>
    <x v="10"/>
    <n v="3"/>
  </r>
  <r>
    <x v="0"/>
    <x v="1"/>
    <x v="3"/>
    <x v="14"/>
    <x v="0"/>
    <x v="0"/>
    <x v="1"/>
    <n v="1"/>
  </r>
  <r>
    <x v="0"/>
    <x v="1"/>
    <x v="3"/>
    <x v="14"/>
    <x v="0"/>
    <x v="0"/>
    <x v="12"/>
    <n v="1"/>
  </r>
  <r>
    <x v="0"/>
    <x v="1"/>
    <x v="3"/>
    <x v="14"/>
    <x v="0"/>
    <x v="0"/>
    <x v="9"/>
    <n v="3"/>
  </r>
  <r>
    <x v="0"/>
    <x v="1"/>
    <x v="3"/>
    <x v="14"/>
    <x v="3"/>
    <x v="0"/>
    <x v="19"/>
    <n v="1"/>
  </r>
  <r>
    <x v="0"/>
    <x v="1"/>
    <x v="3"/>
    <x v="14"/>
    <x v="9"/>
    <x v="0"/>
    <x v="4"/>
    <n v="2"/>
  </r>
  <r>
    <x v="0"/>
    <x v="1"/>
    <x v="3"/>
    <x v="14"/>
    <x v="9"/>
    <x v="0"/>
    <x v="5"/>
    <n v="1"/>
  </r>
  <r>
    <x v="0"/>
    <x v="1"/>
    <x v="3"/>
    <x v="14"/>
    <x v="17"/>
    <x v="0"/>
    <x v="4"/>
    <n v="1"/>
  </r>
  <r>
    <x v="0"/>
    <x v="1"/>
    <x v="3"/>
    <x v="14"/>
    <x v="17"/>
    <x v="0"/>
    <x v="11"/>
    <n v="1"/>
  </r>
  <r>
    <x v="0"/>
    <x v="1"/>
    <x v="3"/>
    <x v="18"/>
    <x v="2"/>
    <x v="0"/>
    <x v="3"/>
    <n v="1"/>
  </r>
  <r>
    <x v="0"/>
    <x v="1"/>
    <x v="3"/>
    <x v="18"/>
    <x v="2"/>
    <x v="0"/>
    <x v="4"/>
    <n v="1"/>
  </r>
  <r>
    <x v="0"/>
    <x v="1"/>
    <x v="3"/>
    <x v="18"/>
    <x v="2"/>
    <x v="0"/>
    <x v="5"/>
    <n v="1"/>
  </r>
  <r>
    <x v="0"/>
    <x v="1"/>
    <x v="3"/>
    <x v="18"/>
    <x v="2"/>
    <x v="0"/>
    <x v="11"/>
    <n v="1"/>
  </r>
  <r>
    <x v="0"/>
    <x v="1"/>
    <x v="3"/>
    <x v="18"/>
    <x v="2"/>
    <x v="0"/>
    <x v="14"/>
    <n v="2"/>
  </r>
  <r>
    <x v="0"/>
    <x v="1"/>
    <x v="3"/>
    <x v="18"/>
    <x v="5"/>
    <x v="0"/>
    <x v="6"/>
    <n v="1"/>
  </r>
  <r>
    <x v="0"/>
    <x v="1"/>
    <x v="3"/>
    <x v="18"/>
    <x v="5"/>
    <x v="0"/>
    <x v="10"/>
    <n v="3"/>
  </r>
  <r>
    <x v="0"/>
    <x v="1"/>
    <x v="3"/>
    <x v="18"/>
    <x v="5"/>
    <x v="0"/>
    <x v="1"/>
    <n v="3"/>
  </r>
  <r>
    <x v="0"/>
    <x v="1"/>
    <x v="3"/>
    <x v="18"/>
    <x v="3"/>
    <x v="2"/>
    <x v="1"/>
    <n v="1"/>
  </r>
  <r>
    <x v="0"/>
    <x v="1"/>
    <x v="3"/>
    <x v="18"/>
    <x v="3"/>
    <x v="2"/>
    <x v="12"/>
    <n v="1"/>
  </r>
  <r>
    <x v="0"/>
    <x v="1"/>
    <x v="3"/>
    <x v="18"/>
    <x v="3"/>
    <x v="10"/>
    <x v="10"/>
    <n v="5"/>
  </r>
  <r>
    <x v="0"/>
    <x v="1"/>
    <x v="3"/>
    <x v="18"/>
    <x v="3"/>
    <x v="3"/>
    <x v="6"/>
    <n v="9"/>
  </r>
  <r>
    <x v="0"/>
    <x v="1"/>
    <x v="3"/>
    <x v="18"/>
    <x v="3"/>
    <x v="3"/>
    <x v="10"/>
    <n v="3"/>
  </r>
  <r>
    <x v="0"/>
    <x v="1"/>
    <x v="3"/>
    <x v="18"/>
    <x v="3"/>
    <x v="4"/>
    <x v="6"/>
    <n v="10"/>
  </r>
  <r>
    <x v="0"/>
    <x v="1"/>
    <x v="3"/>
    <x v="18"/>
    <x v="3"/>
    <x v="4"/>
    <x v="10"/>
    <n v="2"/>
  </r>
  <r>
    <x v="0"/>
    <x v="1"/>
    <x v="3"/>
    <x v="18"/>
    <x v="3"/>
    <x v="4"/>
    <x v="1"/>
    <n v="1"/>
  </r>
  <r>
    <x v="0"/>
    <x v="1"/>
    <x v="3"/>
    <x v="18"/>
    <x v="3"/>
    <x v="5"/>
    <x v="7"/>
    <n v="84"/>
  </r>
  <r>
    <x v="0"/>
    <x v="1"/>
    <x v="3"/>
    <x v="18"/>
    <x v="3"/>
    <x v="5"/>
    <x v="6"/>
    <n v="10"/>
  </r>
  <r>
    <x v="0"/>
    <x v="1"/>
    <x v="3"/>
    <x v="18"/>
    <x v="3"/>
    <x v="5"/>
    <x v="10"/>
    <n v="1"/>
  </r>
  <r>
    <x v="0"/>
    <x v="1"/>
    <x v="3"/>
    <x v="18"/>
    <x v="3"/>
    <x v="11"/>
    <x v="7"/>
    <n v="12"/>
  </r>
  <r>
    <x v="0"/>
    <x v="1"/>
    <x v="3"/>
    <x v="18"/>
    <x v="3"/>
    <x v="11"/>
    <x v="6"/>
    <n v="36"/>
  </r>
  <r>
    <x v="0"/>
    <x v="1"/>
    <x v="3"/>
    <x v="18"/>
    <x v="3"/>
    <x v="11"/>
    <x v="10"/>
    <n v="3"/>
  </r>
  <r>
    <x v="0"/>
    <x v="1"/>
    <x v="3"/>
    <x v="18"/>
    <x v="3"/>
    <x v="6"/>
    <x v="6"/>
    <n v="31"/>
  </r>
  <r>
    <x v="0"/>
    <x v="1"/>
    <x v="3"/>
    <x v="18"/>
    <x v="3"/>
    <x v="6"/>
    <x v="10"/>
    <n v="6"/>
  </r>
  <r>
    <x v="0"/>
    <x v="1"/>
    <x v="3"/>
    <x v="18"/>
    <x v="3"/>
    <x v="9"/>
    <x v="6"/>
    <n v="23"/>
  </r>
  <r>
    <x v="0"/>
    <x v="1"/>
    <x v="3"/>
    <x v="18"/>
    <x v="3"/>
    <x v="12"/>
    <x v="6"/>
    <n v="4"/>
  </r>
  <r>
    <x v="0"/>
    <x v="1"/>
    <x v="3"/>
    <x v="18"/>
    <x v="9"/>
    <x v="0"/>
    <x v="3"/>
    <n v="1"/>
  </r>
  <r>
    <x v="0"/>
    <x v="1"/>
    <x v="3"/>
    <x v="18"/>
    <x v="9"/>
    <x v="0"/>
    <x v="4"/>
    <n v="2"/>
  </r>
  <r>
    <x v="0"/>
    <x v="1"/>
    <x v="3"/>
    <x v="18"/>
    <x v="17"/>
    <x v="0"/>
    <x v="12"/>
    <n v="1"/>
  </r>
  <r>
    <x v="0"/>
    <x v="1"/>
    <x v="3"/>
    <x v="18"/>
    <x v="17"/>
    <x v="0"/>
    <x v="9"/>
    <n v="1"/>
  </r>
  <r>
    <x v="0"/>
    <x v="1"/>
    <x v="3"/>
    <x v="18"/>
    <x v="17"/>
    <x v="0"/>
    <x v="3"/>
    <n v="1"/>
  </r>
  <r>
    <x v="0"/>
    <x v="1"/>
    <x v="3"/>
    <x v="18"/>
    <x v="19"/>
    <x v="0"/>
    <x v="12"/>
    <n v="2"/>
  </r>
  <r>
    <x v="0"/>
    <x v="1"/>
    <x v="3"/>
    <x v="18"/>
    <x v="19"/>
    <x v="0"/>
    <x v="9"/>
    <n v="2"/>
  </r>
  <r>
    <x v="0"/>
    <x v="1"/>
    <x v="3"/>
    <x v="15"/>
    <x v="1"/>
    <x v="7"/>
    <x v="1"/>
    <n v="2"/>
  </r>
  <r>
    <x v="0"/>
    <x v="1"/>
    <x v="3"/>
    <x v="15"/>
    <x v="13"/>
    <x v="0"/>
    <x v="5"/>
    <n v="1"/>
  </r>
  <r>
    <x v="0"/>
    <x v="1"/>
    <x v="3"/>
    <x v="15"/>
    <x v="18"/>
    <x v="0"/>
    <x v="12"/>
    <n v="3"/>
  </r>
  <r>
    <x v="0"/>
    <x v="1"/>
    <x v="3"/>
    <x v="15"/>
    <x v="18"/>
    <x v="0"/>
    <x v="9"/>
    <n v="1"/>
  </r>
  <r>
    <x v="0"/>
    <x v="1"/>
    <x v="3"/>
    <x v="15"/>
    <x v="18"/>
    <x v="0"/>
    <x v="5"/>
    <n v="1"/>
  </r>
  <r>
    <x v="0"/>
    <x v="1"/>
    <x v="3"/>
    <x v="16"/>
    <x v="4"/>
    <x v="0"/>
    <x v="12"/>
    <n v="3"/>
  </r>
  <r>
    <x v="0"/>
    <x v="1"/>
    <x v="3"/>
    <x v="16"/>
    <x v="4"/>
    <x v="0"/>
    <x v="9"/>
    <n v="5"/>
  </r>
  <r>
    <x v="0"/>
    <x v="1"/>
    <x v="3"/>
    <x v="16"/>
    <x v="4"/>
    <x v="0"/>
    <x v="3"/>
    <n v="2"/>
  </r>
  <r>
    <x v="0"/>
    <x v="1"/>
    <x v="3"/>
    <x v="16"/>
    <x v="4"/>
    <x v="0"/>
    <x v="4"/>
    <n v="2"/>
  </r>
  <r>
    <x v="0"/>
    <x v="1"/>
    <x v="3"/>
    <x v="16"/>
    <x v="16"/>
    <x v="0"/>
    <x v="18"/>
    <n v="1"/>
  </r>
  <r>
    <x v="0"/>
    <x v="1"/>
    <x v="3"/>
    <x v="16"/>
    <x v="1"/>
    <x v="13"/>
    <x v="19"/>
    <n v="1"/>
  </r>
  <r>
    <x v="0"/>
    <x v="1"/>
    <x v="3"/>
    <x v="16"/>
    <x v="1"/>
    <x v="2"/>
    <x v="13"/>
    <n v="1"/>
  </r>
  <r>
    <x v="0"/>
    <x v="1"/>
    <x v="3"/>
    <x v="16"/>
    <x v="1"/>
    <x v="2"/>
    <x v="14"/>
    <n v="2"/>
  </r>
  <r>
    <x v="0"/>
    <x v="1"/>
    <x v="3"/>
    <x v="16"/>
    <x v="1"/>
    <x v="2"/>
    <x v="17"/>
    <n v="2"/>
  </r>
  <r>
    <x v="0"/>
    <x v="1"/>
    <x v="3"/>
    <x v="16"/>
    <x v="1"/>
    <x v="10"/>
    <x v="2"/>
    <n v="1"/>
  </r>
  <r>
    <x v="0"/>
    <x v="1"/>
    <x v="3"/>
    <x v="16"/>
    <x v="1"/>
    <x v="10"/>
    <x v="13"/>
    <n v="1"/>
  </r>
  <r>
    <x v="0"/>
    <x v="1"/>
    <x v="3"/>
    <x v="16"/>
    <x v="1"/>
    <x v="10"/>
    <x v="11"/>
    <n v="3"/>
  </r>
  <r>
    <x v="0"/>
    <x v="1"/>
    <x v="3"/>
    <x v="16"/>
    <x v="1"/>
    <x v="10"/>
    <x v="14"/>
    <n v="3"/>
  </r>
  <r>
    <x v="0"/>
    <x v="1"/>
    <x v="3"/>
    <x v="16"/>
    <x v="1"/>
    <x v="3"/>
    <x v="3"/>
    <n v="2"/>
  </r>
  <r>
    <x v="0"/>
    <x v="1"/>
    <x v="3"/>
    <x v="16"/>
    <x v="1"/>
    <x v="3"/>
    <x v="4"/>
    <n v="1"/>
  </r>
  <r>
    <x v="0"/>
    <x v="1"/>
    <x v="3"/>
    <x v="16"/>
    <x v="1"/>
    <x v="3"/>
    <x v="5"/>
    <n v="1"/>
  </r>
  <r>
    <x v="0"/>
    <x v="1"/>
    <x v="3"/>
    <x v="16"/>
    <x v="1"/>
    <x v="3"/>
    <x v="2"/>
    <n v="1"/>
  </r>
  <r>
    <x v="0"/>
    <x v="1"/>
    <x v="3"/>
    <x v="16"/>
    <x v="1"/>
    <x v="3"/>
    <x v="13"/>
    <n v="1"/>
  </r>
  <r>
    <x v="0"/>
    <x v="1"/>
    <x v="3"/>
    <x v="16"/>
    <x v="1"/>
    <x v="3"/>
    <x v="11"/>
    <n v="1"/>
  </r>
  <r>
    <x v="0"/>
    <x v="1"/>
    <x v="3"/>
    <x v="16"/>
    <x v="1"/>
    <x v="4"/>
    <x v="12"/>
    <n v="1"/>
  </r>
  <r>
    <x v="0"/>
    <x v="1"/>
    <x v="3"/>
    <x v="16"/>
    <x v="1"/>
    <x v="4"/>
    <x v="4"/>
    <n v="2"/>
  </r>
  <r>
    <x v="0"/>
    <x v="1"/>
    <x v="3"/>
    <x v="16"/>
    <x v="1"/>
    <x v="4"/>
    <x v="5"/>
    <n v="3"/>
  </r>
  <r>
    <x v="0"/>
    <x v="1"/>
    <x v="3"/>
    <x v="16"/>
    <x v="1"/>
    <x v="4"/>
    <x v="2"/>
    <n v="1"/>
  </r>
  <r>
    <x v="0"/>
    <x v="1"/>
    <x v="3"/>
    <x v="16"/>
    <x v="1"/>
    <x v="5"/>
    <x v="5"/>
    <n v="1"/>
  </r>
  <r>
    <x v="0"/>
    <x v="1"/>
    <x v="3"/>
    <x v="16"/>
    <x v="1"/>
    <x v="5"/>
    <x v="2"/>
    <n v="1"/>
  </r>
  <r>
    <x v="0"/>
    <x v="1"/>
    <x v="3"/>
    <x v="16"/>
    <x v="1"/>
    <x v="11"/>
    <x v="12"/>
    <n v="1"/>
  </r>
  <r>
    <x v="0"/>
    <x v="1"/>
    <x v="3"/>
    <x v="16"/>
    <x v="1"/>
    <x v="11"/>
    <x v="9"/>
    <n v="1"/>
  </r>
  <r>
    <x v="0"/>
    <x v="1"/>
    <x v="3"/>
    <x v="16"/>
    <x v="1"/>
    <x v="11"/>
    <x v="4"/>
    <n v="1"/>
  </r>
  <r>
    <x v="0"/>
    <x v="1"/>
    <x v="3"/>
    <x v="16"/>
    <x v="1"/>
    <x v="6"/>
    <x v="3"/>
    <n v="1"/>
  </r>
  <r>
    <x v="0"/>
    <x v="1"/>
    <x v="0"/>
    <x v="19"/>
    <x v="7"/>
    <x v="11"/>
    <x v="10"/>
    <n v="53"/>
  </r>
  <r>
    <x v="0"/>
    <x v="1"/>
    <x v="0"/>
    <x v="19"/>
    <x v="7"/>
    <x v="11"/>
    <x v="1"/>
    <n v="8"/>
  </r>
  <r>
    <x v="0"/>
    <x v="1"/>
    <x v="0"/>
    <x v="19"/>
    <x v="7"/>
    <x v="6"/>
    <x v="7"/>
    <n v="40"/>
  </r>
  <r>
    <x v="0"/>
    <x v="1"/>
    <x v="0"/>
    <x v="19"/>
    <x v="7"/>
    <x v="6"/>
    <x v="6"/>
    <n v="32"/>
  </r>
  <r>
    <x v="0"/>
    <x v="1"/>
    <x v="0"/>
    <x v="19"/>
    <x v="7"/>
    <x v="6"/>
    <x v="10"/>
    <n v="23"/>
  </r>
  <r>
    <x v="0"/>
    <x v="1"/>
    <x v="0"/>
    <x v="19"/>
    <x v="7"/>
    <x v="6"/>
    <x v="3"/>
    <n v="1"/>
  </r>
  <r>
    <x v="0"/>
    <x v="1"/>
    <x v="0"/>
    <x v="19"/>
    <x v="7"/>
    <x v="9"/>
    <x v="7"/>
    <n v="8"/>
  </r>
  <r>
    <x v="0"/>
    <x v="1"/>
    <x v="0"/>
    <x v="19"/>
    <x v="7"/>
    <x v="9"/>
    <x v="6"/>
    <n v="10"/>
  </r>
  <r>
    <x v="0"/>
    <x v="1"/>
    <x v="0"/>
    <x v="19"/>
    <x v="7"/>
    <x v="9"/>
    <x v="10"/>
    <n v="10"/>
  </r>
  <r>
    <x v="0"/>
    <x v="1"/>
    <x v="0"/>
    <x v="19"/>
    <x v="7"/>
    <x v="9"/>
    <x v="9"/>
    <n v="1"/>
  </r>
  <r>
    <x v="0"/>
    <x v="1"/>
    <x v="0"/>
    <x v="19"/>
    <x v="7"/>
    <x v="12"/>
    <x v="7"/>
    <n v="3"/>
  </r>
  <r>
    <x v="0"/>
    <x v="1"/>
    <x v="0"/>
    <x v="19"/>
    <x v="7"/>
    <x v="12"/>
    <x v="6"/>
    <n v="3"/>
  </r>
  <r>
    <x v="0"/>
    <x v="1"/>
    <x v="0"/>
    <x v="19"/>
    <x v="7"/>
    <x v="12"/>
    <x v="12"/>
    <n v="1"/>
  </r>
  <r>
    <x v="0"/>
    <x v="1"/>
    <x v="0"/>
    <x v="19"/>
    <x v="10"/>
    <x v="4"/>
    <x v="7"/>
    <n v="4"/>
  </r>
  <r>
    <x v="0"/>
    <x v="1"/>
    <x v="0"/>
    <x v="19"/>
    <x v="10"/>
    <x v="4"/>
    <x v="6"/>
    <n v="2"/>
  </r>
  <r>
    <x v="0"/>
    <x v="1"/>
    <x v="0"/>
    <x v="19"/>
    <x v="10"/>
    <x v="4"/>
    <x v="3"/>
    <n v="1"/>
  </r>
  <r>
    <x v="0"/>
    <x v="1"/>
    <x v="0"/>
    <x v="19"/>
    <x v="10"/>
    <x v="5"/>
    <x v="7"/>
    <n v="27"/>
  </r>
  <r>
    <x v="0"/>
    <x v="1"/>
    <x v="0"/>
    <x v="19"/>
    <x v="10"/>
    <x v="5"/>
    <x v="6"/>
    <n v="6"/>
  </r>
  <r>
    <x v="0"/>
    <x v="1"/>
    <x v="0"/>
    <x v="19"/>
    <x v="10"/>
    <x v="5"/>
    <x v="10"/>
    <n v="8"/>
  </r>
  <r>
    <x v="0"/>
    <x v="1"/>
    <x v="0"/>
    <x v="19"/>
    <x v="10"/>
    <x v="5"/>
    <x v="9"/>
    <n v="1"/>
  </r>
  <r>
    <x v="0"/>
    <x v="1"/>
    <x v="0"/>
    <x v="19"/>
    <x v="10"/>
    <x v="11"/>
    <x v="7"/>
    <n v="69"/>
  </r>
  <r>
    <x v="0"/>
    <x v="1"/>
    <x v="0"/>
    <x v="19"/>
    <x v="10"/>
    <x v="11"/>
    <x v="6"/>
    <n v="29"/>
  </r>
  <r>
    <x v="0"/>
    <x v="1"/>
    <x v="0"/>
    <x v="19"/>
    <x v="10"/>
    <x v="11"/>
    <x v="12"/>
    <n v="1"/>
  </r>
  <r>
    <x v="0"/>
    <x v="1"/>
    <x v="0"/>
    <x v="19"/>
    <x v="10"/>
    <x v="6"/>
    <x v="8"/>
    <n v="263"/>
  </r>
  <r>
    <x v="0"/>
    <x v="1"/>
    <x v="0"/>
    <x v="19"/>
    <x v="10"/>
    <x v="6"/>
    <x v="7"/>
    <n v="166"/>
  </r>
  <r>
    <x v="0"/>
    <x v="1"/>
    <x v="0"/>
    <x v="19"/>
    <x v="10"/>
    <x v="6"/>
    <x v="6"/>
    <n v="34"/>
  </r>
  <r>
    <x v="0"/>
    <x v="1"/>
    <x v="0"/>
    <x v="19"/>
    <x v="10"/>
    <x v="9"/>
    <x v="8"/>
    <n v="109"/>
  </r>
  <r>
    <x v="0"/>
    <x v="1"/>
    <x v="0"/>
    <x v="19"/>
    <x v="10"/>
    <x v="9"/>
    <x v="7"/>
    <n v="272"/>
  </r>
  <r>
    <x v="0"/>
    <x v="1"/>
    <x v="0"/>
    <x v="19"/>
    <x v="10"/>
    <x v="12"/>
    <x v="7"/>
    <n v="286"/>
  </r>
  <r>
    <x v="0"/>
    <x v="1"/>
    <x v="0"/>
    <x v="19"/>
    <x v="10"/>
    <x v="7"/>
    <x v="1"/>
    <n v="15"/>
  </r>
  <r>
    <x v="0"/>
    <x v="1"/>
    <x v="0"/>
    <x v="19"/>
    <x v="10"/>
    <x v="7"/>
    <x v="2"/>
    <n v="1"/>
  </r>
  <r>
    <x v="0"/>
    <x v="1"/>
    <x v="0"/>
    <x v="19"/>
    <x v="10"/>
    <x v="8"/>
    <x v="10"/>
    <n v="29"/>
  </r>
  <r>
    <x v="0"/>
    <x v="1"/>
    <x v="0"/>
    <x v="19"/>
    <x v="10"/>
    <x v="8"/>
    <x v="5"/>
    <n v="1"/>
  </r>
  <r>
    <x v="0"/>
    <x v="1"/>
    <x v="1"/>
    <x v="0"/>
    <x v="2"/>
    <x v="0"/>
    <x v="14"/>
    <n v="1"/>
  </r>
  <r>
    <x v="0"/>
    <x v="1"/>
    <x v="1"/>
    <x v="1"/>
    <x v="3"/>
    <x v="16"/>
    <x v="1"/>
    <n v="1"/>
  </r>
  <r>
    <x v="0"/>
    <x v="1"/>
    <x v="1"/>
    <x v="1"/>
    <x v="3"/>
    <x v="16"/>
    <x v="4"/>
    <n v="1"/>
  </r>
  <r>
    <x v="0"/>
    <x v="1"/>
    <x v="1"/>
    <x v="1"/>
    <x v="3"/>
    <x v="16"/>
    <x v="11"/>
    <n v="1"/>
  </r>
  <r>
    <x v="0"/>
    <x v="1"/>
    <x v="1"/>
    <x v="1"/>
    <x v="3"/>
    <x v="15"/>
    <x v="10"/>
    <n v="5"/>
  </r>
  <r>
    <x v="0"/>
    <x v="1"/>
    <x v="1"/>
    <x v="1"/>
    <x v="3"/>
    <x v="15"/>
    <x v="1"/>
    <n v="11"/>
  </r>
  <r>
    <x v="0"/>
    <x v="1"/>
    <x v="1"/>
    <x v="1"/>
    <x v="3"/>
    <x v="15"/>
    <x v="9"/>
    <n v="3"/>
  </r>
  <r>
    <x v="0"/>
    <x v="1"/>
    <x v="1"/>
    <x v="1"/>
    <x v="3"/>
    <x v="15"/>
    <x v="3"/>
    <n v="2"/>
  </r>
  <r>
    <x v="0"/>
    <x v="1"/>
    <x v="1"/>
    <x v="1"/>
    <x v="3"/>
    <x v="15"/>
    <x v="2"/>
    <n v="1"/>
  </r>
  <r>
    <x v="0"/>
    <x v="1"/>
    <x v="1"/>
    <x v="1"/>
    <x v="3"/>
    <x v="15"/>
    <x v="13"/>
    <n v="1"/>
  </r>
  <r>
    <x v="0"/>
    <x v="1"/>
    <x v="1"/>
    <x v="1"/>
    <x v="3"/>
    <x v="14"/>
    <x v="6"/>
    <n v="3"/>
  </r>
  <r>
    <x v="0"/>
    <x v="1"/>
    <x v="1"/>
    <x v="1"/>
    <x v="3"/>
    <x v="14"/>
    <x v="10"/>
    <n v="6"/>
  </r>
  <r>
    <x v="0"/>
    <x v="1"/>
    <x v="1"/>
    <x v="1"/>
    <x v="3"/>
    <x v="14"/>
    <x v="1"/>
    <n v="16"/>
  </r>
  <r>
    <x v="0"/>
    <x v="1"/>
    <x v="1"/>
    <x v="1"/>
    <x v="3"/>
    <x v="14"/>
    <x v="12"/>
    <n v="4"/>
  </r>
  <r>
    <x v="0"/>
    <x v="1"/>
    <x v="1"/>
    <x v="1"/>
    <x v="3"/>
    <x v="14"/>
    <x v="9"/>
    <n v="6"/>
  </r>
  <r>
    <x v="0"/>
    <x v="1"/>
    <x v="1"/>
    <x v="1"/>
    <x v="3"/>
    <x v="14"/>
    <x v="3"/>
    <n v="3"/>
  </r>
  <r>
    <x v="0"/>
    <x v="1"/>
    <x v="1"/>
    <x v="1"/>
    <x v="3"/>
    <x v="14"/>
    <x v="4"/>
    <n v="1"/>
  </r>
  <r>
    <x v="0"/>
    <x v="1"/>
    <x v="1"/>
    <x v="1"/>
    <x v="3"/>
    <x v="14"/>
    <x v="5"/>
    <n v="1"/>
  </r>
  <r>
    <x v="0"/>
    <x v="1"/>
    <x v="1"/>
    <x v="1"/>
    <x v="3"/>
    <x v="13"/>
    <x v="6"/>
    <n v="4"/>
  </r>
  <r>
    <x v="0"/>
    <x v="1"/>
    <x v="1"/>
    <x v="1"/>
    <x v="3"/>
    <x v="13"/>
    <x v="10"/>
    <n v="6"/>
  </r>
  <r>
    <x v="0"/>
    <x v="1"/>
    <x v="1"/>
    <x v="1"/>
    <x v="3"/>
    <x v="13"/>
    <x v="12"/>
    <n v="7"/>
  </r>
  <r>
    <x v="0"/>
    <x v="1"/>
    <x v="1"/>
    <x v="1"/>
    <x v="3"/>
    <x v="13"/>
    <x v="9"/>
    <n v="2"/>
  </r>
  <r>
    <x v="0"/>
    <x v="1"/>
    <x v="1"/>
    <x v="1"/>
    <x v="3"/>
    <x v="13"/>
    <x v="3"/>
    <n v="1"/>
  </r>
  <r>
    <x v="0"/>
    <x v="1"/>
    <x v="1"/>
    <x v="1"/>
    <x v="3"/>
    <x v="13"/>
    <x v="4"/>
    <n v="2"/>
  </r>
  <r>
    <x v="0"/>
    <x v="1"/>
    <x v="1"/>
    <x v="1"/>
    <x v="3"/>
    <x v="2"/>
    <x v="10"/>
    <n v="14"/>
  </r>
  <r>
    <x v="0"/>
    <x v="1"/>
    <x v="1"/>
    <x v="1"/>
    <x v="3"/>
    <x v="2"/>
    <x v="1"/>
    <n v="15"/>
  </r>
  <r>
    <x v="0"/>
    <x v="1"/>
    <x v="1"/>
    <x v="1"/>
    <x v="3"/>
    <x v="10"/>
    <x v="10"/>
    <n v="7"/>
  </r>
  <r>
    <x v="0"/>
    <x v="1"/>
    <x v="1"/>
    <x v="1"/>
    <x v="3"/>
    <x v="10"/>
    <x v="1"/>
    <n v="9"/>
  </r>
  <r>
    <x v="0"/>
    <x v="1"/>
    <x v="1"/>
    <x v="1"/>
    <x v="3"/>
    <x v="3"/>
    <x v="10"/>
    <n v="7"/>
  </r>
  <r>
    <x v="0"/>
    <x v="1"/>
    <x v="1"/>
    <x v="1"/>
    <x v="3"/>
    <x v="3"/>
    <x v="1"/>
    <n v="3"/>
  </r>
  <r>
    <x v="0"/>
    <x v="1"/>
    <x v="1"/>
    <x v="1"/>
    <x v="3"/>
    <x v="4"/>
    <x v="10"/>
    <n v="2"/>
  </r>
  <r>
    <x v="0"/>
    <x v="1"/>
    <x v="1"/>
    <x v="1"/>
    <x v="3"/>
    <x v="4"/>
    <x v="1"/>
    <n v="1"/>
  </r>
  <r>
    <x v="0"/>
    <x v="1"/>
    <x v="1"/>
    <x v="1"/>
    <x v="3"/>
    <x v="11"/>
    <x v="10"/>
    <n v="1"/>
  </r>
  <r>
    <x v="0"/>
    <x v="1"/>
    <x v="1"/>
    <x v="1"/>
    <x v="3"/>
    <x v="9"/>
    <x v="9"/>
    <n v="2"/>
  </r>
  <r>
    <x v="0"/>
    <x v="1"/>
    <x v="1"/>
    <x v="1"/>
    <x v="3"/>
    <x v="9"/>
    <x v="3"/>
    <n v="1"/>
  </r>
  <r>
    <x v="0"/>
    <x v="1"/>
    <x v="1"/>
    <x v="1"/>
    <x v="7"/>
    <x v="6"/>
    <x v="3"/>
    <n v="1"/>
  </r>
  <r>
    <x v="0"/>
    <x v="1"/>
    <x v="1"/>
    <x v="2"/>
    <x v="13"/>
    <x v="12"/>
    <x v="12"/>
    <n v="1"/>
  </r>
  <r>
    <x v="0"/>
    <x v="1"/>
    <x v="1"/>
    <x v="2"/>
    <x v="7"/>
    <x v="2"/>
    <x v="5"/>
    <n v="1"/>
  </r>
  <r>
    <x v="0"/>
    <x v="1"/>
    <x v="1"/>
    <x v="2"/>
    <x v="7"/>
    <x v="3"/>
    <x v="9"/>
    <n v="3"/>
  </r>
  <r>
    <x v="0"/>
    <x v="1"/>
    <x v="3"/>
    <x v="16"/>
    <x v="1"/>
    <x v="9"/>
    <x v="12"/>
    <n v="1"/>
  </r>
  <r>
    <x v="0"/>
    <x v="1"/>
    <x v="3"/>
    <x v="16"/>
    <x v="1"/>
    <x v="9"/>
    <x v="9"/>
    <n v="1"/>
  </r>
  <r>
    <x v="0"/>
    <x v="1"/>
    <x v="3"/>
    <x v="16"/>
    <x v="1"/>
    <x v="9"/>
    <x v="3"/>
    <n v="1"/>
  </r>
  <r>
    <x v="0"/>
    <x v="1"/>
    <x v="3"/>
    <x v="16"/>
    <x v="1"/>
    <x v="12"/>
    <x v="1"/>
    <n v="1"/>
  </r>
  <r>
    <x v="0"/>
    <x v="1"/>
    <x v="3"/>
    <x v="16"/>
    <x v="8"/>
    <x v="0"/>
    <x v="17"/>
    <n v="1"/>
  </r>
  <r>
    <x v="0"/>
    <x v="1"/>
    <x v="3"/>
    <x v="16"/>
    <x v="8"/>
    <x v="0"/>
    <x v="19"/>
    <n v="1"/>
  </r>
  <r>
    <x v="0"/>
    <x v="1"/>
    <x v="3"/>
    <x v="16"/>
    <x v="9"/>
    <x v="0"/>
    <x v="9"/>
    <n v="1"/>
  </r>
  <r>
    <x v="0"/>
    <x v="1"/>
    <x v="3"/>
    <x v="16"/>
    <x v="9"/>
    <x v="0"/>
    <x v="3"/>
    <n v="4"/>
  </r>
  <r>
    <x v="0"/>
    <x v="1"/>
    <x v="3"/>
    <x v="16"/>
    <x v="9"/>
    <x v="0"/>
    <x v="4"/>
    <n v="6"/>
  </r>
  <r>
    <x v="0"/>
    <x v="1"/>
    <x v="3"/>
    <x v="16"/>
    <x v="9"/>
    <x v="0"/>
    <x v="2"/>
    <n v="1"/>
  </r>
  <r>
    <x v="0"/>
    <x v="1"/>
    <x v="3"/>
    <x v="16"/>
    <x v="9"/>
    <x v="0"/>
    <x v="13"/>
    <n v="1"/>
  </r>
  <r>
    <x v="0"/>
    <x v="1"/>
    <x v="3"/>
    <x v="17"/>
    <x v="10"/>
    <x v="1"/>
    <x v="10"/>
    <n v="1"/>
  </r>
  <r>
    <x v="0"/>
    <x v="1"/>
    <x v="3"/>
    <x v="19"/>
    <x v="12"/>
    <x v="0"/>
    <x v="5"/>
    <n v="2"/>
  </r>
  <r>
    <x v="0"/>
    <x v="1"/>
    <x v="3"/>
    <x v="19"/>
    <x v="12"/>
    <x v="0"/>
    <x v="2"/>
    <n v="5"/>
  </r>
  <r>
    <x v="0"/>
    <x v="1"/>
    <x v="3"/>
    <x v="19"/>
    <x v="12"/>
    <x v="0"/>
    <x v="13"/>
    <n v="2"/>
  </r>
  <r>
    <x v="0"/>
    <x v="1"/>
    <x v="3"/>
    <x v="19"/>
    <x v="12"/>
    <x v="0"/>
    <x v="11"/>
    <n v="2"/>
  </r>
  <r>
    <x v="0"/>
    <x v="1"/>
    <x v="3"/>
    <x v="19"/>
    <x v="12"/>
    <x v="0"/>
    <x v="14"/>
    <n v="3"/>
  </r>
  <r>
    <x v="0"/>
    <x v="1"/>
    <x v="3"/>
    <x v="19"/>
    <x v="12"/>
    <x v="0"/>
    <x v="17"/>
    <n v="1"/>
  </r>
  <r>
    <x v="0"/>
    <x v="1"/>
    <x v="3"/>
    <x v="19"/>
    <x v="15"/>
    <x v="0"/>
    <x v="2"/>
    <n v="1"/>
  </r>
  <r>
    <x v="0"/>
    <x v="1"/>
    <x v="3"/>
    <x v="19"/>
    <x v="15"/>
    <x v="0"/>
    <x v="13"/>
    <n v="3"/>
  </r>
  <r>
    <x v="0"/>
    <x v="1"/>
    <x v="3"/>
    <x v="19"/>
    <x v="15"/>
    <x v="0"/>
    <x v="11"/>
    <n v="2"/>
  </r>
  <r>
    <x v="0"/>
    <x v="1"/>
    <x v="3"/>
    <x v="19"/>
    <x v="3"/>
    <x v="0"/>
    <x v="11"/>
    <n v="1"/>
  </r>
  <r>
    <x v="0"/>
    <x v="1"/>
    <x v="3"/>
    <x v="19"/>
    <x v="3"/>
    <x v="0"/>
    <x v="14"/>
    <n v="2"/>
  </r>
  <r>
    <x v="0"/>
    <x v="1"/>
    <x v="3"/>
    <x v="19"/>
    <x v="9"/>
    <x v="0"/>
    <x v="12"/>
    <n v="11"/>
  </r>
  <r>
    <x v="0"/>
    <x v="1"/>
    <x v="3"/>
    <x v="19"/>
    <x v="9"/>
    <x v="0"/>
    <x v="9"/>
    <n v="4"/>
  </r>
  <r>
    <x v="0"/>
    <x v="1"/>
    <x v="3"/>
    <x v="19"/>
    <x v="10"/>
    <x v="9"/>
    <x v="3"/>
    <n v="1"/>
  </r>
  <r>
    <x v="0"/>
    <x v="1"/>
    <x v="3"/>
    <x v="19"/>
    <x v="10"/>
    <x v="7"/>
    <x v="10"/>
    <n v="1"/>
  </r>
  <r>
    <x v="0"/>
    <x v="1"/>
    <x v="3"/>
    <x v="19"/>
    <x v="10"/>
    <x v="1"/>
    <x v="5"/>
    <n v="1"/>
  </r>
  <r>
    <x v="0"/>
    <x v="1"/>
    <x v="3"/>
    <x v="19"/>
    <x v="10"/>
    <x v="1"/>
    <x v="2"/>
    <n v="1"/>
  </r>
  <r>
    <x v="0"/>
    <x v="1"/>
    <x v="3"/>
    <x v="19"/>
    <x v="10"/>
    <x v="1"/>
    <x v="13"/>
    <n v="1"/>
  </r>
  <r>
    <x v="0"/>
    <x v="1"/>
    <x v="3"/>
    <x v="19"/>
    <x v="10"/>
    <x v="0"/>
    <x v="12"/>
    <n v="5"/>
  </r>
  <r>
    <x v="0"/>
    <x v="1"/>
    <x v="3"/>
    <x v="19"/>
    <x v="17"/>
    <x v="0"/>
    <x v="12"/>
    <n v="3"/>
  </r>
  <r>
    <x v="0"/>
    <x v="1"/>
    <x v="4"/>
    <x v="0"/>
    <x v="1"/>
    <x v="6"/>
    <x v="1"/>
    <n v="1"/>
  </r>
  <r>
    <x v="0"/>
    <x v="1"/>
    <x v="4"/>
    <x v="0"/>
    <x v="1"/>
    <x v="9"/>
    <x v="6"/>
    <n v="1"/>
  </r>
  <r>
    <x v="0"/>
    <x v="1"/>
    <x v="4"/>
    <x v="0"/>
    <x v="1"/>
    <x v="12"/>
    <x v="6"/>
    <n v="4"/>
  </r>
  <r>
    <x v="0"/>
    <x v="1"/>
    <x v="4"/>
    <x v="0"/>
    <x v="1"/>
    <x v="12"/>
    <x v="10"/>
    <n v="3"/>
  </r>
  <r>
    <x v="0"/>
    <x v="1"/>
    <x v="4"/>
    <x v="0"/>
    <x v="1"/>
    <x v="7"/>
    <x v="5"/>
    <n v="1"/>
  </r>
  <r>
    <x v="0"/>
    <x v="1"/>
    <x v="4"/>
    <x v="0"/>
    <x v="1"/>
    <x v="7"/>
    <x v="2"/>
    <n v="1"/>
  </r>
  <r>
    <x v="0"/>
    <x v="1"/>
    <x v="4"/>
    <x v="0"/>
    <x v="1"/>
    <x v="7"/>
    <x v="13"/>
    <n v="1"/>
  </r>
  <r>
    <x v="0"/>
    <x v="1"/>
    <x v="4"/>
    <x v="0"/>
    <x v="1"/>
    <x v="1"/>
    <x v="7"/>
    <n v="74"/>
  </r>
  <r>
    <x v="0"/>
    <x v="1"/>
    <x v="4"/>
    <x v="0"/>
    <x v="1"/>
    <x v="1"/>
    <x v="6"/>
    <n v="10"/>
  </r>
  <r>
    <x v="0"/>
    <x v="1"/>
    <x v="4"/>
    <x v="0"/>
    <x v="1"/>
    <x v="8"/>
    <x v="5"/>
    <n v="1"/>
  </r>
  <r>
    <x v="0"/>
    <x v="1"/>
    <x v="4"/>
    <x v="0"/>
    <x v="1"/>
    <x v="0"/>
    <x v="7"/>
    <n v="18"/>
  </r>
  <r>
    <x v="0"/>
    <x v="1"/>
    <x v="4"/>
    <x v="0"/>
    <x v="1"/>
    <x v="0"/>
    <x v="6"/>
    <n v="203"/>
  </r>
  <r>
    <x v="0"/>
    <x v="1"/>
    <x v="4"/>
    <x v="0"/>
    <x v="19"/>
    <x v="11"/>
    <x v="3"/>
    <n v="2"/>
  </r>
  <r>
    <x v="0"/>
    <x v="1"/>
    <x v="4"/>
    <x v="0"/>
    <x v="19"/>
    <x v="6"/>
    <x v="12"/>
    <n v="1"/>
  </r>
  <r>
    <x v="0"/>
    <x v="1"/>
    <x v="4"/>
    <x v="0"/>
    <x v="19"/>
    <x v="6"/>
    <x v="9"/>
    <n v="1"/>
  </r>
  <r>
    <x v="0"/>
    <x v="1"/>
    <x v="4"/>
    <x v="0"/>
    <x v="19"/>
    <x v="9"/>
    <x v="10"/>
    <n v="1"/>
  </r>
  <r>
    <x v="0"/>
    <x v="1"/>
    <x v="4"/>
    <x v="0"/>
    <x v="19"/>
    <x v="9"/>
    <x v="1"/>
    <n v="1"/>
  </r>
  <r>
    <x v="0"/>
    <x v="1"/>
    <x v="4"/>
    <x v="0"/>
    <x v="19"/>
    <x v="12"/>
    <x v="10"/>
    <n v="1"/>
  </r>
  <r>
    <x v="0"/>
    <x v="1"/>
    <x v="4"/>
    <x v="0"/>
    <x v="19"/>
    <x v="7"/>
    <x v="7"/>
    <n v="65"/>
  </r>
  <r>
    <x v="0"/>
    <x v="1"/>
    <x v="4"/>
    <x v="0"/>
    <x v="19"/>
    <x v="7"/>
    <x v="11"/>
    <n v="1"/>
  </r>
  <r>
    <x v="0"/>
    <x v="1"/>
    <x v="4"/>
    <x v="0"/>
    <x v="19"/>
    <x v="1"/>
    <x v="6"/>
    <n v="15"/>
  </r>
  <r>
    <x v="0"/>
    <x v="1"/>
    <x v="4"/>
    <x v="0"/>
    <x v="19"/>
    <x v="1"/>
    <x v="1"/>
    <n v="1"/>
  </r>
  <r>
    <x v="0"/>
    <x v="1"/>
    <x v="4"/>
    <x v="0"/>
    <x v="19"/>
    <x v="8"/>
    <x v="7"/>
    <n v="21"/>
  </r>
  <r>
    <x v="0"/>
    <x v="1"/>
    <x v="4"/>
    <x v="0"/>
    <x v="19"/>
    <x v="0"/>
    <x v="6"/>
    <n v="22"/>
  </r>
  <r>
    <x v="0"/>
    <x v="1"/>
    <x v="4"/>
    <x v="0"/>
    <x v="19"/>
    <x v="0"/>
    <x v="10"/>
    <n v="3"/>
  </r>
  <r>
    <x v="0"/>
    <x v="1"/>
    <x v="4"/>
    <x v="0"/>
    <x v="19"/>
    <x v="0"/>
    <x v="1"/>
    <n v="1"/>
  </r>
  <r>
    <x v="0"/>
    <x v="1"/>
    <x v="4"/>
    <x v="1"/>
    <x v="0"/>
    <x v="7"/>
    <x v="10"/>
    <n v="1"/>
  </r>
  <r>
    <x v="0"/>
    <x v="1"/>
    <x v="4"/>
    <x v="1"/>
    <x v="0"/>
    <x v="8"/>
    <x v="6"/>
    <n v="1"/>
  </r>
  <r>
    <x v="0"/>
    <x v="1"/>
    <x v="4"/>
    <x v="1"/>
    <x v="1"/>
    <x v="8"/>
    <x v="6"/>
    <n v="1"/>
  </r>
  <r>
    <x v="0"/>
    <x v="1"/>
    <x v="4"/>
    <x v="1"/>
    <x v="1"/>
    <x v="8"/>
    <x v="10"/>
    <n v="1"/>
  </r>
  <r>
    <x v="0"/>
    <x v="1"/>
    <x v="4"/>
    <x v="1"/>
    <x v="1"/>
    <x v="8"/>
    <x v="1"/>
    <n v="2"/>
  </r>
  <r>
    <x v="0"/>
    <x v="1"/>
    <x v="4"/>
    <x v="1"/>
    <x v="1"/>
    <x v="0"/>
    <x v="12"/>
    <n v="4"/>
  </r>
  <r>
    <x v="0"/>
    <x v="1"/>
    <x v="4"/>
    <x v="1"/>
    <x v="1"/>
    <x v="0"/>
    <x v="3"/>
    <n v="1"/>
  </r>
  <r>
    <x v="0"/>
    <x v="1"/>
    <x v="4"/>
    <x v="1"/>
    <x v="11"/>
    <x v="0"/>
    <x v="12"/>
    <n v="5"/>
  </r>
  <r>
    <x v="0"/>
    <x v="1"/>
    <x v="4"/>
    <x v="1"/>
    <x v="11"/>
    <x v="0"/>
    <x v="9"/>
    <n v="8"/>
  </r>
  <r>
    <x v="0"/>
    <x v="1"/>
    <x v="4"/>
    <x v="1"/>
    <x v="11"/>
    <x v="0"/>
    <x v="3"/>
    <n v="4"/>
  </r>
  <r>
    <x v="0"/>
    <x v="1"/>
    <x v="4"/>
    <x v="1"/>
    <x v="18"/>
    <x v="0"/>
    <x v="1"/>
    <n v="10"/>
  </r>
  <r>
    <x v="0"/>
    <x v="1"/>
    <x v="4"/>
    <x v="1"/>
    <x v="18"/>
    <x v="0"/>
    <x v="12"/>
    <n v="5"/>
  </r>
  <r>
    <x v="0"/>
    <x v="1"/>
    <x v="4"/>
    <x v="1"/>
    <x v="18"/>
    <x v="0"/>
    <x v="9"/>
    <n v="1"/>
  </r>
  <r>
    <x v="0"/>
    <x v="1"/>
    <x v="4"/>
    <x v="2"/>
    <x v="4"/>
    <x v="0"/>
    <x v="12"/>
    <n v="1"/>
  </r>
  <r>
    <x v="0"/>
    <x v="1"/>
    <x v="1"/>
    <x v="2"/>
    <x v="7"/>
    <x v="3"/>
    <x v="4"/>
    <n v="1"/>
  </r>
  <r>
    <x v="0"/>
    <x v="1"/>
    <x v="1"/>
    <x v="2"/>
    <x v="7"/>
    <x v="4"/>
    <x v="12"/>
    <n v="1"/>
  </r>
  <r>
    <x v="0"/>
    <x v="1"/>
    <x v="1"/>
    <x v="2"/>
    <x v="7"/>
    <x v="4"/>
    <x v="9"/>
    <n v="4"/>
  </r>
  <r>
    <x v="0"/>
    <x v="1"/>
    <x v="1"/>
    <x v="2"/>
    <x v="7"/>
    <x v="5"/>
    <x v="12"/>
    <n v="3"/>
  </r>
  <r>
    <x v="0"/>
    <x v="1"/>
    <x v="1"/>
    <x v="2"/>
    <x v="7"/>
    <x v="5"/>
    <x v="9"/>
    <n v="3"/>
  </r>
  <r>
    <x v="0"/>
    <x v="1"/>
    <x v="1"/>
    <x v="2"/>
    <x v="7"/>
    <x v="11"/>
    <x v="12"/>
    <n v="2"/>
  </r>
  <r>
    <x v="0"/>
    <x v="1"/>
    <x v="1"/>
    <x v="2"/>
    <x v="7"/>
    <x v="7"/>
    <x v="9"/>
    <n v="1"/>
  </r>
  <r>
    <x v="0"/>
    <x v="1"/>
    <x v="1"/>
    <x v="3"/>
    <x v="5"/>
    <x v="12"/>
    <x v="11"/>
    <n v="1"/>
  </r>
  <r>
    <x v="0"/>
    <x v="1"/>
    <x v="1"/>
    <x v="3"/>
    <x v="5"/>
    <x v="0"/>
    <x v="2"/>
    <n v="1"/>
  </r>
  <r>
    <x v="0"/>
    <x v="1"/>
    <x v="1"/>
    <x v="3"/>
    <x v="5"/>
    <x v="0"/>
    <x v="13"/>
    <n v="1"/>
  </r>
  <r>
    <x v="0"/>
    <x v="1"/>
    <x v="1"/>
    <x v="3"/>
    <x v="8"/>
    <x v="17"/>
    <x v="14"/>
    <n v="4"/>
  </r>
  <r>
    <x v="0"/>
    <x v="1"/>
    <x v="1"/>
    <x v="3"/>
    <x v="8"/>
    <x v="17"/>
    <x v="17"/>
    <n v="7"/>
  </r>
  <r>
    <x v="0"/>
    <x v="1"/>
    <x v="1"/>
    <x v="3"/>
    <x v="8"/>
    <x v="17"/>
    <x v="19"/>
    <n v="16"/>
  </r>
  <r>
    <x v="0"/>
    <x v="1"/>
    <x v="1"/>
    <x v="3"/>
    <x v="8"/>
    <x v="18"/>
    <x v="14"/>
    <n v="2"/>
  </r>
  <r>
    <x v="0"/>
    <x v="1"/>
    <x v="1"/>
    <x v="3"/>
    <x v="8"/>
    <x v="18"/>
    <x v="17"/>
    <n v="2"/>
  </r>
  <r>
    <x v="0"/>
    <x v="1"/>
    <x v="1"/>
    <x v="3"/>
    <x v="8"/>
    <x v="18"/>
    <x v="19"/>
    <n v="1"/>
  </r>
  <r>
    <x v="0"/>
    <x v="1"/>
    <x v="1"/>
    <x v="3"/>
    <x v="8"/>
    <x v="5"/>
    <x v="0"/>
    <n v="1"/>
  </r>
  <r>
    <x v="0"/>
    <x v="1"/>
    <x v="1"/>
    <x v="4"/>
    <x v="18"/>
    <x v="14"/>
    <x v="0"/>
    <n v="1"/>
  </r>
  <r>
    <x v="0"/>
    <x v="1"/>
    <x v="1"/>
    <x v="4"/>
    <x v="18"/>
    <x v="13"/>
    <x v="0"/>
    <n v="2"/>
  </r>
  <r>
    <x v="0"/>
    <x v="1"/>
    <x v="1"/>
    <x v="4"/>
    <x v="19"/>
    <x v="9"/>
    <x v="5"/>
    <n v="1"/>
  </r>
  <r>
    <x v="0"/>
    <x v="1"/>
    <x v="1"/>
    <x v="5"/>
    <x v="8"/>
    <x v="13"/>
    <x v="19"/>
    <n v="1"/>
  </r>
  <r>
    <x v="0"/>
    <x v="1"/>
    <x v="1"/>
    <x v="5"/>
    <x v="6"/>
    <x v="19"/>
    <x v="0"/>
    <n v="1"/>
  </r>
  <r>
    <x v="0"/>
    <x v="1"/>
    <x v="1"/>
    <x v="5"/>
    <x v="6"/>
    <x v="14"/>
    <x v="14"/>
    <n v="1"/>
  </r>
  <r>
    <x v="0"/>
    <x v="1"/>
    <x v="1"/>
    <x v="5"/>
    <x v="10"/>
    <x v="4"/>
    <x v="1"/>
    <n v="1"/>
  </r>
  <r>
    <x v="0"/>
    <x v="1"/>
    <x v="1"/>
    <x v="5"/>
    <x v="10"/>
    <x v="6"/>
    <x v="1"/>
    <n v="1"/>
  </r>
  <r>
    <x v="0"/>
    <x v="1"/>
    <x v="1"/>
    <x v="5"/>
    <x v="18"/>
    <x v="2"/>
    <x v="9"/>
    <n v="1"/>
  </r>
  <r>
    <x v="0"/>
    <x v="1"/>
    <x v="1"/>
    <x v="6"/>
    <x v="8"/>
    <x v="17"/>
    <x v="9"/>
    <n v="256"/>
  </r>
  <r>
    <x v="0"/>
    <x v="1"/>
    <x v="1"/>
    <x v="6"/>
    <x v="8"/>
    <x v="17"/>
    <x v="3"/>
    <n v="240"/>
  </r>
  <r>
    <x v="0"/>
    <x v="1"/>
    <x v="1"/>
    <x v="6"/>
    <x v="8"/>
    <x v="17"/>
    <x v="4"/>
    <n v="152"/>
  </r>
  <r>
    <x v="0"/>
    <x v="1"/>
    <x v="1"/>
    <x v="6"/>
    <x v="8"/>
    <x v="17"/>
    <x v="5"/>
    <n v="41"/>
  </r>
  <r>
    <x v="0"/>
    <x v="1"/>
    <x v="1"/>
    <x v="6"/>
    <x v="8"/>
    <x v="17"/>
    <x v="2"/>
    <n v="18"/>
  </r>
  <r>
    <x v="0"/>
    <x v="1"/>
    <x v="1"/>
    <x v="6"/>
    <x v="8"/>
    <x v="17"/>
    <x v="0"/>
    <n v="1"/>
  </r>
  <r>
    <x v="0"/>
    <x v="1"/>
    <x v="1"/>
    <x v="6"/>
    <x v="8"/>
    <x v="17"/>
    <x v="18"/>
    <n v="2"/>
  </r>
  <r>
    <x v="0"/>
    <x v="1"/>
    <x v="1"/>
    <x v="6"/>
    <x v="8"/>
    <x v="18"/>
    <x v="12"/>
    <n v="4"/>
  </r>
  <r>
    <x v="0"/>
    <x v="1"/>
    <x v="1"/>
    <x v="6"/>
    <x v="8"/>
    <x v="18"/>
    <x v="9"/>
    <n v="35"/>
  </r>
  <r>
    <x v="0"/>
    <x v="1"/>
    <x v="1"/>
    <x v="6"/>
    <x v="8"/>
    <x v="18"/>
    <x v="3"/>
    <n v="29"/>
  </r>
  <r>
    <x v="0"/>
    <x v="1"/>
    <x v="1"/>
    <x v="6"/>
    <x v="8"/>
    <x v="18"/>
    <x v="4"/>
    <n v="8"/>
  </r>
  <r>
    <x v="0"/>
    <x v="1"/>
    <x v="1"/>
    <x v="6"/>
    <x v="8"/>
    <x v="18"/>
    <x v="5"/>
    <n v="7"/>
  </r>
  <r>
    <x v="0"/>
    <x v="1"/>
    <x v="1"/>
    <x v="6"/>
    <x v="8"/>
    <x v="19"/>
    <x v="12"/>
    <n v="7"/>
  </r>
  <r>
    <x v="0"/>
    <x v="1"/>
    <x v="1"/>
    <x v="6"/>
    <x v="8"/>
    <x v="13"/>
    <x v="2"/>
    <n v="1"/>
  </r>
  <r>
    <x v="0"/>
    <x v="1"/>
    <x v="1"/>
    <x v="6"/>
    <x v="3"/>
    <x v="13"/>
    <x v="5"/>
    <n v="2"/>
  </r>
  <r>
    <x v="0"/>
    <x v="1"/>
    <x v="1"/>
    <x v="9"/>
    <x v="10"/>
    <x v="17"/>
    <x v="4"/>
    <n v="2"/>
  </r>
  <r>
    <x v="0"/>
    <x v="1"/>
    <x v="1"/>
    <x v="9"/>
    <x v="10"/>
    <x v="17"/>
    <x v="5"/>
    <n v="2"/>
  </r>
  <r>
    <x v="0"/>
    <x v="1"/>
    <x v="1"/>
    <x v="9"/>
    <x v="10"/>
    <x v="17"/>
    <x v="2"/>
    <n v="1"/>
  </r>
  <r>
    <x v="0"/>
    <x v="1"/>
    <x v="1"/>
    <x v="9"/>
    <x v="10"/>
    <x v="18"/>
    <x v="5"/>
    <n v="1"/>
  </r>
  <r>
    <x v="0"/>
    <x v="1"/>
    <x v="1"/>
    <x v="9"/>
    <x v="10"/>
    <x v="18"/>
    <x v="2"/>
    <n v="1"/>
  </r>
  <r>
    <x v="0"/>
    <x v="1"/>
    <x v="1"/>
    <x v="9"/>
    <x v="10"/>
    <x v="19"/>
    <x v="9"/>
    <n v="8"/>
  </r>
  <r>
    <x v="0"/>
    <x v="1"/>
    <x v="1"/>
    <x v="9"/>
    <x v="19"/>
    <x v="17"/>
    <x v="12"/>
    <n v="2"/>
  </r>
  <r>
    <x v="0"/>
    <x v="1"/>
    <x v="1"/>
    <x v="9"/>
    <x v="19"/>
    <x v="17"/>
    <x v="9"/>
    <n v="8"/>
  </r>
  <r>
    <x v="0"/>
    <x v="1"/>
    <x v="1"/>
    <x v="9"/>
    <x v="19"/>
    <x v="17"/>
    <x v="3"/>
    <n v="9"/>
  </r>
  <r>
    <x v="0"/>
    <x v="1"/>
    <x v="1"/>
    <x v="9"/>
    <x v="19"/>
    <x v="17"/>
    <x v="4"/>
    <n v="7"/>
  </r>
  <r>
    <x v="0"/>
    <x v="1"/>
    <x v="1"/>
    <x v="9"/>
    <x v="19"/>
    <x v="18"/>
    <x v="3"/>
    <n v="2"/>
  </r>
  <r>
    <x v="0"/>
    <x v="1"/>
    <x v="1"/>
    <x v="9"/>
    <x v="19"/>
    <x v="6"/>
    <x v="13"/>
    <n v="1"/>
  </r>
  <r>
    <x v="0"/>
    <x v="1"/>
    <x v="1"/>
    <x v="7"/>
    <x v="12"/>
    <x v="0"/>
    <x v="4"/>
    <n v="1"/>
  </r>
  <r>
    <x v="0"/>
    <x v="1"/>
    <x v="1"/>
    <x v="8"/>
    <x v="4"/>
    <x v="19"/>
    <x v="2"/>
    <n v="1"/>
  </r>
  <r>
    <x v="0"/>
    <x v="1"/>
    <x v="1"/>
    <x v="8"/>
    <x v="4"/>
    <x v="16"/>
    <x v="3"/>
    <n v="1"/>
  </r>
  <r>
    <x v="0"/>
    <x v="1"/>
    <x v="1"/>
    <x v="8"/>
    <x v="4"/>
    <x v="2"/>
    <x v="3"/>
    <n v="1"/>
  </r>
  <r>
    <x v="0"/>
    <x v="1"/>
    <x v="1"/>
    <x v="8"/>
    <x v="4"/>
    <x v="2"/>
    <x v="4"/>
    <n v="1"/>
  </r>
  <r>
    <x v="0"/>
    <x v="1"/>
    <x v="1"/>
    <x v="8"/>
    <x v="4"/>
    <x v="2"/>
    <x v="5"/>
    <n v="1"/>
  </r>
  <r>
    <x v="0"/>
    <x v="1"/>
    <x v="1"/>
    <x v="8"/>
    <x v="4"/>
    <x v="10"/>
    <x v="9"/>
    <n v="2"/>
  </r>
  <r>
    <x v="0"/>
    <x v="1"/>
    <x v="1"/>
    <x v="8"/>
    <x v="4"/>
    <x v="10"/>
    <x v="4"/>
    <n v="1"/>
  </r>
  <r>
    <x v="0"/>
    <x v="1"/>
    <x v="1"/>
    <x v="8"/>
    <x v="4"/>
    <x v="3"/>
    <x v="12"/>
    <n v="1"/>
  </r>
  <r>
    <x v="0"/>
    <x v="1"/>
    <x v="1"/>
    <x v="8"/>
    <x v="4"/>
    <x v="3"/>
    <x v="9"/>
    <n v="1"/>
  </r>
  <r>
    <x v="0"/>
    <x v="1"/>
    <x v="1"/>
    <x v="8"/>
    <x v="4"/>
    <x v="4"/>
    <x v="9"/>
    <n v="2"/>
  </r>
  <r>
    <x v="0"/>
    <x v="1"/>
    <x v="1"/>
    <x v="8"/>
    <x v="13"/>
    <x v="16"/>
    <x v="18"/>
    <n v="1"/>
  </r>
  <r>
    <x v="0"/>
    <x v="1"/>
    <x v="1"/>
    <x v="8"/>
    <x v="13"/>
    <x v="3"/>
    <x v="4"/>
    <n v="1"/>
  </r>
  <r>
    <x v="0"/>
    <x v="1"/>
    <x v="1"/>
    <x v="8"/>
    <x v="7"/>
    <x v="17"/>
    <x v="4"/>
    <n v="2"/>
  </r>
  <r>
    <x v="0"/>
    <x v="1"/>
    <x v="1"/>
    <x v="8"/>
    <x v="7"/>
    <x v="17"/>
    <x v="5"/>
    <n v="13"/>
  </r>
  <r>
    <x v="0"/>
    <x v="1"/>
    <x v="1"/>
    <x v="8"/>
    <x v="7"/>
    <x v="17"/>
    <x v="2"/>
    <n v="18"/>
  </r>
  <r>
    <x v="0"/>
    <x v="1"/>
    <x v="1"/>
    <x v="8"/>
    <x v="7"/>
    <x v="17"/>
    <x v="13"/>
    <n v="23"/>
  </r>
  <r>
    <x v="0"/>
    <x v="1"/>
    <x v="1"/>
    <x v="8"/>
    <x v="7"/>
    <x v="18"/>
    <x v="2"/>
    <n v="6"/>
  </r>
  <r>
    <x v="0"/>
    <x v="1"/>
    <x v="1"/>
    <x v="8"/>
    <x v="7"/>
    <x v="18"/>
    <x v="13"/>
    <n v="7"/>
  </r>
  <r>
    <x v="0"/>
    <x v="1"/>
    <x v="1"/>
    <x v="8"/>
    <x v="7"/>
    <x v="18"/>
    <x v="11"/>
    <n v="4"/>
  </r>
  <r>
    <x v="0"/>
    <x v="1"/>
    <x v="1"/>
    <x v="8"/>
    <x v="7"/>
    <x v="19"/>
    <x v="0"/>
    <n v="8"/>
  </r>
  <r>
    <x v="0"/>
    <x v="1"/>
    <x v="1"/>
    <x v="8"/>
    <x v="7"/>
    <x v="19"/>
    <x v="18"/>
    <n v="3"/>
  </r>
  <r>
    <x v="0"/>
    <x v="1"/>
    <x v="1"/>
    <x v="8"/>
    <x v="7"/>
    <x v="16"/>
    <x v="0"/>
    <n v="5"/>
  </r>
  <r>
    <x v="0"/>
    <x v="1"/>
    <x v="1"/>
    <x v="8"/>
    <x v="7"/>
    <x v="16"/>
    <x v="18"/>
    <n v="1"/>
  </r>
  <r>
    <x v="0"/>
    <x v="1"/>
    <x v="1"/>
    <x v="8"/>
    <x v="6"/>
    <x v="17"/>
    <x v="9"/>
    <n v="1"/>
  </r>
  <r>
    <x v="0"/>
    <x v="1"/>
    <x v="1"/>
    <x v="8"/>
    <x v="6"/>
    <x v="17"/>
    <x v="5"/>
    <n v="1"/>
  </r>
  <r>
    <x v="0"/>
    <x v="1"/>
    <x v="1"/>
    <x v="8"/>
    <x v="6"/>
    <x v="19"/>
    <x v="12"/>
    <n v="1"/>
  </r>
  <r>
    <x v="0"/>
    <x v="1"/>
    <x v="1"/>
    <x v="8"/>
    <x v="6"/>
    <x v="19"/>
    <x v="9"/>
    <n v="1"/>
  </r>
  <r>
    <x v="0"/>
    <x v="1"/>
    <x v="1"/>
    <x v="8"/>
    <x v="6"/>
    <x v="13"/>
    <x v="1"/>
    <n v="1"/>
  </r>
  <r>
    <x v="0"/>
    <x v="1"/>
    <x v="1"/>
    <x v="8"/>
    <x v="6"/>
    <x v="9"/>
    <x v="11"/>
    <n v="1"/>
  </r>
  <r>
    <x v="0"/>
    <x v="1"/>
    <x v="1"/>
    <x v="8"/>
    <x v="10"/>
    <x v="6"/>
    <x v="14"/>
    <n v="1"/>
  </r>
  <r>
    <x v="0"/>
    <x v="1"/>
    <x v="1"/>
    <x v="10"/>
    <x v="16"/>
    <x v="2"/>
    <x v="12"/>
    <n v="13"/>
  </r>
  <r>
    <x v="0"/>
    <x v="1"/>
    <x v="1"/>
    <x v="10"/>
    <x v="16"/>
    <x v="2"/>
    <x v="9"/>
    <n v="3"/>
  </r>
  <r>
    <x v="0"/>
    <x v="1"/>
    <x v="1"/>
    <x v="10"/>
    <x v="16"/>
    <x v="10"/>
    <x v="12"/>
    <n v="13"/>
  </r>
  <r>
    <x v="0"/>
    <x v="1"/>
    <x v="1"/>
    <x v="10"/>
    <x v="16"/>
    <x v="7"/>
    <x v="9"/>
    <n v="1"/>
  </r>
  <r>
    <x v="0"/>
    <x v="1"/>
    <x v="1"/>
    <x v="10"/>
    <x v="16"/>
    <x v="7"/>
    <x v="3"/>
    <n v="1"/>
  </r>
  <r>
    <x v="0"/>
    <x v="1"/>
    <x v="1"/>
    <x v="11"/>
    <x v="0"/>
    <x v="5"/>
    <x v="10"/>
    <n v="1"/>
  </r>
  <r>
    <x v="0"/>
    <x v="1"/>
    <x v="1"/>
    <x v="11"/>
    <x v="0"/>
    <x v="11"/>
    <x v="9"/>
    <n v="1"/>
  </r>
  <r>
    <x v="0"/>
    <x v="1"/>
    <x v="1"/>
    <x v="11"/>
    <x v="0"/>
    <x v="11"/>
    <x v="5"/>
    <n v="1"/>
  </r>
  <r>
    <x v="0"/>
    <x v="1"/>
    <x v="1"/>
    <x v="11"/>
    <x v="0"/>
    <x v="7"/>
    <x v="1"/>
    <n v="1"/>
  </r>
  <r>
    <x v="0"/>
    <x v="1"/>
    <x v="1"/>
    <x v="11"/>
    <x v="14"/>
    <x v="2"/>
    <x v="3"/>
    <n v="1"/>
  </r>
  <r>
    <x v="0"/>
    <x v="1"/>
    <x v="1"/>
    <x v="11"/>
    <x v="7"/>
    <x v="11"/>
    <x v="17"/>
    <n v="1"/>
  </r>
  <r>
    <x v="0"/>
    <x v="1"/>
    <x v="1"/>
    <x v="11"/>
    <x v="7"/>
    <x v="1"/>
    <x v="13"/>
    <n v="1"/>
  </r>
  <r>
    <x v="0"/>
    <x v="1"/>
    <x v="1"/>
    <x v="11"/>
    <x v="7"/>
    <x v="0"/>
    <x v="13"/>
    <n v="1"/>
  </r>
  <r>
    <x v="0"/>
    <x v="1"/>
    <x v="1"/>
    <x v="11"/>
    <x v="7"/>
    <x v="0"/>
    <x v="11"/>
    <n v="2"/>
  </r>
  <r>
    <x v="0"/>
    <x v="1"/>
    <x v="1"/>
    <x v="12"/>
    <x v="7"/>
    <x v="18"/>
    <x v="5"/>
    <n v="1"/>
  </r>
  <r>
    <x v="0"/>
    <x v="1"/>
    <x v="1"/>
    <x v="12"/>
    <x v="6"/>
    <x v="18"/>
    <x v="4"/>
    <n v="1"/>
  </r>
  <r>
    <x v="0"/>
    <x v="1"/>
    <x v="1"/>
    <x v="12"/>
    <x v="6"/>
    <x v="19"/>
    <x v="0"/>
    <n v="1"/>
  </r>
  <r>
    <x v="0"/>
    <x v="1"/>
    <x v="1"/>
    <x v="12"/>
    <x v="6"/>
    <x v="14"/>
    <x v="1"/>
    <n v="7"/>
  </r>
  <r>
    <x v="0"/>
    <x v="1"/>
    <x v="1"/>
    <x v="12"/>
    <x v="6"/>
    <x v="13"/>
    <x v="10"/>
    <n v="3"/>
  </r>
  <r>
    <x v="0"/>
    <x v="1"/>
    <x v="1"/>
    <x v="12"/>
    <x v="6"/>
    <x v="13"/>
    <x v="1"/>
    <n v="3"/>
  </r>
  <r>
    <x v="0"/>
    <x v="1"/>
    <x v="1"/>
    <x v="12"/>
    <x v="6"/>
    <x v="5"/>
    <x v="17"/>
    <n v="1"/>
  </r>
  <r>
    <x v="0"/>
    <x v="1"/>
    <x v="1"/>
    <x v="12"/>
    <x v="6"/>
    <x v="11"/>
    <x v="17"/>
    <n v="1"/>
  </r>
  <r>
    <x v="0"/>
    <x v="1"/>
    <x v="1"/>
    <x v="12"/>
    <x v="6"/>
    <x v="6"/>
    <x v="2"/>
    <n v="2"/>
  </r>
  <r>
    <x v="0"/>
    <x v="1"/>
    <x v="1"/>
    <x v="12"/>
    <x v="6"/>
    <x v="6"/>
    <x v="13"/>
    <n v="1"/>
  </r>
  <r>
    <x v="0"/>
    <x v="1"/>
    <x v="1"/>
    <x v="12"/>
    <x v="6"/>
    <x v="6"/>
    <x v="14"/>
    <n v="1"/>
  </r>
  <r>
    <x v="0"/>
    <x v="1"/>
    <x v="1"/>
    <x v="12"/>
    <x v="6"/>
    <x v="9"/>
    <x v="13"/>
    <n v="1"/>
  </r>
  <r>
    <x v="0"/>
    <x v="1"/>
    <x v="1"/>
    <x v="12"/>
    <x v="6"/>
    <x v="12"/>
    <x v="4"/>
    <n v="2"/>
  </r>
  <r>
    <x v="0"/>
    <x v="1"/>
    <x v="1"/>
    <x v="12"/>
    <x v="6"/>
    <x v="12"/>
    <x v="5"/>
    <n v="1"/>
  </r>
  <r>
    <x v="0"/>
    <x v="1"/>
    <x v="1"/>
    <x v="12"/>
    <x v="6"/>
    <x v="1"/>
    <x v="2"/>
    <n v="1"/>
  </r>
  <r>
    <x v="0"/>
    <x v="1"/>
    <x v="1"/>
    <x v="12"/>
    <x v="6"/>
    <x v="0"/>
    <x v="9"/>
    <n v="2"/>
  </r>
  <r>
    <x v="0"/>
    <x v="1"/>
    <x v="1"/>
    <x v="12"/>
    <x v="6"/>
    <x v="0"/>
    <x v="3"/>
    <n v="1"/>
  </r>
  <r>
    <x v="0"/>
    <x v="1"/>
    <x v="1"/>
    <x v="12"/>
    <x v="6"/>
    <x v="0"/>
    <x v="2"/>
    <n v="1"/>
  </r>
  <r>
    <x v="0"/>
    <x v="1"/>
    <x v="1"/>
    <x v="13"/>
    <x v="7"/>
    <x v="9"/>
    <x v="5"/>
    <n v="1"/>
  </r>
  <r>
    <x v="0"/>
    <x v="1"/>
    <x v="1"/>
    <x v="13"/>
    <x v="17"/>
    <x v="16"/>
    <x v="14"/>
    <n v="2"/>
  </r>
  <r>
    <x v="0"/>
    <x v="1"/>
    <x v="1"/>
    <x v="13"/>
    <x v="17"/>
    <x v="13"/>
    <x v="3"/>
    <n v="1"/>
  </r>
  <r>
    <x v="0"/>
    <x v="1"/>
    <x v="1"/>
    <x v="13"/>
    <x v="17"/>
    <x v="6"/>
    <x v="13"/>
    <n v="1"/>
  </r>
  <r>
    <x v="0"/>
    <x v="1"/>
    <x v="1"/>
    <x v="14"/>
    <x v="16"/>
    <x v="13"/>
    <x v="2"/>
    <n v="1"/>
  </r>
  <r>
    <x v="0"/>
    <x v="1"/>
    <x v="1"/>
    <x v="14"/>
    <x v="16"/>
    <x v="13"/>
    <x v="13"/>
    <n v="1"/>
  </r>
  <r>
    <x v="0"/>
    <x v="1"/>
    <x v="1"/>
    <x v="14"/>
    <x v="16"/>
    <x v="11"/>
    <x v="1"/>
    <n v="2"/>
  </r>
  <r>
    <x v="0"/>
    <x v="1"/>
    <x v="1"/>
    <x v="14"/>
    <x v="16"/>
    <x v="6"/>
    <x v="1"/>
    <n v="1"/>
  </r>
  <r>
    <x v="0"/>
    <x v="1"/>
    <x v="1"/>
    <x v="14"/>
    <x v="16"/>
    <x v="12"/>
    <x v="1"/>
    <n v="1"/>
  </r>
  <r>
    <x v="0"/>
    <x v="1"/>
    <x v="1"/>
    <x v="14"/>
    <x v="16"/>
    <x v="1"/>
    <x v="1"/>
    <n v="1"/>
  </r>
  <r>
    <x v="0"/>
    <x v="1"/>
    <x v="1"/>
    <x v="15"/>
    <x v="1"/>
    <x v="3"/>
    <x v="12"/>
    <n v="1"/>
  </r>
  <r>
    <x v="0"/>
    <x v="1"/>
    <x v="1"/>
    <x v="15"/>
    <x v="1"/>
    <x v="4"/>
    <x v="12"/>
    <n v="2"/>
  </r>
  <r>
    <x v="0"/>
    <x v="1"/>
    <x v="1"/>
    <x v="15"/>
    <x v="1"/>
    <x v="4"/>
    <x v="9"/>
    <n v="1"/>
  </r>
  <r>
    <x v="0"/>
    <x v="1"/>
    <x v="1"/>
    <x v="15"/>
    <x v="1"/>
    <x v="5"/>
    <x v="12"/>
    <n v="3"/>
  </r>
  <r>
    <x v="0"/>
    <x v="1"/>
    <x v="1"/>
    <x v="15"/>
    <x v="11"/>
    <x v="14"/>
    <x v="3"/>
    <n v="2"/>
  </r>
  <r>
    <x v="0"/>
    <x v="1"/>
    <x v="1"/>
    <x v="15"/>
    <x v="11"/>
    <x v="10"/>
    <x v="5"/>
    <n v="1"/>
  </r>
  <r>
    <x v="0"/>
    <x v="1"/>
    <x v="1"/>
    <x v="15"/>
    <x v="11"/>
    <x v="3"/>
    <x v="13"/>
    <n v="1"/>
  </r>
  <r>
    <x v="0"/>
    <x v="1"/>
    <x v="1"/>
    <x v="15"/>
    <x v="11"/>
    <x v="4"/>
    <x v="3"/>
    <n v="1"/>
  </r>
  <r>
    <x v="0"/>
    <x v="1"/>
    <x v="1"/>
    <x v="15"/>
    <x v="11"/>
    <x v="5"/>
    <x v="3"/>
    <n v="1"/>
  </r>
  <r>
    <x v="0"/>
    <x v="1"/>
    <x v="1"/>
    <x v="15"/>
    <x v="11"/>
    <x v="5"/>
    <x v="4"/>
    <n v="1"/>
  </r>
  <r>
    <x v="0"/>
    <x v="1"/>
    <x v="1"/>
    <x v="15"/>
    <x v="11"/>
    <x v="5"/>
    <x v="13"/>
    <n v="1"/>
  </r>
  <r>
    <x v="0"/>
    <x v="1"/>
    <x v="1"/>
    <x v="15"/>
    <x v="11"/>
    <x v="11"/>
    <x v="9"/>
    <n v="1"/>
  </r>
  <r>
    <x v="0"/>
    <x v="1"/>
    <x v="1"/>
    <x v="15"/>
    <x v="11"/>
    <x v="11"/>
    <x v="3"/>
    <n v="1"/>
  </r>
  <r>
    <x v="0"/>
    <x v="1"/>
    <x v="1"/>
    <x v="15"/>
    <x v="11"/>
    <x v="11"/>
    <x v="4"/>
    <n v="2"/>
  </r>
  <r>
    <x v="0"/>
    <x v="1"/>
    <x v="1"/>
    <x v="15"/>
    <x v="11"/>
    <x v="6"/>
    <x v="9"/>
    <n v="2"/>
  </r>
  <r>
    <x v="0"/>
    <x v="1"/>
    <x v="1"/>
    <x v="15"/>
    <x v="11"/>
    <x v="6"/>
    <x v="3"/>
    <n v="1"/>
  </r>
  <r>
    <x v="0"/>
    <x v="1"/>
    <x v="1"/>
    <x v="15"/>
    <x v="11"/>
    <x v="9"/>
    <x v="9"/>
    <n v="1"/>
  </r>
  <r>
    <x v="0"/>
    <x v="1"/>
    <x v="1"/>
    <x v="16"/>
    <x v="14"/>
    <x v="0"/>
    <x v="5"/>
    <n v="1"/>
  </r>
  <r>
    <x v="0"/>
    <x v="1"/>
    <x v="4"/>
    <x v="2"/>
    <x v="15"/>
    <x v="1"/>
    <x v="6"/>
    <n v="1"/>
  </r>
  <r>
    <x v="0"/>
    <x v="1"/>
    <x v="4"/>
    <x v="2"/>
    <x v="15"/>
    <x v="0"/>
    <x v="7"/>
    <n v="3"/>
  </r>
  <r>
    <x v="0"/>
    <x v="1"/>
    <x v="4"/>
    <x v="2"/>
    <x v="7"/>
    <x v="8"/>
    <x v="3"/>
    <n v="1"/>
  </r>
  <r>
    <x v="0"/>
    <x v="1"/>
    <x v="4"/>
    <x v="2"/>
    <x v="6"/>
    <x v="9"/>
    <x v="13"/>
    <n v="1"/>
  </r>
  <r>
    <x v="0"/>
    <x v="1"/>
    <x v="4"/>
    <x v="2"/>
    <x v="6"/>
    <x v="7"/>
    <x v="12"/>
    <n v="3"/>
  </r>
  <r>
    <x v="0"/>
    <x v="1"/>
    <x v="4"/>
    <x v="2"/>
    <x v="6"/>
    <x v="7"/>
    <x v="9"/>
    <n v="1"/>
  </r>
  <r>
    <x v="0"/>
    <x v="1"/>
    <x v="4"/>
    <x v="2"/>
    <x v="6"/>
    <x v="7"/>
    <x v="3"/>
    <n v="1"/>
  </r>
  <r>
    <x v="0"/>
    <x v="1"/>
    <x v="4"/>
    <x v="2"/>
    <x v="6"/>
    <x v="1"/>
    <x v="13"/>
    <n v="1"/>
  </r>
  <r>
    <x v="0"/>
    <x v="1"/>
    <x v="4"/>
    <x v="2"/>
    <x v="6"/>
    <x v="8"/>
    <x v="1"/>
    <n v="2"/>
  </r>
  <r>
    <x v="0"/>
    <x v="1"/>
    <x v="4"/>
    <x v="2"/>
    <x v="6"/>
    <x v="8"/>
    <x v="12"/>
    <n v="1"/>
  </r>
  <r>
    <x v="0"/>
    <x v="1"/>
    <x v="4"/>
    <x v="2"/>
    <x v="6"/>
    <x v="8"/>
    <x v="9"/>
    <n v="4"/>
  </r>
  <r>
    <x v="0"/>
    <x v="1"/>
    <x v="4"/>
    <x v="2"/>
    <x v="6"/>
    <x v="0"/>
    <x v="3"/>
    <n v="2"/>
  </r>
  <r>
    <x v="0"/>
    <x v="1"/>
    <x v="4"/>
    <x v="2"/>
    <x v="6"/>
    <x v="0"/>
    <x v="4"/>
    <n v="1"/>
  </r>
  <r>
    <x v="0"/>
    <x v="1"/>
    <x v="4"/>
    <x v="2"/>
    <x v="6"/>
    <x v="0"/>
    <x v="5"/>
    <n v="1"/>
  </r>
  <r>
    <x v="0"/>
    <x v="1"/>
    <x v="4"/>
    <x v="2"/>
    <x v="6"/>
    <x v="0"/>
    <x v="2"/>
    <n v="1"/>
  </r>
  <r>
    <x v="0"/>
    <x v="1"/>
    <x v="4"/>
    <x v="2"/>
    <x v="6"/>
    <x v="0"/>
    <x v="13"/>
    <n v="1"/>
  </r>
  <r>
    <x v="0"/>
    <x v="1"/>
    <x v="4"/>
    <x v="2"/>
    <x v="6"/>
    <x v="0"/>
    <x v="11"/>
    <n v="1"/>
  </r>
  <r>
    <x v="0"/>
    <x v="1"/>
    <x v="4"/>
    <x v="2"/>
    <x v="9"/>
    <x v="0"/>
    <x v="9"/>
    <n v="19"/>
  </r>
  <r>
    <x v="0"/>
    <x v="1"/>
    <x v="4"/>
    <x v="2"/>
    <x v="9"/>
    <x v="0"/>
    <x v="3"/>
    <n v="30"/>
  </r>
  <r>
    <x v="0"/>
    <x v="1"/>
    <x v="4"/>
    <x v="2"/>
    <x v="9"/>
    <x v="0"/>
    <x v="4"/>
    <n v="19"/>
  </r>
  <r>
    <x v="0"/>
    <x v="1"/>
    <x v="4"/>
    <x v="2"/>
    <x v="9"/>
    <x v="0"/>
    <x v="5"/>
    <n v="4"/>
  </r>
  <r>
    <x v="0"/>
    <x v="1"/>
    <x v="4"/>
    <x v="2"/>
    <x v="9"/>
    <x v="0"/>
    <x v="2"/>
    <n v="2"/>
  </r>
  <r>
    <x v="0"/>
    <x v="1"/>
    <x v="4"/>
    <x v="3"/>
    <x v="0"/>
    <x v="0"/>
    <x v="0"/>
    <n v="1"/>
  </r>
  <r>
    <x v="0"/>
    <x v="1"/>
    <x v="4"/>
    <x v="3"/>
    <x v="12"/>
    <x v="0"/>
    <x v="5"/>
    <n v="1"/>
  </r>
  <r>
    <x v="0"/>
    <x v="1"/>
    <x v="4"/>
    <x v="3"/>
    <x v="12"/>
    <x v="0"/>
    <x v="13"/>
    <n v="1"/>
  </r>
  <r>
    <x v="0"/>
    <x v="1"/>
    <x v="4"/>
    <x v="3"/>
    <x v="12"/>
    <x v="0"/>
    <x v="11"/>
    <n v="3"/>
  </r>
  <r>
    <x v="0"/>
    <x v="1"/>
    <x v="4"/>
    <x v="3"/>
    <x v="15"/>
    <x v="0"/>
    <x v="3"/>
    <n v="5"/>
  </r>
  <r>
    <x v="0"/>
    <x v="1"/>
    <x v="4"/>
    <x v="3"/>
    <x v="15"/>
    <x v="0"/>
    <x v="4"/>
    <n v="4"/>
  </r>
  <r>
    <x v="0"/>
    <x v="1"/>
    <x v="4"/>
    <x v="3"/>
    <x v="15"/>
    <x v="0"/>
    <x v="5"/>
    <n v="1"/>
  </r>
  <r>
    <x v="0"/>
    <x v="1"/>
    <x v="4"/>
    <x v="3"/>
    <x v="15"/>
    <x v="0"/>
    <x v="13"/>
    <n v="1"/>
  </r>
  <r>
    <x v="0"/>
    <x v="1"/>
    <x v="4"/>
    <x v="3"/>
    <x v="3"/>
    <x v="0"/>
    <x v="9"/>
    <n v="1"/>
  </r>
  <r>
    <x v="0"/>
    <x v="1"/>
    <x v="4"/>
    <x v="3"/>
    <x v="3"/>
    <x v="0"/>
    <x v="3"/>
    <n v="1"/>
  </r>
  <r>
    <x v="0"/>
    <x v="1"/>
    <x v="4"/>
    <x v="3"/>
    <x v="3"/>
    <x v="0"/>
    <x v="4"/>
    <n v="1"/>
  </r>
  <r>
    <x v="0"/>
    <x v="1"/>
    <x v="4"/>
    <x v="3"/>
    <x v="19"/>
    <x v="0"/>
    <x v="12"/>
    <n v="7"/>
  </r>
  <r>
    <x v="0"/>
    <x v="1"/>
    <x v="4"/>
    <x v="4"/>
    <x v="1"/>
    <x v="12"/>
    <x v="6"/>
    <n v="1"/>
  </r>
  <r>
    <x v="0"/>
    <x v="1"/>
    <x v="4"/>
    <x v="4"/>
    <x v="1"/>
    <x v="7"/>
    <x v="8"/>
    <n v="45"/>
  </r>
  <r>
    <x v="0"/>
    <x v="1"/>
    <x v="4"/>
    <x v="4"/>
    <x v="1"/>
    <x v="1"/>
    <x v="7"/>
    <n v="76"/>
  </r>
  <r>
    <x v="0"/>
    <x v="1"/>
    <x v="4"/>
    <x v="4"/>
    <x v="1"/>
    <x v="1"/>
    <x v="6"/>
    <n v="10"/>
  </r>
  <r>
    <x v="0"/>
    <x v="1"/>
    <x v="4"/>
    <x v="4"/>
    <x v="1"/>
    <x v="1"/>
    <x v="10"/>
    <n v="7"/>
  </r>
  <r>
    <x v="0"/>
    <x v="1"/>
    <x v="4"/>
    <x v="4"/>
    <x v="1"/>
    <x v="8"/>
    <x v="8"/>
    <n v="7"/>
  </r>
  <r>
    <x v="0"/>
    <x v="1"/>
    <x v="4"/>
    <x v="4"/>
    <x v="1"/>
    <x v="8"/>
    <x v="3"/>
    <n v="2"/>
  </r>
  <r>
    <x v="0"/>
    <x v="1"/>
    <x v="4"/>
    <x v="4"/>
    <x v="1"/>
    <x v="0"/>
    <x v="7"/>
    <n v="295"/>
  </r>
  <r>
    <x v="0"/>
    <x v="1"/>
    <x v="4"/>
    <x v="4"/>
    <x v="1"/>
    <x v="0"/>
    <x v="6"/>
    <n v="332"/>
  </r>
  <r>
    <x v="0"/>
    <x v="1"/>
    <x v="4"/>
    <x v="4"/>
    <x v="15"/>
    <x v="0"/>
    <x v="12"/>
    <n v="5"/>
  </r>
  <r>
    <x v="0"/>
    <x v="1"/>
    <x v="4"/>
    <x v="4"/>
    <x v="15"/>
    <x v="0"/>
    <x v="9"/>
    <n v="4"/>
  </r>
  <r>
    <x v="0"/>
    <x v="1"/>
    <x v="4"/>
    <x v="4"/>
    <x v="8"/>
    <x v="8"/>
    <x v="1"/>
    <n v="1"/>
  </r>
  <r>
    <x v="0"/>
    <x v="1"/>
    <x v="4"/>
    <x v="4"/>
    <x v="7"/>
    <x v="0"/>
    <x v="12"/>
    <n v="3"/>
  </r>
  <r>
    <x v="0"/>
    <x v="1"/>
    <x v="4"/>
    <x v="4"/>
    <x v="9"/>
    <x v="0"/>
    <x v="12"/>
    <n v="6"/>
  </r>
  <r>
    <x v="0"/>
    <x v="1"/>
    <x v="4"/>
    <x v="4"/>
    <x v="9"/>
    <x v="0"/>
    <x v="9"/>
    <n v="7"/>
  </r>
  <r>
    <x v="0"/>
    <x v="1"/>
    <x v="4"/>
    <x v="4"/>
    <x v="17"/>
    <x v="12"/>
    <x v="1"/>
    <n v="1"/>
  </r>
  <r>
    <x v="0"/>
    <x v="1"/>
    <x v="4"/>
    <x v="5"/>
    <x v="5"/>
    <x v="7"/>
    <x v="12"/>
    <n v="2"/>
  </r>
  <r>
    <x v="0"/>
    <x v="1"/>
    <x v="4"/>
    <x v="5"/>
    <x v="5"/>
    <x v="8"/>
    <x v="12"/>
    <n v="1"/>
  </r>
  <r>
    <x v="0"/>
    <x v="1"/>
    <x v="4"/>
    <x v="5"/>
    <x v="9"/>
    <x v="9"/>
    <x v="3"/>
    <n v="1"/>
  </r>
  <r>
    <x v="0"/>
    <x v="1"/>
    <x v="4"/>
    <x v="5"/>
    <x v="10"/>
    <x v="0"/>
    <x v="1"/>
    <n v="1"/>
  </r>
  <r>
    <x v="0"/>
    <x v="1"/>
    <x v="4"/>
    <x v="6"/>
    <x v="3"/>
    <x v="5"/>
    <x v="12"/>
    <n v="1"/>
  </r>
  <r>
    <x v="0"/>
    <x v="1"/>
    <x v="4"/>
    <x v="6"/>
    <x v="3"/>
    <x v="6"/>
    <x v="12"/>
    <n v="1"/>
  </r>
  <r>
    <x v="0"/>
    <x v="1"/>
    <x v="4"/>
    <x v="6"/>
    <x v="3"/>
    <x v="6"/>
    <x v="9"/>
    <n v="1"/>
  </r>
  <r>
    <x v="0"/>
    <x v="1"/>
    <x v="4"/>
    <x v="6"/>
    <x v="3"/>
    <x v="7"/>
    <x v="6"/>
    <n v="1"/>
  </r>
  <r>
    <x v="0"/>
    <x v="1"/>
    <x v="4"/>
    <x v="6"/>
    <x v="17"/>
    <x v="0"/>
    <x v="10"/>
    <n v="1"/>
  </r>
  <r>
    <x v="0"/>
    <x v="1"/>
    <x v="4"/>
    <x v="9"/>
    <x v="0"/>
    <x v="0"/>
    <x v="4"/>
    <n v="1"/>
  </r>
  <r>
    <x v="0"/>
    <x v="1"/>
    <x v="4"/>
    <x v="9"/>
    <x v="16"/>
    <x v="0"/>
    <x v="2"/>
    <n v="1"/>
  </r>
  <r>
    <x v="0"/>
    <x v="1"/>
    <x v="4"/>
    <x v="9"/>
    <x v="10"/>
    <x v="2"/>
    <x v="9"/>
    <n v="1"/>
  </r>
  <r>
    <x v="0"/>
    <x v="1"/>
    <x v="4"/>
    <x v="7"/>
    <x v="0"/>
    <x v="4"/>
    <x v="19"/>
    <n v="1"/>
  </r>
  <r>
    <x v="0"/>
    <x v="1"/>
    <x v="4"/>
    <x v="7"/>
    <x v="0"/>
    <x v="5"/>
    <x v="19"/>
    <n v="1"/>
  </r>
  <r>
    <x v="0"/>
    <x v="1"/>
    <x v="4"/>
    <x v="7"/>
    <x v="0"/>
    <x v="11"/>
    <x v="11"/>
    <n v="2"/>
  </r>
  <r>
    <x v="0"/>
    <x v="1"/>
    <x v="4"/>
    <x v="7"/>
    <x v="0"/>
    <x v="11"/>
    <x v="14"/>
    <n v="1"/>
  </r>
  <r>
    <x v="0"/>
    <x v="1"/>
    <x v="4"/>
    <x v="7"/>
    <x v="0"/>
    <x v="6"/>
    <x v="11"/>
    <n v="1"/>
  </r>
  <r>
    <x v="0"/>
    <x v="1"/>
    <x v="4"/>
    <x v="7"/>
    <x v="0"/>
    <x v="6"/>
    <x v="17"/>
    <n v="1"/>
  </r>
  <r>
    <x v="0"/>
    <x v="1"/>
    <x v="4"/>
    <x v="7"/>
    <x v="0"/>
    <x v="9"/>
    <x v="13"/>
    <n v="1"/>
  </r>
  <r>
    <x v="0"/>
    <x v="1"/>
    <x v="4"/>
    <x v="7"/>
    <x v="0"/>
    <x v="9"/>
    <x v="14"/>
    <n v="1"/>
  </r>
  <r>
    <x v="0"/>
    <x v="1"/>
    <x v="4"/>
    <x v="7"/>
    <x v="0"/>
    <x v="1"/>
    <x v="2"/>
    <n v="1"/>
  </r>
  <r>
    <x v="0"/>
    <x v="1"/>
    <x v="4"/>
    <x v="7"/>
    <x v="0"/>
    <x v="0"/>
    <x v="13"/>
    <n v="1"/>
  </r>
  <r>
    <x v="0"/>
    <x v="1"/>
    <x v="4"/>
    <x v="7"/>
    <x v="12"/>
    <x v="0"/>
    <x v="10"/>
    <n v="2"/>
  </r>
  <r>
    <x v="0"/>
    <x v="1"/>
    <x v="4"/>
    <x v="7"/>
    <x v="12"/>
    <x v="0"/>
    <x v="1"/>
    <n v="20"/>
  </r>
  <r>
    <x v="0"/>
    <x v="1"/>
    <x v="4"/>
    <x v="7"/>
    <x v="12"/>
    <x v="0"/>
    <x v="18"/>
    <n v="1"/>
  </r>
  <r>
    <x v="0"/>
    <x v="1"/>
    <x v="4"/>
    <x v="7"/>
    <x v="16"/>
    <x v="0"/>
    <x v="9"/>
    <n v="4"/>
  </r>
  <r>
    <x v="0"/>
    <x v="1"/>
    <x v="4"/>
    <x v="7"/>
    <x v="6"/>
    <x v="1"/>
    <x v="6"/>
    <n v="1"/>
  </r>
  <r>
    <x v="0"/>
    <x v="1"/>
    <x v="4"/>
    <x v="7"/>
    <x v="6"/>
    <x v="1"/>
    <x v="10"/>
    <n v="4"/>
  </r>
  <r>
    <x v="0"/>
    <x v="1"/>
    <x v="4"/>
    <x v="8"/>
    <x v="16"/>
    <x v="0"/>
    <x v="12"/>
    <n v="2"/>
  </r>
  <r>
    <x v="0"/>
    <x v="1"/>
    <x v="4"/>
    <x v="8"/>
    <x v="16"/>
    <x v="0"/>
    <x v="9"/>
    <n v="1"/>
  </r>
  <r>
    <x v="0"/>
    <x v="1"/>
    <x v="4"/>
    <x v="8"/>
    <x v="16"/>
    <x v="0"/>
    <x v="3"/>
    <n v="1"/>
  </r>
  <r>
    <x v="0"/>
    <x v="1"/>
    <x v="4"/>
    <x v="8"/>
    <x v="14"/>
    <x v="7"/>
    <x v="7"/>
    <n v="1"/>
  </r>
  <r>
    <x v="0"/>
    <x v="1"/>
    <x v="4"/>
    <x v="8"/>
    <x v="14"/>
    <x v="1"/>
    <x v="6"/>
    <n v="2"/>
  </r>
  <r>
    <x v="0"/>
    <x v="1"/>
    <x v="4"/>
    <x v="8"/>
    <x v="14"/>
    <x v="8"/>
    <x v="7"/>
    <n v="5"/>
  </r>
  <r>
    <x v="0"/>
    <x v="1"/>
    <x v="4"/>
    <x v="8"/>
    <x v="14"/>
    <x v="0"/>
    <x v="6"/>
    <n v="23"/>
  </r>
  <r>
    <x v="0"/>
    <x v="1"/>
    <x v="4"/>
    <x v="8"/>
    <x v="14"/>
    <x v="0"/>
    <x v="10"/>
    <n v="14"/>
  </r>
  <r>
    <x v="0"/>
    <x v="1"/>
    <x v="4"/>
    <x v="8"/>
    <x v="14"/>
    <x v="0"/>
    <x v="1"/>
    <n v="4"/>
  </r>
  <r>
    <x v="0"/>
    <x v="1"/>
    <x v="4"/>
    <x v="8"/>
    <x v="8"/>
    <x v="0"/>
    <x v="6"/>
    <n v="1"/>
  </r>
  <r>
    <x v="0"/>
    <x v="1"/>
    <x v="4"/>
    <x v="11"/>
    <x v="14"/>
    <x v="7"/>
    <x v="2"/>
    <n v="1"/>
  </r>
  <r>
    <x v="0"/>
    <x v="1"/>
    <x v="4"/>
    <x v="11"/>
    <x v="8"/>
    <x v="9"/>
    <x v="7"/>
    <n v="2"/>
  </r>
  <r>
    <x v="0"/>
    <x v="1"/>
    <x v="4"/>
    <x v="11"/>
    <x v="8"/>
    <x v="12"/>
    <x v="7"/>
    <n v="5"/>
  </r>
  <r>
    <x v="0"/>
    <x v="1"/>
    <x v="4"/>
    <x v="11"/>
    <x v="8"/>
    <x v="1"/>
    <x v="6"/>
    <n v="3"/>
  </r>
  <r>
    <x v="0"/>
    <x v="1"/>
    <x v="4"/>
    <x v="11"/>
    <x v="8"/>
    <x v="1"/>
    <x v="10"/>
    <n v="3"/>
  </r>
  <r>
    <x v="0"/>
    <x v="1"/>
    <x v="4"/>
    <x v="11"/>
    <x v="7"/>
    <x v="8"/>
    <x v="3"/>
    <n v="1"/>
  </r>
  <r>
    <x v="0"/>
    <x v="1"/>
    <x v="4"/>
    <x v="11"/>
    <x v="11"/>
    <x v="8"/>
    <x v="14"/>
    <n v="1"/>
  </r>
  <r>
    <x v="0"/>
    <x v="1"/>
    <x v="4"/>
    <x v="11"/>
    <x v="11"/>
    <x v="0"/>
    <x v="1"/>
    <n v="3"/>
  </r>
  <r>
    <x v="0"/>
    <x v="1"/>
    <x v="4"/>
    <x v="12"/>
    <x v="12"/>
    <x v="11"/>
    <x v="10"/>
    <n v="1"/>
  </r>
  <r>
    <x v="0"/>
    <x v="1"/>
    <x v="4"/>
    <x v="12"/>
    <x v="12"/>
    <x v="6"/>
    <x v="6"/>
    <n v="2"/>
  </r>
  <r>
    <x v="0"/>
    <x v="1"/>
    <x v="4"/>
    <x v="12"/>
    <x v="12"/>
    <x v="6"/>
    <x v="10"/>
    <n v="3"/>
  </r>
  <r>
    <x v="0"/>
    <x v="1"/>
    <x v="4"/>
    <x v="12"/>
    <x v="12"/>
    <x v="6"/>
    <x v="1"/>
    <n v="3"/>
  </r>
  <r>
    <x v="0"/>
    <x v="1"/>
    <x v="4"/>
    <x v="12"/>
    <x v="12"/>
    <x v="9"/>
    <x v="6"/>
    <n v="3"/>
  </r>
  <r>
    <x v="0"/>
    <x v="1"/>
    <x v="4"/>
    <x v="12"/>
    <x v="12"/>
    <x v="9"/>
    <x v="10"/>
    <n v="2"/>
  </r>
  <r>
    <x v="0"/>
    <x v="1"/>
    <x v="4"/>
    <x v="12"/>
    <x v="12"/>
    <x v="12"/>
    <x v="7"/>
    <n v="6"/>
  </r>
  <r>
    <x v="0"/>
    <x v="1"/>
    <x v="4"/>
    <x v="12"/>
    <x v="12"/>
    <x v="12"/>
    <x v="6"/>
    <n v="4"/>
  </r>
  <r>
    <x v="0"/>
    <x v="1"/>
    <x v="4"/>
    <x v="12"/>
    <x v="12"/>
    <x v="12"/>
    <x v="10"/>
    <n v="2"/>
  </r>
  <r>
    <x v="0"/>
    <x v="1"/>
    <x v="4"/>
    <x v="12"/>
    <x v="12"/>
    <x v="7"/>
    <x v="2"/>
    <n v="1"/>
  </r>
  <r>
    <x v="0"/>
    <x v="1"/>
    <x v="4"/>
    <x v="12"/>
    <x v="12"/>
    <x v="1"/>
    <x v="7"/>
    <n v="5"/>
  </r>
  <r>
    <x v="0"/>
    <x v="1"/>
    <x v="4"/>
    <x v="12"/>
    <x v="12"/>
    <x v="1"/>
    <x v="6"/>
    <n v="14"/>
  </r>
  <r>
    <x v="0"/>
    <x v="1"/>
    <x v="4"/>
    <x v="12"/>
    <x v="12"/>
    <x v="8"/>
    <x v="4"/>
    <n v="1"/>
  </r>
  <r>
    <x v="0"/>
    <x v="1"/>
    <x v="4"/>
    <x v="12"/>
    <x v="12"/>
    <x v="0"/>
    <x v="6"/>
    <n v="9"/>
  </r>
  <r>
    <x v="0"/>
    <x v="1"/>
    <x v="4"/>
    <x v="12"/>
    <x v="4"/>
    <x v="0"/>
    <x v="12"/>
    <n v="1"/>
  </r>
  <r>
    <x v="0"/>
    <x v="1"/>
    <x v="4"/>
    <x v="13"/>
    <x v="4"/>
    <x v="0"/>
    <x v="4"/>
    <n v="1"/>
  </r>
  <r>
    <x v="0"/>
    <x v="1"/>
    <x v="4"/>
    <x v="13"/>
    <x v="16"/>
    <x v="12"/>
    <x v="9"/>
    <n v="1"/>
  </r>
  <r>
    <x v="0"/>
    <x v="1"/>
    <x v="4"/>
    <x v="13"/>
    <x v="16"/>
    <x v="1"/>
    <x v="9"/>
    <n v="1"/>
  </r>
  <r>
    <x v="0"/>
    <x v="1"/>
    <x v="4"/>
    <x v="13"/>
    <x v="16"/>
    <x v="0"/>
    <x v="1"/>
    <n v="31"/>
  </r>
  <r>
    <x v="0"/>
    <x v="1"/>
    <x v="4"/>
    <x v="13"/>
    <x v="16"/>
    <x v="0"/>
    <x v="12"/>
    <n v="5"/>
  </r>
  <r>
    <x v="0"/>
    <x v="1"/>
    <x v="4"/>
    <x v="13"/>
    <x v="16"/>
    <x v="0"/>
    <x v="9"/>
    <n v="3"/>
  </r>
  <r>
    <x v="0"/>
    <x v="1"/>
    <x v="4"/>
    <x v="13"/>
    <x v="16"/>
    <x v="0"/>
    <x v="3"/>
    <n v="3"/>
  </r>
  <r>
    <x v="0"/>
    <x v="1"/>
    <x v="4"/>
    <x v="13"/>
    <x v="13"/>
    <x v="1"/>
    <x v="6"/>
    <n v="1"/>
  </r>
  <r>
    <x v="0"/>
    <x v="1"/>
    <x v="4"/>
    <x v="13"/>
    <x v="13"/>
    <x v="0"/>
    <x v="6"/>
    <n v="3"/>
  </r>
  <r>
    <x v="0"/>
    <x v="1"/>
    <x v="4"/>
    <x v="13"/>
    <x v="13"/>
    <x v="0"/>
    <x v="10"/>
    <n v="6"/>
  </r>
  <r>
    <x v="0"/>
    <x v="1"/>
    <x v="4"/>
    <x v="13"/>
    <x v="14"/>
    <x v="0"/>
    <x v="14"/>
    <n v="1"/>
  </r>
  <r>
    <x v="0"/>
    <x v="1"/>
    <x v="4"/>
    <x v="13"/>
    <x v="9"/>
    <x v="0"/>
    <x v="3"/>
    <n v="1"/>
  </r>
  <r>
    <x v="0"/>
    <x v="1"/>
    <x v="4"/>
    <x v="13"/>
    <x v="9"/>
    <x v="0"/>
    <x v="5"/>
    <n v="1"/>
  </r>
  <r>
    <x v="0"/>
    <x v="1"/>
    <x v="4"/>
    <x v="13"/>
    <x v="17"/>
    <x v="3"/>
    <x v="14"/>
    <n v="1"/>
  </r>
  <r>
    <x v="0"/>
    <x v="1"/>
    <x v="4"/>
    <x v="13"/>
    <x v="17"/>
    <x v="4"/>
    <x v="11"/>
    <n v="1"/>
  </r>
  <r>
    <x v="0"/>
    <x v="1"/>
    <x v="4"/>
    <x v="13"/>
    <x v="17"/>
    <x v="11"/>
    <x v="11"/>
    <n v="1"/>
  </r>
  <r>
    <x v="0"/>
    <x v="1"/>
    <x v="4"/>
    <x v="13"/>
    <x v="17"/>
    <x v="6"/>
    <x v="2"/>
    <n v="2"/>
  </r>
  <r>
    <x v="0"/>
    <x v="1"/>
    <x v="4"/>
    <x v="13"/>
    <x v="17"/>
    <x v="6"/>
    <x v="13"/>
    <n v="1"/>
  </r>
  <r>
    <x v="0"/>
    <x v="1"/>
    <x v="4"/>
    <x v="13"/>
    <x v="17"/>
    <x v="6"/>
    <x v="11"/>
    <n v="1"/>
  </r>
  <r>
    <x v="0"/>
    <x v="1"/>
    <x v="4"/>
    <x v="14"/>
    <x v="16"/>
    <x v="2"/>
    <x v="13"/>
    <n v="1"/>
  </r>
  <r>
    <x v="0"/>
    <x v="1"/>
    <x v="4"/>
    <x v="14"/>
    <x v="16"/>
    <x v="10"/>
    <x v="2"/>
    <n v="1"/>
  </r>
  <r>
    <x v="0"/>
    <x v="1"/>
    <x v="4"/>
    <x v="14"/>
    <x v="16"/>
    <x v="10"/>
    <x v="13"/>
    <n v="2"/>
  </r>
  <r>
    <x v="0"/>
    <x v="1"/>
    <x v="4"/>
    <x v="14"/>
    <x v="16"/>
    <x v="10"/>
    <x v="11"/>
    <n v="2"/>
  </r>
  <r>
    <x v="0"/>
    <x v="1"/>
    <x v="4"/>
    <x v="14"/>
    <x v="16"/>
    <x v="3"/>
    <x v="8"/>
    <n v="1"/>
  </r>
  <r>
    <x v="0"/>
    <x v="1"/>
    <x v="4"/>
    <x v="14"/>
    <x v="16"/>
    <x v="3"/>
    <x v="4"/>
    <n v="5"/>
  </r>
  <r>
    <x v="0"/>
    <x v="1"/>
    <x v="4"/>
    <x v="14"/>
    <x v="16"/>
    <x v="3"/>
    <x v="5"/>
    <n v="3"/>
  </r>
  <r>
    <x v="0"/>
    <x v="1"/>
    <x v="4"/>
    <x v="14"/>
    <x v="16"/>
    <x v="3"/>
    <x v="11"/>
    <n v="2"/>
  </r>
  <r>
    <x v="0"/>
    <x v="1"/>
    <x v="4"/>
    <x v="14"/>
    <x v="16"/>
    <x v="4"/>
    <x v="8"/>
    <n v="28"/>
  </r>
  <r>
    <x v="0"/>
    <x v="1"/>
    <x v="4"/>
    <x v="14"/>
    <x v="16"/>
    <x v="4"/>
    <x v="3"/>
    <n v="1"/>
  </r>
  <r>
    <x v="0"/>
    <x v="1"/>
    <x v="4"/>
    <x v="14"/>
    <x v="16"/>
    <x v="4"/>
    <x v="4"/>
    <n v="3"/>
  </r>
  <r>
    <x v="0"/>
    <x v="1"/>
    <x v="4"/>
    <x v="14"/>
    <x v="16"/>
    <x v="4"/>
    <x v="5"/>
    <n v="2"/>
  </r>
  <r>
    <x v="0"/>
    <x v="1"/>
    <x v="4"/>
    <x v="14"/>
    <x v="16"/>
    <x v="4"/>
    <x v="2"/>
    <n v="1"/>
  </r>
  <r>
    <x v="0"/>
    <x v="1"/>
    <x v="4"/>
    <x v="14"/>
    <x v="16"/>
    <x v="4"/>
    <x v="13"/>
    <n v="1"/>
  </r>
  <r>
    <x v="0"/>
    <x v="1"/>
    <x v="0"/>
    <x v="14"/>
    <x v="16"/>
    <x v="11"/>
    <x v="1"/>
    <n v="2"/>
  </r>
  <r>
    <x v="0"/>
    <x v="1"/>
    <x v="0"/>
    <x v="14"/>
    <x v="16"/>
    <x v="6"/>
    <x v="6"/>
    <n v="7"/>
  </r>
  <r>
    <x v="0"/>
    <x v="1"/>
    <x v="0"/>
    <x v="14"/>
    <x v="16"/>
    <x v="6"/>
    <x v="10"/>
    <n v="2"/>
  </r>
  <r>
    <x v="0"/>
    <x v="1"/>
    <x v="0"/>
    <x v="14"/>
    <x v="16"/>
    <x v="6"/>
    <x v="1"/>
    <n v="1"/>
  </r>
  <r>
    <x v="0"/>
    <x v="1"/>
    <x v="0"/>
    <x v="14"/>
    <x v="16"/>
    <x v="9"/>
    <x v="7"/>
    <n v="10"/>
  </r>
  <r>
    <x v="0"/>
    <x v="1"/>
    <x v="0"/>
    <x v="14"/>
    <x v="16"/>
    <x v="9"/>
    <x v="6"/>
    <n v="2"/>
  </r>
  <r>
    <x v="0"/>
    <x v="1"/>
    <x v="0"/>
    <x v="14"/>
    <x v="16"/>
    <x v="9"/>
    <x v="10"/>
    <n v="2"/>
  </r>
  <r>
    <x v="0"/>
    <x v="1"/>
    <x v="0"/>
    <x v="14"/>
    <x v="16"/>
    <x v="9"/>
    <x v="1"/>
    <n v="1"/>
  </r>
  <r>
    <x v="0"/>
    <x v="1"/>
    <x v="0"/>
    <x v="14"/>
    <x v="16"/>
    <x v="12"/>
    <x v="6"/>
    <n v="2"/>
  </r>
  <r>
    <x v="0"/>
    <x v="1"/>
    <x v="0"/>
    <x v="14"/>
    <x v="16"/>
    <x v="12"/>
    <x v="10"/>
    <n v="1"/>
  </r>
  <r>
    <x v="0"/>
    <x v="1"/>
    <x v="0"/>
    <x v="14"/>
    <x v="18"/>
    <x v="12"/>
    <x v="12"/>
    <n v="1"/>
  </r>
  <r>
    <x v="0"/>
    <x v="1"/>
    <x v="0"/>
    <x v="15"/>
    <x v="1"/>
    <x v="11"/>
    <x v="1"/>
    <n v="4"/>
  </r>
  <r>
    <x v="0"/>
    <x v="1"/>
    <x v="0"/>
    <x v="15"/>
    <x v="1"/>
    <x v="6"/>
    <x v="1"/>
    <n v="9"/>
  </r>
  <r>
    <x v="0"/>
    <x v="1"/>
    <x v="0"/>
    <x v="15"/>
    <x v="1"/>
    <x v="6"/>
    <x v="12"/>
    <n v="1"/>
  </r>
  <r>
    <x v="0"/>
    <x v="1"/>
    <x v="0"/>
    <x v="15"/>
    <x v="1"/>
    <x v="9"/>
    <x v="10"/>
    <n v="51"/>
  </r>
  <r>
    <x v="0"/>
    <x v="1"/>
    <x v="0"/>
    <x v="15"/>
    <x v="1"/>
    <x v="9"/>
    <x v="1"/>
    <n v="10"/>
  </r>
  <r>
    <x v="0"/>
    <x v="1"/>
    <x v="0"/>
    <x v="15"/>
    <x v="1"/>
    <x v="9"/>
    <x v="12"/>
    <n v="2"/>
  </r>
  <r>
    <x v="0"/>
    <x v="1"/>
    <x v="0"/>
    <x v="15"/>
    <x v="1"/>
    <x v="12"/>
    <x v="10"/>
    <n v="15"/>
  </r>
  <r>
    <x v="0"/>
    <x v="1"/>
    <x v="0"/>
    <x v="15"/>
    <x v="1"/>
    <x v="12"/>
    <x v="1"/>
    <n v="9"/>
  </r>
  <r>
    <x v="0"/>
    <x v="1"/>
    <x v="0"/>
    <x v="15"/>
    <x v="1"/>
    <x v="1"/>
    <x v="10"/>
    <n v="2"/>
  </r>
  <r>
    <x v="0"/>
    <x v="1"/>
    <x v="0"/>
    <x v="15"/>
    <x v="1"/>
    <x v="1"/>
    <x v="1"/>
    <n v="13"/>
  </r>
  <r>
    <x v="0"/>
    <x v="1"/>
    <x v="0"/>
    <x v="15"/>
    <x v="1"/>
    <x v="8"/>
    <x v="13"/>
    <n v="1"/>
  </r>
  <r>
    <x v="0"/>
    <x v="1"/>
    <x v="0"/>
    <x v="15"/>
    <x v="1"/>
    <x v="0"/>
    <x v="1"/>
    <n v="10"/>
  </r>
  <r>
    <x v="0"/>
    <x v="1"/>
    <x v="0"/>
    <x v="16"/>
    <x v="15"/>
    <x v="0"/>
    <x v="12"/>
    <n v="3"/>
  </r>
  <r>
    <x v="0"/>
    <x v="1"/>
    <x v="0"/>
    <x v="17"/>
    <x v="3"/>
    <x v="0"/>
    <x v="3"/>
    <n v="1"/>
  </r>
  <r>
    <x v="0"/>
    <x v="1"/>
    <x v="0"/>
    <x v="17"/>
    <x v="3"/>
    <x v="0"/>
    <x v="5"/>
    <n v="1"/>
  </r>
  <r>
    <x v="0"/>
    <x v="1"/>
    <x v="0"/>
    <x v="17"/>
    <x v="7"/>
    <x v="0"/>
    <x v="12"/>
    <n v="1"/>
  </r>
  <r>
    <x v="0"/>
    <x v="1"/>
    <x v="0"/>
    <x v="17"/>
    <x v="19"/>
    <x v="0"/>
    <x v="1"/>
    <n v="1"/>
  </r>
  <r>
    <x v="0"/>
    <x v="1"/>
    <x v="0"/>
    <x v="17"/>
    <x v="19"/>
    <x v="0"/>
    <x v="9"/>
    <n v="1"/>
  </r>
  <r>
    <x v="0"/>
    <x v="1"/>
    <x v="0"/>
    <x v="19"/>
    <x v="7"/>
    <x v="19"/>
    <x v="9"/>
    <n v="3"/>
  </r>
  <r>
    <x v="0"/>
    <x v="1"/>
    <x v="0"/>
    <x v="19"/>
    <x v="7"/>
    <x v="16"/>
    <x v="6"/>
    <n v="8"/>
  </r>
  <r>
    <x v="0"/>
    <x v="1"/>
    <x v="0"/>
    <x v="19"/>
    <x v="7"/>
    <x v="16"/>
    <x v="10"/>
    <n v="12"/>
  </r>
  <r>
    <x v="0"/>
    <x v="1"/>
    <x v="0"/>
    <x v="19"/>
    <x v="7"/>
    <x v="16"/>
    <x v="1"/>
    <n v="16"/>
  </r>
  <r>
    <x v="0"/>
    <x v="1"/>
    <x v="0"/>
    <x v="19"/>
    <x v="7"/>
    <x v="15"/>
    <x v="7"/>
    <n v="665"/>
  </r>
  <r>
    <x v="0"/>
    <x v="1"/>
    <x v="0"/>
    <x v="19"/>
    <x v="7"/>
    <x v="15"/>
    <x v="6"/>
    <n v="66"/>
  </r>
  <r>
    <x v="0"/>
    <x v="1"/>
    <x v="0"/>
    <x v="19"/>
    <x v="7"/>
    <x v="15"/>
    <x v="10"/>
    <n v="53"/>
  </r>
  <r>
    <x v="0"/>
    <x v="1"/>
    <x v="0"/>
    <x v="19"/>
    <x v="7"/>
    <x v="14"/>
    <x v="16"/>
    <n v="139"/>
  </r>
  <r>
    <x v="0"/>
    <x v="1"/>
    <x v="0"/>
    <x v="19"/>
    <x v="7"/>
    <x v="14"/>
    <x v="7"/>
    <n v="655"/>
  </r>
  <r>
    <x v="0"/>
    <x v="1"/>
    <x v="0"/>
    <x v="19"/>
    <x v="7"/>
    <x v="14"/>
    <x v="6"/>
    <n v="194"/>
  </r>
  <r>
    <x v="0"/>
    <x v="1"/>
    <x v="0"/>
    <x v="19"/>
    <x v="7"/>
    <x v="13"/>
    <x v="8"/>
    <n v="856"/>
  </r>
  <r>
    <x v="0"/>
    <x v="1"/>
    <x v="0"/>
    <x v="19"/>
    <x v="7"/>
    <x v="13"/>
    <x v="7"/>
    <n v="577"/>
  </r>
  <r>
    <x v="0"/>
    <x v="1"/>
    <x v="0"/>
    <x v="19"/>
    <x v="7"/>
    <x v="2"/>
    <x v="15"/>
    <n v="1754"/>
  </r>
  <r>
    <x v="0"/>
    <x v="1"/>
    <x v="0"/>
    <x v="19"/>
    <x v="7"/>
    <x v="2"/>
    <x v="8"/>
    <n v="707"/>
  </r>
  <r>
    <x v="0"/>
    <x v="1"/>
    <x v="0"/>
    <x v="19"/>
    <x v="7"/>
    <x v="2"/>
    <x v="3"/>
    <n v="13"/>
  </r>
  <r>
    <x v="0"/>
    <x v="1"/>
    <x v="0"/>
    <x v="19"/>
    <x v="7"/>
    <x v="2"/>
    <x v="4"/>
    <n v="9"/>
  </r>
  <r>
    <x v="0"/>
    <x v="1"/>
    <x v="0"/>
    <x v="19"/>
    <x v="7"/>
    <x v="2"/>
    <x v="5"/>
    <n v="2"/>
  </r>
  <r>
    <x v="0"/>
    <x v="1"/>
    <x v="0"/>
    <x v="19"/>
    <x v="7"/>
    <x v="10"/>
    <x v="15"/>
    <n v="1834"/>
  </r>
  <r>
    <x v="0"/>
    <x v="1"/>
    <x v="0"/>
    <x v="19"/>
    <x v="7"/>
    <x v="10"/>
    <x v="8"/>
    <n v="537"/>
  </r>
  <r>
    <x v="0"/>
    <x v="1"/>
    <x v="0"/>
    <x v="19"/>
    <x v="7"/>
    <x v="10"/>
    <x v="9"/>
    <n v="11"/>
  </r>
  <r>
    <x v="0"/>
    <x v="1"/>
    <x v="0"/>
    <x v="19"/>
    <x v="7"/>
    <x v="10"/>
    <x v="3"/>
    <n v="7"/>
  </r>
  <r>
    <x v="0"/>
    <x v="1"/>
    <x v="0"/>
    <x v="19"/>
    <x v="7"/>
    <x v="10"/>
    <x v="4"/>
    <n v="12"/>
  </r>
  <r>
    <x v="0"/>
    <x v="1"/>
    <x v="0"/>
    <x v="19"/>
    <x v="7"/>
    <x v="10"/>
    <x v="5"/>
    <n v="1"/>
  </r>
  <r>
    <x v="0"/>
    <x v="1"/>
    <x v="0"/>
    <x v="19"/>
    <x v="7"/>
    <x v="10"/>
    <x v="2"/>
    <n v="1"/>
  </r>
  <r>
    <x v="0"/>
    <x v="1"/>
    <x v="0"/>
    <x v="19"/>
    <x v="7"/>
    <x v="3"/>
    <x v="15"/>
    <n v="1180"/>
  </r>
  <r>
    <x v="0"/>
    <x v="1"/>
    <x v="0"/>
    <x v="19"/>
    <x v="7"/>
    <x v="3"/>
    <x v="12"/>
    <n v="12"/>
  </r>
  <r>
    <x v="0"/>
    <x v="1"/>
    <x v="0"/>
    <x v="19"/>
    <x v="7"/>
    <x v="3"/>
    <x v="9"/>
    <n v="12"/>
  </r>
  <r>
    <x v="0"/>
    <x v="1"/>
    <x v="0"/>
    <x v="19"/>
    <x v="7"/>
    <x v="3"/>
    <x v="3"/>
    <n v="5"/>
  </r>
  <r>
    <x v="0"/>
    <x v="1"/>
    <x v="0"/>
    <x v="19"/>
    <x v="7"/>
    <x v="3"/>
    <x v="4"/>
    <n v="3"/>
  </r>
  <r>
    <x v="0"/>
    <x v="1"/>
    <x v="0"/>
    <x v="19"/>
    <x v="7"/>
    <x v="3"/>
    <x v="5"/>
    <n v="2"/>
  </r>
  <r>
    <x v="0"/>
    <x v="1"/>
    <x v="0"/>
    <x v="19"/>
    <x v="7"/>
    <x v="3"/>
    <x v="2"/>
    <n v="1"/>
  </r>
  <r>
    <x v="0"/>
    <x v="1"/>
    <x v="0"/>
    <x v="19"/>
    <x v="7"/>
    <x v="4"/>
    <x v="15"/>
    <n v="638"/>
  </r>
  <r>
    <x v="0"/>
    <x v="1"/>
    <x v="0"/>
    <x v="19"/>
    <x v="7"/>
    <x v="4"/>
    <x v="12"/>
    <n v="14"/>
  </r>
  <r>
    <x v="0"/>
    <x v="1"/>
    <x v="0"/>
    <x v="19"/>
    <x v="7"/>
    <x v="4"/>
    <x v="9"/>
    <n v="5"/>
  </r>
  <r>
    <x v="0"/>
    <x v="1"/>
    <x v="0"/>
    <x v="19"/>
    <x v="7"/>
    <x v="4"/>
    <x v="3"/>
    <n v="6"/>
  </r>
  <r>
    <x v="0"/>
    <x v="1"/>
    <x v="0"/>
    <x v="19"/>
    <x v="7"/>
    <x v="4"/>
    <x v="4"/>
    <n v="2"/>
  </r>
  <r>
    <x v="0"/>
    <x v="1"/>
    <x v="0"/>
    <x v="19"/>
    <x v="7"/>
    <x v="4"/>
    <x v="5"/>
    <n v="1"/>
  </r>
  <r>
    <x v="0"/>
    <x v="1"/>
    <x v="0"/>
    <x v="19"/>
    <x v="7"/>
    <x v="5"/>
    <x v="15"/>
    <n v="67"/>
  </r>
  <r>
    <x v="0"/>
    <x v="1"/>
    <x v="0"/>
    <x v="19"/>
    <x v="7"/>
    <x v="5"/>
    <x v="12"/>
    <n v="6"/>
  </r>
  <r>
    <x v="0"/>
    <x v="1"/>
    <x v="0"/>
    <x v="19"/>
    <x v="7"/>
    <x v="5"/>
    <x v="9"/>
    <n v="4"/>
  </r>
  <r>
    <x v="0"/>
    <x v="1"/>
    <x v="0"/>
    <x v="19"/>
    <x v="7"/>
    <x v="5"/>
    <x v="4"/>
    <n v="2"/>
  </r>
  <r>
    <x v="0"/>
    <x v="1"/>
    <x v="0"/>
    <x v="19"/>
    <x v="7"/>
    <x v="11"/>
    <x v="12"/>
    <n v="2"/>
  </r>
  <r>
    <x v="0"/>
    <x v="1"/>
    <x v="0"/>
    <x v="19"/>
    <x v="7"/>
    <x v="11"/>
    <x v="9"/>
    <n v="1"/>
  </r>
  <r>
    <x v="0"/>
    <x v="1"/>
    <x v="1"/>
    <x v="16"/>
    <x v="17"/>
    <x v="8"/>
    <x v="13"/>
    <n v="1"/>
  </r>
  <r>
    <x v="0"/>
    <x v="1"/>
    <x v="1"/>
    <x v="17"/>
    <x v="11"/>
    <x v="8"/>
    <x v="11"/>
    <n v="1"/>
  </r>
  <r>
    <x v="0"/>
    <x v="1"/>
    <x v="1"/>
    <x v="19"/>
    <x v="7"/>
    <x v="18"/>
    <x v="0"/>
    <n v="8"/>
  </r>
  <r>
    <x v="0"/>
    <x v="1"/>
    <x v="1"/>
    <x v="19"/>
    <x v="7"/>
    <x v="18"/>
    <x v="18"/>
    <n v="1"/>
  </r>
  <r>
    <x v="0"/>
    <x v="1"/>
    <x v="1"/>
    <x v="19"/>
    <x v="7"/>
    <x v="16"/>
    <x v="1"/>
    <n v="186"/>
  </r>
  <r>
    <x v="0"/>
    <x v="1"/>
    <x v="1"/>
    <x v="19"/>
    <x v="7"/>
    <x v="16"/>
    <x v="14"/>
    <n v="15"/>
  </r>
  <r>
    <x v="0"/>
    <x v="1"/>
    <x v="1"/>
    <x v="19"/>
    <x v="7"/>
    <x v="15"/>
    <x v="10"/>
    <n v="274"/>
  </r>
  <r>
    <x v="0"/>
    <x v="1"/>
    <x v="1"/>
    <x v="19"/>
    <x v="7"/>
    <x v="15"/>
    <x v="1"/>
    <n v="148"/>
  </r>
  <r>
    <x v="0"/>
    <x v="1"/>
    <x v="1"/>
    <x v="19"/>
    <x v="7"/>
    <x v="15"/>
    <x v="13"/>
    <n v="14"/>
  </r>
  <r>
    <x v="0"/>
    <x v="1"/>
    <x v="1"/>
    <x v="19"/>
    <x v="7"/>
    <x v="14"/>
    <x v="6"/>
    <n v="258"/>
  </r>
  <r>
    <x v="0"/>
    <x v="1"/>
    <x v="1"/>
    <x v="19"/>
    <x v="7"/>
    <x v="14"/>
    <x v="10"/>
    <n v="200"/>
  </r>
  <r>
    <x v="0"/>
    <x v="1"/>
    <x v="1"/>
    <x v="19"/>
    <x v="7"/>
    <x v="14"/>
    <x v="1"/>
    <n v="96"/>
  </r>
  <r>
    <x v="0"/>
    <x v="1"/>
    <x v="1"/>
    <x v="19"/>
    <x v="7"/>
    <x v="14"/>
    <x v="5"/>
    <n v="17"/>
  </r>
  <r>
    <x v="0"/>
    <x v="1"/>
    <x v="1"/>
    <x v="19"/>
    <x v="7"/>
    <x v="13"/>
    <x v="6"/>
    <n v="141"/>
  </r>
  <r>
    <x v="0"/>
    <x v="1"/>
    <x v="1"/>
    <x v="19"/>
    <x v="7"/>
    <x v="13"/>
    <x v="10"/>
    <n v="147"/>
  </r>
  <r>
    <x v="0"/>
    <x v="1"/>
    <x v="1"/>
    <x v="19"/>
    <x v="7"/>
    <x v="13"/>
    <x v="3"/>
    <n v="33"/>
  </r>
  <r>
    <x v="0"/>
    <x v="1"/>
    <x v="1"/>
    <x v="19"/>
    <x v="7"/>
    <x v="2"/>
    <x v="11"/>
    <n v="1"/>
  </r>
  <r>
    <x v="0"/>
    <x v="1"/>
    <x v="1"/>
    <x v="19"/>
    <x v="7"/>
    <x v="2"/>
    <x v="14"/>
    <n v="1"/>
  </r>
  <r>
    <x v="0"/>
    <x v="1"/>
    <x v="1"/>
    <x v="19"/>
    <x v="7"/>
    <x v="10"/>
    <x v="13"/>
    <n v="4"/>
  </r>
  <r>
    <x v="0"/>
    <x v="1"/>
    <x v="1"/>
    <x v="19"/>
    <x v="7"/>
    <x v="10"/>
    <x v="11"/>
    <n v="1"/>
  </r>
  <r>
    <x v="0"/>
    <x v="1"/>
    <x v="1"/>
    <x v="19"/>
    <x v="7"/>
    <x v="10"/>
    <x v="14"/>
    <n v="1"/>
  </r>
  <r>
    <x v="0"/>
    <x v="1"/>
    <x v="1"/>
    <x v="19"/>
    <x v="7"/>
    <x v="3"/>
    <x v="1"/>
    <n v="30"/>
  </r>
  <r>
    <x v="0"/>
    <x v="1"/>
    <x v="1"/>
    <x v="19"/>
    <x v="7"/>
    <x v="3"/>
    <x v="2"/>
    <n v="2"/>
  </r>
  <r>
    <x v="0"/>
    <x v="1"/>
    <x v="1"/>
    <x v="19"/>
    <x v="7"/>
    <x v="3"/>
    <x v="13"/>
    <n v="4"/>
  </r>
  <r>
    <x v="0"/>
    <x v="1"/>
    <x v="1"/>
    <x v="19"/>
    <x v="7"/>
    <x v="3"/>
    <x v="11"/>
    <n v="1"/>
  </r>
  <r>
    <x v="0"/>
    <x v="1"/>
    <x v="1"/>
    <x v="19"/>
    <x v="7"/>
    <x v="3"/>
    <x v="14"/>
    <n v="4"/>
  </r>
  <r>
    <x v="0"/>
    <x v="1"/>
    <x v="1"/>
    <x v="19"/>
    <x v="7"/>
    <x v="4"/>
    <x v="5"/>
    <n v="2"/>
  </r>
  <r>
    <x v="0"/>
    <x v="1"/>
    <x v="1"/>
    <x v="19"/>
    <x v="7"/>
    <x v="4"/>
    <x v="2"/>
    <n v="2"/>
  </r>
  <r>
    <x v="0"/>
    <x v="1"/>
    <x v="1"/>
    <x v="19"/>
    <x v="7"/>
    <x v="4"/>
    <x v="13"/>
    <n v="1"/>
  </r>
  <r>
    <x v="0"/>
    <x v="1"/>
    <x v="1"/>
    <x v="19"/>
    <x v="7"/>
    <x v="4"/>
    <x v="11"/>
    <n v="2"/>
  </r>
  <r>
    <x v="0"/>
    <x v="1"/>
    <x v="1"/>
    <x v="19"/>
    <x v="7"/>
    <x v="5"/>
    <x v="10"/>
    <n v="7"/>
  </r>
  <r>
    <x v="0"/>
    <x v="1"/>
    <x v="1"/>
    <x v="19"/>
    <x v="7"/>
    <x v="5"/>
    <x v="4"/>
    <n v="4"/>
  </r>
  <r>
    <x v="0"/>
    <x v="1"/>
    <x v="1"/>
    <x v="19"/>
    <x v="7"/>
    <x v="5"/>
    <x v="5"/>
    <n v="2"/>
  </r>
  <r>
    <x v="0"/>
    <x v="1"/>
    <x v="1"/>
    <x v="19"/>
    <x v="7"/>
    <x v="5"/>
    <x v="2"/>
    <n v="1"/>
  </r>
  <r>
    <x v="0"/>
    <x v="1"/>
    <x v="1"/>
    <x v="19"/>
    <x v="7"/>
    <x v="5"/>
    <x v="13"/>
    <n v="2"/>
  </r>
  <r>
    <x v="0"/>
    <x v="1"/>
    <x v="1"/>
    <x v="19"/>
    <x v="7"/>
    <x v="11"/>
    <x v="3"/>
    <n v="3"/>
  </r>
  <r>
    <x v="0"/>
    <x v="1"/>
    <x v="1"/>
    <x v="19"/>
    <x v="7"/>
    <x v="11"/>
    <x v="2"/>
    <n v="2"/>
  </r>
  <r>
    <x v="0"/>
    <x v="1"/>
    <x v="1"/>
    <x v="19"/>
    <x v="7"/>
    <x v="11"/>
    <x v="13"/>
    <n v="1"/>
  </r>
  <r>
    <x v="0"/>
    <x v="1"/>
    <x v="1"/>
    <x v="19"/>
    <x v="7"/>
    <x v="6"/>
    <x v="9"/>
    <n v="2"/>
  </r>
  <r>
    <x v="0"/>
    <x v="1"/>
    <x v="1"/>
    <x v="19"/>
    <x v="7"/>
    <x v="6"/>
    <x v="3"/>
    <n v="2"/>
  </r>
  <r>
    <x v="0"/>
    <x v="1"/>
    <x v="1"/>
    <x v="19"/>
    <x v="7"/>
    <x v="6"/>
    <x v="4"/>
    <n v="1"/>
  </r>
  <r>
    <x v="0"/>
    <x v="1"/>
    <x v="1"/>
    <x v="19"/>
    <x v="7"/>
    <x v="6"/>
    <x v="5"/>
    <n v="1"/>
  </r>
  <r>
    <x v="0"/>
    <x v="1"/>
    <x v="1"/>
    <x v="19"/>
    <x v="7"/>
    <x v="9"/>
    <x v="12"/>
    <n v="7"/>
  </r>
  <r>
    <x v="0"/>
    <x v="1"/>
    <x v="1"/>
    <x v="19"/>
    <x v="7"/>
    <x v="9"/>
    <x v="9"/>
    <n v="4"/>
  </r>
  <r>
    <x v="0"/>
    <x v="1"/>
    <x v="1"/>
    <x v="19"/>
    <x v="7"/>
    <x v="9"/>
    <x v="3"/>
    <n v="1"/>
  </r>
  <r>
    <x v="0"/>
    <x v="1"/>
    <x v="1"/>
    <x v="19"/>
    <x v="7"/>
    <x v="9"/>
    <x v="4"/>
    <n v="1"/>
  </r>
  <r>
    <x v="0"/>
    <x v="1"/>
    <x v="1"/>
    <x v="19"/>
    <x v="7"/>
    <x v="9"/>
    <x v="2"/>
    <n v="2"/>
  </r>
  <r>
    <x v="0"/>
    <x v="1"/>
    <x v="1"/>
    <x v="19"/>
    <x v="7"/>
    <x v="12"/>
    <x v="12"/>
    <n v="5"/>
  </r>
  <r>
    <x v="0"/>
    <x v="1"/>
    <x v="1"/>
    <x v="19"/>
    <x v="7"/>
    <x v="12"/>
    <x v="9"/>
    <n v="5"/>
  </r>
  <r>
    <x v="0"/>
    <x v="1"/>
    <x v="1"/>
    <x v="19"/>
    <x v="7"/>
    <x v="12"/>
    <x v="4"/>
    <n v="2"/>
  </r>
  <r>
    <x v="0"/>
    <x v="1"/>
    <x v="1"/>
    <x v="19"/>
    <x v="7"/>
    <x v="1"/>
    <x v="12"/>
    <n v="1"/>
  </r>
  <r>
    <x v="0"/>
    <x v="1"/>
    <x v="1"/>
    <x v="19"/>
    <x v="10"/>
    <x v="9"/>
    <x v="12"/>
    <n v="1"/>
  </r>
  <r>
    <x v="0"/>
    <x v="1"/>
    <x v="1"/>
    <x v="19"/>
    <x v="10"/>
    <x v="12"/>
    <x v="12"/>
    <n v="2"/>
  </r>
  <r>
    <x v="0"/>
    <x v="1"/>
    <x v="1"/>
    <x v="19"/>
    <x v="10"/>
    <x v="12"/>
    <x v="9"/>
    <n v="1"/>
  </r>
  <r>
    <x v="0"/>
    <x v="1"/>
    <x v="2"/>
    <x v="0"/>
    <x v="9"/>
    <x v="0"/>
    <x v="19"/>
    <n v="41"/>
  </r>
  <r>
    <x v="0"/>
    <x v="1"/>
    <x v="2"/>
    <x v="1"/>
    <x v="4"/>
    <x v="0"/>
    <x v="0"/>
    <n v="1"/>
  </r>
  <r>
    <x v="0"/>
    <x v="1"/>
    <x v="2"/>
    <x v="1"/>
    <x v="18"/>
    <x v="0"/>
    <x v="12"/>
    <n v="1"/>
  </r>
  <r>
    <x v="0"/>
    <x v="1"/>
    <x v="2"/>
    <x v="1"/>
    <x v="18"/>
    <x v="0"/>
    <x v="9"/>
    <n v="1"/>
  </r>
  <r>
    <x v="0"/>
    <x v="1"/>
    <x v="2"/>
    <x v="2"/>
    <x v="0"/>
    <x v="7"/>
    <x v="19"/>
    <n v="1"/>
  </r>
  <r>
    <x v="0"/>
    <x v="1"/>
    <x v="2"/>
    <x v="2"/>
    <x v="0"/>
    <x v="1"/>
    <x v="9"/>
    <n v="1"/>
  </r>
  <r>
    <x v="0"/>
    <x v="1"/>
    <x v="2"/>
    <x v="2"/>
    <x v="0"/>
    <x v="0"/>
    <x v="12"/>
    <n v="1"/>
  </r>
  <r>
    <x v="0"/>
    <x v="1"/>
    <x v="2"/>
    <x v="2"/>
    <x v="0"/>
    <x v="0"/>
    <x v="9"/>
    <n v="1"/>
  </r>
  <r>
    <x v="0"/>
    <x v="1"/>
    <x v="2"/>
    <x v="2"/>
    <x v="0"/>
    <x v="0"/>
    <x v="3"/>
    <n v="3"/>
  </r>
  <r>
    <x v="0"/>
    <x v="1"/>
    <x v="2"/>
    <x v="2"/>
    <x v="0"/>
    <x v="0"/>
    <x v="4"/>
    <n v="1"/>
  </r>
  <r>
    <x v="0"/>
    <x v="1"/>
    <x v="2"/>
    <x v="2"/>
    <x v="0"/>
    <x v="0"/>
    <x v="0"/>
    <n v="1"/>
  </r>
  <r>
    <x v="0"/>
    <x v="1"/>
    <x v="2"/>
    <x v="2"/>
    <x v="0"/>
    <x v="0"/>
    <x v="18"/>
    <n v="1"/>
  </r>
  <r>
    <x v="0"/>
    <x v="1"/>
    <x v="2"/>
    <x v="2"/>
    <x v="2"/>
    <x v="0"/>
    <x v="0"/>
    <n v="2"/>
  </r>
  <r>
    <x v="0"/>
    <x v="1"/>
    <x v="2"/>
    <x v="2"/>
    <x v="1"/>
    <x v="0"/>
    <x v="19"/>
    <n v="19"/>
  </r>
  <r>
    <x v="0"/>
    <x v="1"/>
    <x v="2"/>
    <x v="3"/>
    <x v="0"/>
    <x v="0"/>
    <x v="0"/>
    <n v="4"/>
  </r>
  <r>
    <x v="0"/>
    <x v="1"/>
    <x v="2"/>
    <x v="3"/>
    <x v="0"/>
    <x v="0"/>
    <x v="18"/>
    <n v="2"/>
  </r>
  <r>
    <x v="0"/>
    <x v="1"/>
    <x v="2"/>
    <x v="3"/>
    <x v="2"/>
    <x v="0"/>
    <x v="19"/>
    <n v="1"/>
  </r>
  <r>
    <x v="0"/>
    <x v="1"/>
    <x v="2"/>
    <x v="3"/>
    <x v="4"/>
    <x v="0"/>
    <x v="19"/>
    <n v="1"/>
  </r>
  <r>
    <x v="0"/>
    <x v="1"/>
    <x v="4"/>
    <x v="14"/>
    <x v="16"/>
    <x v="4"/>
    <x v="14"/>
    <n v="1"/>
  </r>
  <r>
    <x v="0"/>
    <x v="1"/>
    <x v="4"/>
    <x v="14"/>
    <x v="16"/>
    <x v="5"/>
    <x v="15"/>
    <n v="141"/>
  </r>
  <r>
    <x v="0"/>
    <x v="1"/>
    <x v="4"/>
    <x v="14"/>
    <x v="16"/>
    <x v="5"/>
    <x v="8"/>
    <n v="57"/>
  </r>
  <r>
    <x v="0"/>
    <x v="1"/>
    <x v="4"/>
    <x v="14"/>
    <x v="16"/>
    <x v="5"/>
    <x v="9"/>
    <n v="8"/>
  </r>
  <r>
    <x v="0"/>
    <x v="1"/>
    <x v="4"/>
    <x v="14"/>
    <x v="16"/>
    <x v="5"/>
    <x v="3"/>
    <n v="2"/>
  </r>
  <r>
    <x v="0"/>
    <x v="1"/>
    <x v="4"/>
    <x v="14"/>
    <x v="16"/>
    <x v="5"/>
    <x v="4"/>
    <n v="3"/>
  </r>
  <r>
    <x v="0"/>
    <x v="1"/>
    <x v="4"/>
    <x v="14"/>
    <x v="16"/>
    <x v="5"/>
    <x v="5"/>
    <n v="4"/>
  </r>
  <r>
    <x v="0"/>
    <x v="1"/>
    <x v="4"/>
    <x v="14"/>
    <x v="16"/>
    <x v="5"/>
    <x v="2"/>
    <n v="2"/>
  </r>
  <r>
    <x v="0"/>
    <x v="1"/>
    <x v="4"/>
    <x v="14"/>
    <x v="16"/>
    <x v="5"/>
    <x v="13"/>
    <n v="1"/>
  </r>
  <r>
    <x v="0"/>
    <x v="1"/>
    <x v="4"/>
    <x v="14"/>
    <x v="16"/>
    <x v="11"/>
    <x v="15"/>
    <n v="137"/>
  </r>
  <r>
    <x v="0"/>
    <x v="1"/>
    <x v="4"/>
    <x v="14"/>
    <x v="16"/>
    <x v="11"/>
    <x v="12"/>
    <n v="10"/>
  </r>
  <r>
    <x v="0"/>
    <x v="1"/>
    <x v="4"/>
    <x v="14"/>
    <x v="16"/>
    <x v="11"/>
    <x v="9"/>
    <n v="4"/>
  </r>
  <r>
    <x v="0"/>
    <x v="1"/>
    <x v="4"/>
    <x v="14"/>
    <x v="16"/>
    <x v="11"/>
    <x v="3"/>
    <n v="3"/>
  </r>
  <r>
    <x v="0"/>
    <x v="1"/>
    <x v="4"/>
    <x v="14"/>
    <x v="16"/>
    <x v="11"/>
    <x v="4"/>
    <n v="1"/>
  </r>
  <r>
    <x v="0"/>
    <x v="1"/>
    <x v="4"/>
    <x v="14"/>
    <x v="16"/>
    <x v="11"/>
    <x v="5"/>
    <n v="1"/>
  </r>
  <r>
    <x v="0"/>
    <x v="1"/>
    <x v="4"/>
    <x v="14"/>
    <x v="16"/>
    <x v="11"/>
    <x v="2"/>
    <n v="1"/>
  </r>
  <r>
    <x v="0"/>
    <x v="1"/>
    <x v="4"/>
    <x v="14"/>
    <x v="16"/>
    <x v="11"/>
    <x v="13"/>
    <n v="2"/>
  </r>
  <r>
    <x v="0"/>
    <x v="1"/>
    <x v="4"/>
    <x v="14"/>
    <x v="16"/>
    <x v="6"/>
    <x v="15"/>
    <n v="27"/>
  </r>
  <r>
    <x v="0"/>
    <x v="1"/>
    <x v="4"/>
    <x v="14"/>
    <x v="16"/>
    <x v="6"/>
    <x v="12"/>
    <n v="7"/>
  </r>
  <r>
    <x v="0"/>
    <x v="1"/>
    <x v="4"/>
    <x v="14"/>
    <x v="16"/>
    <x v="6"/>
    <x v="9"/>
    <n v="4"/>
  </r>
  <r>
    <x v="0"/>
    <x v="1"/>
    <x v="4"/>
    <x v="14"/>
    <x v="16"/>
    <x v="6"/>
    <x v="3"/>
    <n v="2"/>
  </r>
  <r>
    <x v="0"/>
    <x v="1"/>
    <x v="4"/>
    <x v="14"/>
    <x v="16"/>
    <x v="6"/>
    <x v="4"/>
    <n v="2"/>
  </r>
  <r>
    <x v="0"/>
    <x v="1"/>
    <x v="4"/>
    <x v="14"/>
    <x v="16"/>
    <x v="6"/>
    <x v="2"/>
    <n v="1"/>
  </r>
  <r>
    <x v="0"/>
    <x v="1"/>
    <x v="4"/>
    <x v="14"/>
    <x v="16"/>
    <x v="9"/>
    <x v="12"/>
    <n v="8"/>
  </r>
  <r>
    <x v="0"/>
    <x v="1"/>
    <x v="4"/>
    <x v="14"/>
    <x v="16"/>
    <x v="9"/>
    <x v="9"/>
    <n v="5"/>
  </r>
  <r>
    <x v="0"/>
    <x v="1"/>
    <x v="4"/>
    <x v="14"/>
    <x v="16"/>
    <x v="9"/>
    <x v="3"/>
    <n v="2"/>
  </r>
  <r>
    <x v="0"/>
    <x v="1"/>
    <x v="4"/>
    <x v="14"/>
    <x v="16"/>
    <x v="9"/>
    <x v="4"/>
    <n v="3"/>
  </r>
  <r>
    <x v="0"/>
    <x v="1"/>
    <x v="4"/>
    <x v="14"/>
    <x v="16"/>
    <x v="9"/>
    <x v="5"/>
    <n v="1"/>
  </r>
  <r>
    <x v="0"/>
    <x v="1"/>
    <x v="4"/>
    <x v="14"/>
    <x v="16"/>
    <x v="12"/>
    <x v="12"/>
    <n v="3"/>
  </r>
  <r>
    <x v="0"/>
    <x v="1"/>
    <x v="4"/>
    <x v="14"/>
    <x v="16"/>
    <x v="12"/>
    <x v="9"/>
    <n v="5"/>
  </r>
  <r>
    <x v="0"/>
    <x v="1"/>
    <x v="4"/>
    <x v="14"/>
    <x v="16"/>
    <x v="12"/>
    <x v="3"/>
    <n v="2"/>
  </r>
  <r>
    <x v="0"/>
    <x v="1"/>
    <x v="4"/>
    <x v="14"/>
    <x v="16"/>
    <x v="12"/>
    <x v="4"/>
    <n v="3"/>
  </r>
  <r>
    <x v="0"/>
    <x v="1"/>
    <x v="4"/>
    <x v="14"/>
    <x v="16"/>
    <x v="7"/>
    <x v="7"/>
    <n v="100"/>
  </r>
  <r>
    <x v="0"/>
    <x v="1"/>
    <x v="4"/>
    <x v="14"/>
    <x v="16"/>
    <x v="7"/>
    <x v="6"/>
    <n v="27"/>
  </r>
  <r>
    <x v="0"/>
    <x v="1"/>
    <x v="4"/>
    <x v="14"/>
    <x v="16"/>
    <x v="1"/>
    <x v="1"/>
    <n v="10"/>
  </r>
  <r>
    <x v="0"/>
    <x v="1"/>
    <x v="4"/>
    <x v="14"/>
    <x v="16"/>
    <x v="1"/>
    <x v="12"/>
    <n v="5"/>
  </r>
  <r>
    <x v="0"/>
    <x v="1"/>
    <x v="4"/>
    <x v="14"/>
    <x v="16"/>
    <x v="8"/>
    <x v="7"/>
    <n v="37"/>
  </r>
  <r>
    <x v="0"/>
    <x v="1"/>
    <x v="4"/>
    <x v="14"/>
    <x v="16"/>
    <x v="8"/>
    <x v="6"/>
    <n v="16"/>
  </r>
  <r>
    <x v="0"/>
    <x v="1"/>
    <x v="4"/>
    <x v="14"/>
    <x v="16"/>
    <x v="0"/>
    <x v="1"/>
    <n v="4"/>
  </r>
  <r>
    <x v="0"/>
    <x v="1"/>
    <x v="4"/>
    <x v="14"/>
    <x v="16"/>
    <x v="0"/>
    <x v="12"/>
    <n v="6"/>
  </r>
  <r>
    <x v="0"/>
    <x v="1"/>
    <x v="4"/>
    <x v="14"/>
    <x v="16"/>
    <x v="0"/>
    <x v="9"/>
    <n v="2"/>
  </r>
  <r>
    <x v="0"/>
    <x v="1"/>
    <x v="4"/>
    <x v="18"/>
    <x v="12"/>
    <x v="0"/>
    <x v="5"/>
    <n v="12"/>
  </r>
  <r>
    <x v="0"/>
    <x v="1"/>
    <x v="4"/>
    <x v="18"/>
    <x v="12"/>
    <x v="0"/>
    <x v="2"/>
    <n v="12"/>
  </r>
  <r>
    <x v="0"/>
    <x v="1"/>
    <x v="4"/>
    <x v="18"/>
    <x v="12"/>
    <x v="0"/>
    <x v="13"/>
    <n v="13"/>
  </r>
  <r>
    <x v="0"/>
    <x v="1"/>
    <x v="4"/>
    <x v="18"/>
    <x v="12"/>
    <x v="0"/>
    <x v="11"/>
    <n v="5"/>
  </r>
  <r>
    <x v="0"/>
    <x v="1"/>
    <x v="4"/>
    <x v="18"/>
    <x v="12"/>
    <x v="0"/>
    <x v="14"/>
    <n v="4"/>
  </r>
  <r>
    <x v="0"/>
    <x v="1"/>
    <x v="4"/>
    <x v="18"/>
    <x v="14"/>
    <x v="0"/>
    <x v="13"/>
    <n v="3"/>
  </r>
  <r>
    <x v="0"/>
    <x v="1"/>
    <x v="4"/>
    <x v="18"/>
    <x v="14"/>
    <x v="0"/>
    <x v="11"/>
    <n v="1"/>
  </r>
  <r>
    <x v="0"/>
    <x v="1"/>
    <x v="4"/>
    <x v="18"/>
    <x v="14"/>
    <x v="0"/>
    <x v="14"/>
    <n v="1"/>
  </r>
  <r>
    <x v="0"/>
    <x v="1"/>
    <x v="4"/>
    <x v="18"/>
    <x v="14"/>
    <x v="0"/>
    <x v="17"/>
    <n v="2"/>
  </r>
  <r>
    <x v="0"/>
    <x v="1"/>
    <x v="4"/>
    <x v="18"/>
    <x v="14"/>
    <x v="0"/>
    <x v="19"/>
    <n v="1"/>
  </r>
  <r>
    <x v="0"/>
    <x v="1"/>
    <x v="4"/>
    <x v="15"/>
    <x v="16"/>
    <x v="0"/>
    <x v="14"/>
    <n v="3"/>
  </r>
  <r>
    <x v="0"/>
    <x v="1"/>
    <x v="4"/>
    <x v="15"/>
    <x v="6"/>
    <x v="0"/>
    <x v="10"/>
    <n v="2"/>
  </r>
  <r>
    <x v="0"/>
    <x v="1"/>
    <x v="4"/>
    <x v="15"/>
    <x v="18"/>
    <x v="12"/>
    <x v="9"/>
    <n v="1"/>
  </r>
  <r>
    <x v="0"/>
    <x v="1"/>
    <x v="4"/>
    <x v="15"/>
    <x v="18"/>
    <x v="0"/>
    <x v="12"/>
    <n v="6"/>
  </r>
  <r>
    <x v="0"/>
    <x v="1"/>
    <x v="4"/>
    <x v="15"/>
    <x v="18"/>
    <x v="0"/>
    <x v="9"/>
    <n v="8"/>
  </r>
  <r>
    <x v="0"/>
    <x v="1"/>
    <x v="4"/>
    <x v="15"/>
    <x v="18"/>
    <x v="0"/>
    <x v="3"/>
    <n v="4"/>
  </r>
  <r>
    <x v="0"/>
    <x v="1"/>
    <x v="4"/>
    <x v="15"/>
    <x v="18"/>
    <x v="0"/>
    <x v="4"/>
    <n v="4"/>
  </r>
  <r>
    <x v="0"/>
    <x v="1"/>
    <x v="4"/>
    <x v="17"/>
    <x v="12"/>
    <x v="5"/>
    <x v="0"/>
    <n v="1"/>
  </r>
  <r>
    <x v="0"/>
    <x v="1"/>
    <x v="4"/>
    <x v="17"/>
    <x v="12"/>
    <x v="5"/>
    <x v="18"/>
    <n v="1"/>
  </r>
  <r>
    <x v="0"/>
    <x v="1"/>
    <x v="4"/>
    <x v="17"/>
    <x v="12"/>
    <x v="11"/>
    <x v="2"/>
    <n v="2"/>
  </r>
  <r>
    <x v="0"/>
    <x v="1"/>
    <x v="4"/>
    <x v="17"/>
    <x v="12"/>
    <x v="11"/>
    <x v="13"/>
    <n v="1"/>
  </r>
  <r>
    <x v="0"/>
    <x v="1"/>
    <x v="4"/>
    <x v="17"/>
    <x v="12"/>
    <x v="6"/>
    <x v="4"/>
    <n v="1"/>
  </r>
  <r>
    <x v="0"/>
    <x v="1"/>
    <x v="4"/>
    <x v="17"/>
    <x v="12"/>
    <x v="6"/>
    <x v="0"/>
    <n v="1"/>
  </r>
  <r>
    <x v="0"/>
    <x v="1"/>
    <x v="4"/>
    <x v="17"/>
    <x v="12"/>
    <x v="9"/>
    <x v="4"/>
    <n v="1"/>
  </r>
  <r>
    <x v="0"/>
    <x v="1"/>
    <x v="4"/>
    <x v="17"/>
    <x v="12"/>
    <x v="9"/>
    <x v="0"/>
    <n v="1"/>
  </r>
  <r>
    <x v="0"/>
    <x v="1"/>
    <x v="4"/>
    <x v="17"/>
    <x v="12"/>
    <x v="9"/>
    <x v="18"/>
    <n v="3"/>
  </r>
  <r>
    <x v="0"/>
    <x v="1"/>
    <x v="4"/>
    <x v="17"/>
    <x v="12"/>
    <x v="12"/>
    <x v="3"/>
    <n v="1"/>
  </r>
  <r>
    <x v="0"/>
    <x v="1"/>
    <x v="4"/>
    <x v="17"/>
    <x v="12"/>
    <x v="12"/>
    <x v="0"/>
    <n v="2"/>
  </r>
  <r>
    <x v="0"/>
    <x v="1"/>
    <x v="4"/>
    <x v="17"/>
    <x v="12"/>
    <x v="7"/>
    <x v="5"/>
    <n v="1"/>
  </r>
  <r>
    <x v="0"/>
    <x v="1"/>
    <x v="4"/>
    <x v="17"/>
    <x v="12"/>
    <x v="7"/>
    <x v="13"/>
    <n v="3"/>
  </r>
  <r>
    <x v="0"/>
    <x v="1"/>
    <x v="4"/>
    <x v="17"/>
    <x v="12"/>
    <x v="1"/>
    <x v="0"/>
    <n v="1"/>
  </r>
  <r>
    <x v="0"/>
    <x v="1"/>
    <x v="0"/>
    <x v="19"/>
    <x v="7"/>
    <x v="6"/>
    <x v="1"/>
    <n v="14"/>
  </r>
  <r>
    <x v="0"/>
    <x v="1"/>
    <x v="0"/>
    <x v="19"/>
    <x v="7"/>
    <x v="6"/>
    <x v="12"/>
    <n v="1"/>
  </r>
  <r>
    <x v="0"/>
    <x v="1"/>
    <x v="0"/>
    <x v="19"/>
    <x v="7"/>
    <x v="6"/>
    <x v="9"/>
    <n v="2"/>
  </r>
  <r>
    <x v="0"/>
    <x v="1"/>
    <x v="0"/>
    <x v="19"/>
    <x v="7"/>
    <x v="9"/>
    <x v="1"/>
    <n v="8"/>
  </r>
  <r>
    <x v="0"/>
    <x v="1"/>
    <x v="0"/>
    <x v="19"/>
    <x v="7"/>
    <x v="9"/>
    <x v="12"/>
    <n v="1"/>
  </r>
  <r>
    <x v="0"/>
    <x v="1"/>
    <x v="0"/>
    <x v="19"/>
    <x v="7"/>
    <x v="12"/>
    <x v="10"/>
    <n v="5"/>
  </r>
  <r>
    <x v="0"/>
    <x v="1"/>
    <x v="0"/>
    <x v="19"/>
    <x v="7"/>
    <x v="12"/>
    <x v="1"/>
    <n v="4"/>
  </r>
  <r>
    <x v="0"/>
    <x v="1"/>
    <x v="0"/>
    <x v="19"/>
    <x v="7"/>
    <x v="7"/>
    <x v="9"/>
    <n v="2"/>
  </r>
  <r>
    <x v="0"/>
    <x v="1"/>
    <x v="0"/>
    <x v="19"/>
    <x v="7"/>
    <x v="7"/>
    <x v="3"/>
    <n v="1"/>
  </r>
  <r>
    <x v="0"/>
    <x v="1"/>
    <x v="0"/>
    <x v="19"/>
    <x v="7"/>
    <x v="1"/>
    <x v="10"/>
    <n v="2"/>
  </r>
  <r>
    <x v="0"/>
    <x v="1"/>
    <x v="0"/>
    <x v="19"/>
    <x v="10"/>
    <x v="3"/>
    <x v="9"/>
    <n v="1"/>
  </r>
  <r>
    <x v="0"/>
    <x v="1"/>
    <x v="0"/>
    <x v="19"/>
    <x v="10"/>
    <x v="4"/>
    <x v="1"/>
    <n v="2"/>
  </r>
  <r>
    <x v="0"/>
    <x v="1"/>
    <x v="0"/>
    <x v="19"/>
    <x v="10"/>
    <x v="4"/>
    <x v="9"/>
    <n v="1"/>
  </r>
  <r>
    <x v="0"/>
    <x v="1"/>
    <x v="0"/>
    <x v="19"/>
    <x v="10"/>
    <x v="5"/>
    <x v="1"/>
    <n v="5"/>
  </r>
  <r>
    <x v="0"/>
    <x v="1"/>
    <x v="0"/>
    <x v="19"/>
    <x v="10"/>
    <x v="5"/>
    <x v="12"/>
    <n v="3"/>
  </r>
  <r>
    <x v="0"/>
    <x v="1"/>
    <x v="0"/>
    <x v="19"/>
    <x v="10"/>
    <x v="11"/>
    <x v="10"/>
    <n v="5"/>
  </r>
  <r>
    <x v="0"/>
    <x v="1"/>
    <x v="0"/>
    <x v="19"/>
    <x v="10"/>
    <x v="11"/>
    <x v="1"/>
    <n v="12"/>
  </r>
  <r>
    <x v="0"/>
    <x v="1"/>
    <x v="0"/>
    <x v="19"/>
    <x v="10"/>
    <x v="6"/>
    <x v="10"/>
    <n v="12"/>
  </r>
  <r>
    <x v="0"/>
    <x v="1"/>
    <x v="0"/>
    <x v="19"/>
    <x v="10"/>
    <x v="6"/>
    <x v="1"/>
    <n v="4"/>
  </r>
  <r>
    <x v="0"/>
    <x v="1"/>
    <x v="0"/>
    <x v="19"/>
    <x v="10"/>
    <x v="9"/>
    <x v="6"/>
    <n v="51"/>
  </r>
  <r>
    <x v="0"/>
    <x v="1"/>
    <x v="0"/>
    <x v="19"/>
    <x v="10"/>
    <x v="9"/>
    <x v="10"/>
    <n v="34"/>
  </r>
  <r>
    <x v="0"/>
    <x v="1"/>
    <x v="0"/>
    <x v="19"/>
    <x v="10"/>
    <x v="12"/>
    <x v="6"/>
    <n v="49"/>
  </r>
  <r>
    <x v="0"/>
    <x v="1"/>
    <x v="0"/>
    <x v="19"/>
    <x v="10"/>
    <x v="12"/>
    <x v="10"/>
    <n v="31"/>
  </r>
  <r>
    <x v="0"/>
    <x v="1"/>
    <x v="0"/>
    <x v="19"/>
    <x v="10"/>
    <x v="7"/>
    <x v="12"/>
    <n v="7"/>
  </r>
  <r>
    <x v="0"/>
    <x v="1"/>
    <x v="0"/>
    <x v="19"/>
    <x v="10"/>
    <x v="7"/>
    <x v="9"/>
    <n v="3"/>
  </r>
  <r>
    <x v="0"/>
    <x v="1"/>
    <x v="0"/>
    <x v="19"/>
    <x v="10"/>
    <x v="7"/>
    <x v="3"/>
    <n v="3"/>
  </r>
  <r>
    <x v="0"/>
    <x v="1"/>
    <x v="0"/>
    <x v="19"/>
    <x v="10"/>
    <x v="7"/>
    <x v="5"/>
    <n v="2"/>
  </r>
  <r>
    <x v="0"/>
    <x v="1"/>
    <x v="0"/>
    <x v="19"/>
    <x v="10"/>
    <x v="1"/>
    <x v="7"/>
    <n v="44"/>
  </r>
  <r>
    <x v="0"/>
    <x v="1"/>
    <x v="0"/>
    <x v="19"/>
    <x v="10"/>
    <x v="1"/>
    <x v="6"/>
    <n v="167"/>
  </r>
  <r>
    <x v="0"/>
    <x v="1"/>
    <x v="0"/>
    <x v="19"/>
    <x v="10"/>
    <x v="8"/>
    <x v="1"/>
    <n v="12"/>
  </r>
  <r>
    <x v="0"/>
    <x v="1"/>
    <x v="0"/>
    <x v="19"/>
    <x v="10"/>
    <x v="8"/>
    <x v="12"/>
    <n v="3"/>
  </r>
  <r>
    <x v="0"/>
    <x v="1"/>
    <x v="0"/>
    <x v="19"/>
    <x v="10"/>
    <x v="8"/>
    <x v="3"/>
    <n v="1"/>
  </r>
  <r>
    <x v="0"/>
    <x v="1"/>
    <x v="0"/>
    <x v="19"/>
    <x v="10"/>
    <x v="8"/>
    <x v="4"/>
    <n v="3"/>
  </r>
  <r>
    <x v="0"/>
    <x v="1"/>
    <x v="0"/>
    <x v="19"/>
    <x v="10"/>
    <x v="0"/>
    <x v="6"/>
    <n v="91"/>
  </r>
  <r>
    <x v="0"/>
    <x v="1"/>
    <x v="1"/>
    <x v="1"/>
    <x v="2"/>
    <x v="15"/>
    <x v="14"/>
    <n v="1"/>
  </r>
  <r>
    <x v="0"/>
    <x v="1"/>
    <x v="1"/>
    <x v="1"/>
    <x v="2"/>
    <x v="13"/>
    <x v="2"/>
    <n v="1"/>
  </r>
  <r>
    <x v="0"/>
    <x v="1"/>
    <x v="1"/>
    <x v="1"/>
    <x v="2"/>
    <x v="4"/>
    <x v="10"/>
    <n v="1"/>
  </r>
  <r>
    <x v="0"/>
    <x v="1"/>
    <x v="1"/>
    <x v="1"/>
    <x v="2"/>
    <x v="4"/>
    <x v="1"/>
    <n v="2"/>
  </r>
  <r>
    <x v="0"/>
    <x v="1"/>
    <x v="1"/>
    <x v="1"/>
    <x v="2"/>
    <x v="5"/>
    <x v="10"/>
    <n v="1"/>
  </r>
  <r>
    <x v="0"/>
    <x v="1"/>
    <x v="1"/>
    <x v="1"/>
    <x v="2"/>
    <x v="5"/>
    <x v="1"/>
    <n v="1"/>
  </r>
  <r>
    <x v="0"/>
    <x v="1"/>
    <x v="1"/>
    <x v="1"/>
    <x v="2"/>
    <x v="11"/>
    <x v="1"/>
    <n v="1"/>
  </r>
  <r>
    <x v="0"/>
    <x v="1"/>
    <x v="1"/>
    <x v="1"/>
    <x v="2"/>
    <x v="6"/>
    <x v="1"/>
    <n v="1"/>
  </r>
  <r>
    <x v="0"/>
    <x v="1"/>
    <x v="1"/>
    <x v="1"/>
    <x v="3"/>
    <x v="14"/>
    <x v="13"/>
    <n v="1"/>
  </r>
  <r>
    <x v="0"/>
    <x v="1"/>
    <x v="1"/>
    <x v="1"/>
    <x v="3"/>
    <x v="14"/>
    <x v="11"/>
    <n v="1"/>
  </r>
  <r>
    <x v="0"/>
    <x v="1"/>
    <x v="1"/>
    <x v="1"/>
    <x v="3"/>
    <x v="14"/>
    <x v="17"/>
    <n v="1"/>
  </r>
  <r>
    <x v="0"/>
    <x v="1"/>
    <x v="1"/>
    <x v="1"/>
    <x v="3"/>
    <x v="13"/>
    <x v="5"/>
    <n v="1"/>
  </r>
  <r>
    <x v="0"/>
    <x v="1"/>
    <x v="1"/>
    <x v="1"/>
    <x v="3"/>
    <x v="13"/>
    <x v="2"/>
    <n v="1"/>
  </r>
  <r>
    <x v="0"/>
    <x v="1"/>
    <x v="1"/>
    <x v="1"/>
    <x v="3"/>
    <x v="13"/>
    <x v="13"/>
    <n v="1"/>
  </r>
  <r>
    <x v="0"/>
    <x v="1"/>
    <x v="1"/>
    <x v="1"/>
    <x v="3"/>
    <x v="13"/>
    <x v="11"/>
    <n v="1"/>
  </r>
  <r>
    <x v="0"/>
    <x v="1"/>
    <x v="1"/>
    <x v="1"/>
    <x v="3"/>
    <x v="2"/>
    <x v="9"/>
    <n v="5"/>
  </r>
  <r>
    <x v="0"/>
    <x v="1"/>
    <x v="1"/>
    <x v="1"/>
    <x v="3"/>
    <x v="2"/>
    <x v="3"/>
    <n v="1"/>
  </r>
  <r>
    <x v="0"/>
    <x v="1"/>
    <x v="1"/>
    <x v="1"/>
    <x v="3"/>
    <x v="2"/>
    <x v="4"/>
    <n v="1"/>
  </r>
  <r>
    <x v="0"/>
    <x v="1"/>
    <x v="1"/>
    <x v="1"/>
    <x v="3"/>
    <x v="2"/>
    <x v="5"/>
    <n v="1"/>
  </r>
  <r>
    <x v="0"/>
    <x v="1"/>
    <x v="1"/>
    <x v="1"/>
    <x v="3"/>
    <x v="2"/>
    <x v="13"/>
    <n v="1"/>
  </r>
  <r>
    <x v="0"/>
    <x v="1"/>
    <x v="1"/>
    <x v="1"/>
    <x v="3"/>
    <x v="10"/>
    <x v="12"/>
    <n v="4"/>
  </r>
  <r>
    <x v="0"/>
    <x v="1"/>
    <x v="1"/>
    <x v="1"/>
    <x v="3"/>
    <x v="10"/>
    <x v="9"/>
    <n v="3"/>
  </r>
  <r>
    <x v="0"/>
    <x v="1"/>
    <x v="1"/>
    <x v="1"/>
    <x v="3"/>
    <x v="10"/>
    <x v="3"/>
    <n v="1"/>
  </r>
  <r>
    <x v="0"/>
    <x v="1"/>
    <x v="1"/>
    <x v="1"/>
    <x v="3"/>
    <x v="10"/>
    <x v="4"/>
    <n v="1"/>
  </r>
  <r>
    <x v="0"/>
    <x v="1"/>
    <x v="1"/>
    <x v="1"/>
    <x v="3"/>
    <x v="10"/>
    <x v="5"/>
    <n v="1"/>
  </r>
  <r>
    <x v="0"/>
    <x v="1"/>
    <x v="1"/>
    <x v="1"/>
    <x v="3"/>
    <x v="3"/>
    <x v="12"/>
    <n v="4"/>
  </r>
  <r>
    <x v="0"/>
    <x v="1"/>
    <x v="1"/>
    <x v="1"/>
    <x v="3"/>
    <x v="3"/>
    <x v="9"/>
    <n v="1"/>
  </r>
  <r>
    <x v="0"/>
    <x v="1"/>
    <x v="1"/>
    <x v="1"/>
    <x v="3"/>
    <x v="3"/>
    <x v="3"/>
    <n v="1"/>
  </r>
  <r>
    <x v="0"/>
    <x v="1"/>
    <x v="1"/>
    <x v="1"/>
    <x v="3"/>
    <x v="4"/>
    <x v="12"/>
    <n v="2"/>
  </r>
  <r>
    <x v="0"/>
    <x v="1"/>
    <x v="1"/>
    <x v="1"/>
    <x v="3"/>
    <x v="4"/>
    <x v="9"/>
    <n v="1"/>
  </r>
  <r>
    <x v="0"/>
    <x v="1"/>
    <x v="1"/>
    <x v="1"/>
    <x v="3"/>
    <x v="5"/>
    <x v="1"/>
    <n v="4"/>
  </r>
  <r>
    <x v="0"/>
    <x v="1"/>
    <x v="1"/>
    <x v="1"/>
    <x v="3"/>
    <x v="5"/>
    <x v="12"/>
    <n v="1"/>
  </r>
  <r>
    <x v="0"/>
    <x v="1"/>
    <x v="1"/>
    <x v="1"/>
    <x v="3"/>
    <x v="5"/>
    <x v="9"/>
    <n v="1"/>
  </r>
  <r>
    <x v="0"/>
    <x v="1"/>
    <x v="1"/>
    <x v="1"/>
    <x v="3"/>
    <x v="11"/>
    <x v="1"/>
    <n v="3"/>
  </r>
  <r>
    <x v="0"/>
    <x v="1"/>
    <x v="1"/>
    <x v="1"/>
    <x v="3"/>
    <x v="11"/>
    <x v="9"/>
    <n v="2"/>
  </r>
  <r>
    <x v="0"/>
    <x v="1"/>
    <x v="1"/>
    <x v="1"/>
    <x v="3"/>
    <x v="6"/>
    <x v="1"/>
    <n v="1"/>
  </r>
  <r>
    <x v="0"/>
    <x v="1"/>
    <x v="1"/>
    <x v="1"/>
    <x v="3"/>
    <x v="9"/>
    <x v="12"/>
    <n v="1"/>
  </r>
  <r>
    <x v="0"/>
    <x v="1"/>
    <x v="1"/>
    <x v="2"/>
    <x v="0"/>
    <x v="3"/>
    <x v="14"/>
    <n v="1"/>
  </r>
  <r>
    <x v="0"/>
    <x v="1"/>
    <x v="2"/>
    <x v="3"/>
    <x v="1"/>
    <x v="0"/>
    <x v="3"/>
    <n v="2"/>
  </r>
  <r>
    <x v="0"/>
    <x v="1"/>
    <x v="2"/>
    <x v="3"/>
    <x v="1"/>
    <x v="0"/>
    <x v="4"/>
    <n v="1"/>
  </r>
  <r>
    <x v="0"/>
    <x v="1"/>
    <x v="2"/>
    <x v="3"/>
    <x v="1"/>
    <x v="0"/>
    <x v="5"/>
    <n v="4"/>
  </r>
  <r>
    <x v="0"/>
    <x v="1"/>
    <x v="2"/>
    <x v="3"/>
    <x v="1"/>
    <x v="0"/>
    <x v="2"/>
    <n v="3"/>
  </r>
  <r>
    <x v="0"/>
    <x v="1"/>
    <x v="2"/>
    <x v="3"/>
    <x v="5"/>
    <x v="1"/>
    <x v="3"/>
    <n v="1"/>
  </r>
  <r>
    <x v="0"/>
    <x v="1"/>
    <x v="2"/>
    <x v="3"/>
    <x v="5"/>
    <x v="1"/>
    <x v="5"/>
    <n v="1"/>
  </r>
  <r>
    <x v="0"/>
    <x v="1"/>
    <x v="2"/>
    <x v="3"/>
    <x v="5"/>
    <x v="0"/>
    <x v="3"/>
    <n v="1"/>
  </r>
  <r>
    <x v="0"/>
    <x v="1"/>
    <x v="2"/>
    <x v="3"/>
    <x v="5"/>
    <x v="0"/>
    <x v="4"/>
    <n v="1"/>
  </r>
  <r>
    <x v="0"/>
    <x v="1"/>
    <x v="2"/>
    <x v="3"/>
    <x v="10"/>
    <x v="0"/>
    <x v="9"/>
    <n v="4"/>
  </r>
  <r>
    <x v="0"/>
    <x v="1"/>
    <x v="2"/>
    <x v="5"/>
    <x v="16"/>
    <x v="0"/>
    <x v="3"/>
    <n v="1"/>
  </r>
  <r>
    <x v="0"/>
    <x v="1"/>
    <x v="2"/>
    <x v="5"/>
    <x v="16"/>
    <x v="0"/>
    <x v="5"/>
    <n v="4"/>
  </r>
  <r>
    <x v="0"/>
    <x v="1"/>
    <x v="2"/>
    <x v="5"/>
    <x v="16"/>
    <x v="0"/>
    <x v="2"/>
    <n v="1"/>
  </r>
  <r>
    <x v="0"/>
    <x v="1"/>
    <x v="2"/>
    <x v="5"/>
    <x v="16"/>
    <x v="0"/>
    <x v="13"/>
    <n v="2"/>
  </r>
  <r>
    <x v="0"/>
    <x v="1"/>
    <x v="2"/>
    <x v="5"/>
    <x v="14"/>
    <x v="0"/>
    <x v="5"/>
    <n v="10"/>
  </r>
  <r>
    <x v="0"/>
    <x v="1"/>
    <x v="2"/>
    <x v="6"/>
    <x v="12"/>
    <x v="0"/>
    <x v="19"/>
    <n v="2"/>
  </r>
  <r>
    <x v="0"/>
    <x v="1"/>
    <x v="2"/>
    <x v="6"/>
    <x v="15"/>
    <x v="0"/>
    <x v="18"/>
    <n v="1"/>
  </r>
  <r>
    <x v="0"/>
    <x v="1"/>
    <x v="2"/>
    <x v="6"/>
    <x v="6"/>
    <x v="0"/>
    <x v="0"/>
    <n v="1"/>
  </r>
  <r>
    <x v="0"/>
    <x v="1"/>
    <x v="2"/>
    <x v="6"/>
    <x v="18"/>
    <x v="0"/>
    <x v="3"/>
    <n v="13"/>
  </r>
  <r>
    <x v="0"/>
    <x v="1"/>
    <x v="2"/>
    <x v="6"/>
    <x v="18"/>
    <x v="0"/>
    <x v="4"/>
    <n v="8"/>
  </r>
  <r>
    <x v="0"/>
    <x v="1"/>
    <x v="2"/>
    <x v="6"/>
    <x v="18"/>
    <x v="0"/>
    <x v="5"/>
    <n v="6"/>
  </r>
  <r>
    <x v="0"/>
    <x v="1"/>
    <x v="2"/>
    <x v="6"/>
    <x v="18"/>
    <x v="0"/>
    <x v="2"/>
    <n v="3"/>
  </r>
  <r>
    <x v="0"/>
    <x v="1"/>
    <x v="2"/>
    <x v="6"/>
    <x v="18"/>
    <x v="0"/>
    <x v="13"/>
    <n v="2"/>
  </r>
  <r>
    <x v="0"/>
    <x v="1"/>
    <x v="2"/>
    <x v="6"/>
    <x v="18"/>
    <x v="0"/>
    <x v="11"/>
    <n v="3"/>
  </r>
  <r>
    <x v="0"/>
    <x v="1"/>
    <x v="2"/>
    <x v="9"/>
    <x v="14"/>
    <x v="0"/>
    <x v="14"/>
    <n v="2"/>
  </r>
  <r>
    <x v="0"/>
    <x v="1"/>
    <x v="2"/>
    <x v="9"/>
    <x v="8"/>
    <x v="0"/>
    <x v="2"/>
    <n v="3"/>
  </r>
  <r>
    <x v="0"/>
    <x v="1"/>
    <x v="2"/>
    <x v="9"/>
    <x v="8"/>
    <x v="0"/>
    <x v="14"/>
    <n v="1"/>
  </r>
  <r>
    <x v="0"/>
    <x v="1"/>
    <x v="2"/>
    <x v="9"/>
    <x v="9"/>
    <x v="0"/>
    <x v="13"/>
    <n v="1"/>
  </r>
  <r>
    <x v="0"/>
    <x v="1"/>
    <x v="2"/>
    <x v="9"/>
    <x v="11"/>
    <x v="0"/>
    <x v="17"/>
    <n v="2"/>
  </r>
  <r>
    <x v="0"/>
    <x v="1"/>
    <x v="2"/>
    <x v="9"/>
    <x v="11"/>
    <x v="0"/>
    <x v="19"/>
    <n v="1"/>
  </r>
  <r>
    <x v="0"/>
    <x v="1"/>
    <x v="2"/>
    <x v="7"/>
    <x v="13"/>
    <x v="8"/>
    <x v="12"/>
    <n v="2"/>
  </r>
  <r>
    <x v="0"/>
    <x v="1"/>
    <x v="2"/>
    <x v="7"/>
    <x v="6"/>
    <x v="0"/>
    <x v="9"/>
    <n v="2"/>
  </r>
  <r>
    <x v="0"/>
    <x v="1"/>
    <x v="2"/>
    <x v="7"/>
    <x v="11"/>
    <x v="0"/>
    <x v="19"/>
    <n v="1"/>
  </r>
  <r>
    <x v="0"/>
    <x v="1"/>
    <x v="2"/>
    <x v="8"/>
    <x v="16"/>
    <x v="0"/>
    <x v="1"/>
    <n v="1"/>
  </r>
  <r>
    <x v="0"/>
    <x v="1"/>
    <x v="2"/>
    <x v="8"/>
    <x v="11"/>
    <x v="8"/>
    <x v="12"/>
    <n v="1"/>
  </r>
  <r>
    <x v="0"/>
    <x v="1"/>
    <x v="2"/>
    <x v="8"/>
    <x v="11"/>
    <x v="8"/>
    <x v="9"/>
    <n v="2"/>
  </r>
  <r>
    <x v="0"/>
    <x v="1"/>
    <x v="2"/>
    <x v="8"/>
    <x v="11"/>
    <x v="8"/>
    <x v="3"/>
    <n v="1"/>
  </r>
  <r>
    <x v="0"/>
    <x v="1"/>
    <x v="2"/>
    <x v="8"/>
    <x v="11"/>
    <x v="8"/>
    <x v="4"/>
    <n v="1"/>
  </r>
  <r>
    <x v="0"/>
    <x v="1"/>
    <x v="2"/>
    <x v="10"/>
    <x v="15"/>
    <x v="0"/>
    <x v="14"/>
    <n v="1"/>
  </r>
  <r>
    <x v="0"/>
    <x v="1"/>
    <x v="2"/>
    <x v="10"/>
    <x v="3"/>
    <x v="0"/>
    <x v="4"/>
    <n v="2"/>
  </r>
  <r>
    <x v="0"/>
    <x v="1"/>
    <x v="2"/>
    <x v="10"/>
    <x v="3"/>
    <x v="0"/>
    <x v="5"/>
    <n v="2"/>
  </r>
  <r>
    <x v="0"/>
    <x v="1"/>
    <x v="2"/>
    <x v="10"/>
    <x v="3"/>
    <x v="0"/>
    <x v="13"/>
    <n v="4"/>
  </r>
  <r>
    <x v="0"/>
    <x v="1"/>
    <x v="2"/>
    <x v="10"/>
    <x v="11"/>
    <x v="0"/>
    <x v="11"/>
    <n v="1"/>
  </r>
  <r>
    <x v="0"/>
    <x v="1"/>
    <x v="2"/>
    <x v="10"/>
    <x v="11"/>
    <x v="0"/>
    <x v="17"/>
    <n v="1"/>
  </r>
  <r>
    <x v="0"/>
    <x v="1"/>
    <x v="2"/>
    <x v="11"/>
    <x v="1"/>
    <x v="0"/>
    <x v="18"/>
    <n v="1"/>
  </r>
  <r>
    <x v="0"/>
    <x v="1"/>
    <x v="2"/>
    <x v="11"/>
    <x v="15"/>
    <x v="0"/>
    <x v="3"/>
    <n v="3"/>
  </r>
  <r>
    <x v="0"/>
    <x v="1"/>
    <x v="2"/>
    <x v="11"/>
    <x v="15"/>
    <x v="0"/>
    <x v="5"/>
    <n v="5"/>
  </r>
  <r>
    <x v="0"/>
    <x v="1"/>
    <x v="2"/>
    <x v="11"/>
    <x v="15"/>
    <x v="0"/>
    <x v="2"/>
    <n v="1"/>
  </r>
  <r>
    <x v="0"/>
    <x v="1"/>
    <x v="2"/>
    <x v="11"/>
    <x v="7"/>
    <x v="0"/>
    <x v="0"/>
    <n v="2"/>
  </r>
  <r>
    <x v="0"/>
    <x v="1"/>
    <x v="2"/>
    <x v="12"/>
    <x v="0"/>
    <x v="0"/>
    <x v="19"/>
    <n v="6"/>
  </r>
  <r>
    <x v="0"/>
    <x v="1"/>
    <x v="2"/>
    <x v="12"/>
    <x v="5"/>
    <x v="0"/>
    <x v="0"/>
    <n v="2"/>
  </r>
  <r>
    <x v="0"/>
    <x v="1"/>
    <x v="2"/>
    <x v="12"/>
    <x v="15"/>
    <x v="0"/>
    <x v="9"/>
    <n v="57"/>
  </r>
  <r>
    <x v="0"/>
    <x v="1"/>
    <x v="2"/>
    <x v="12"/>
    <x v="15"/>
    <x v="0"/>
    <x v="3"/>
    <n v="56"/>
  </r>
  <r>
    <x v="0"/>
    <x v="1"/>
    <x v="2"/>
    <x v="12"/>
    <x v="15"/>
    <x v="0"/>
    <x v="4"/>
    <n v="62"/>
  </r>
  <r>
    <x v="0"/>
    <x v="1"/>
    <x v="2"/>
    <x v="12"/>
    <x v="15"/>
    <x v="0"/>
    <x v="5"/>
    <n v="22"/>
  </r>
  <r>
    <x v="0"/>
    <x v="1"/>
    <x v="2"/>
    <x v="12"/>
    <x v="15"/>
    <x v="0"/>
    <x v="2"/>
    <n v="6"/>
  </r>
  <r>
    <x v="0"/>
    <x v="1"/>
    <x v="2"/>
    <x v="12"/>
    <x v="15"/>
    <x v="0"/>
    <x v="13"/>
    <n v="4"/>
  </r>
  <r>
    <x v="0"/>
    <x v="1"/>
    <x v="2"/>
    <x v="12"/>
    <x v="6"/>
    <x v="1"/>
    <x v="9"/>
    <n v="1"/>
  </r>
  <r>
    <x v="0"/>
    <x v="1"/>
    <x v="2"/>
    <x v="12"/>
    <x v="6"/>
    <x v="8"/>
    <x v="11"/>
    <n v="1"/>
  </r>
  <r>
    <x v="0"/>
    <x v="1"/>
    <x v="2"/>
    <x v="12"/>
    <x v="6"/>
    <x v="0"/>
    <x v="9"/>
    <n v="1"/>
  </r>
  <r>
    <x v="0"/>
    <x v="1"/>
    <x v="2"/>
    <x v="12"/>
    <x v="6"/>
    <x v="0"/>
    <x v="3"/>
    <n v="3"/>
  </r>
  <r>
    <x v="0"/>
    <x v="1"/>
    <x v="2"/>
    <x v="13"/>
    <x v="13"/>
    <x v="0"/>
    <x v="5"/>
    <n v="1"/>
  </r>
  <r>
    <x v="0"/>
    <x v="1"/>
    <x v="2"/>
    <x v="13"/>
    <x v="13"/>
    <x v="0"/>
    <x v="2"/>
    <n v="1"/>
  </r>
  <r>
    <x v="0"/>
    <x v="1"/>
    <x v="2"/>
    <x v="13"/>
    <x v="15"/>
    <x v="0"/>
    <x v="12"/>
    <n v="10"/>
  </r>
  <r>
    <x v="0"/>
    <x v="1"/>
    <x v="2"/>
    <x v="13"/>
    <x v="15"/>
    <x v="0"/>
    <x v="9"/>
    <n v="11"/>
  </r>
  <r>
    <x v="0"/>
    <x v="1"/>
    <x v="2"/>
    <x v="13"/>
    <x v="15"/>
    <x v="0"/>
    <x v="3"/>
    <n v="7"/>
  </r>
  <r>
    <x v="0"/>
    <x v="1"/>
    <x v="2"/>
    <x v="13"/>
    <x v="15"/>
    <x v="0"/>
    <x v="4"/>
    <n v="2"/>
  </r>
  <r>
    <x v="0"/>
    <x v="1"/>
    <x v="2"/>
    <x v="13"/>
    <x v="15"/>
    <x v="0"/>
    <x v="2"/>
    <n v="1"/>
  </r>
  <r>
    <x v="0"/>
    <x v="1"/>
    <x v="2"/>
    <x v="13"/>
    <x v="8"/>
    <x v="0"/>
    <x v="4"/>
    <n v="3"/>
  </r>
  <r>
    <x v="0"/>
    <x v="1"/>
    <x v="2"/>
    <x v="13"/>
    <x v="8"/>
    <x v="0"/>
    <x v="5"/>
    <n v="7"/>
  </r>
  <r>
    <x v="0"/>
    <x v="1"/>
    <x v="2"/>
    <x v="14"/>
    <x v="4"/>
    <x v="0"/>
    <x v="3"/>
    <n v="19"/>
  </r>
  <r>
    <x v="0"/>
    <x v="1"/>
    <x v="2"/>
    <x v="14"/>
    <x v="14"/>
    <x v="0"/>
    <x v="18"/>
    <n v="1"/>
  </r>
  <r>
    <x v="0"/>
    <x v="1"/>
    <x v="2"/>
    <x v="18"/>
    <x v="0"/>
    <x v="0"/>
    <x v="17"/>
    <n v="1"/>
  </r>
  <r>
    <x v="0"/>
    <x v="1"/>
    <x v="1"/>
    <x v="2"/>
    <x v="0"/>
    <x v="5"/>
    <x v="5"/>
    <n v="1"/>
  </r>
  <r>
    <x v="0"/>
    <x v="1"/>
    <x v="1"/>
    <x v="2"/>
    <x v="0"/>
    <x v="12"/>
    <x v="9"/>
    <n v="2"/>
  </r>
  <r>
    <x v="0"/>
    <x v="1"/>
    <x v="1"/>
    <x v="2"/>
    <x v="0"/>
    <x v="1"/>
    <x v="3"/>
    <n v="1"/>
  </r>
  <r>
    <x v="0"/>
    <x v="1"/>
    <x v="1"/>
    <x v="2"/>
    <x v="0"/>
    <x v="1"/>
    <x v="5"/>
    <n v="1"/>
  </r>
  <r>
    <x v="0"/>
    <x v="1"/>
    <x v="1"/>
    <x v="2"/>
    <x v="4"/>
    <x v="0"/>
    <x v="3"/>
    <n v="1"/>
  </r>
  <r>
    <x v="0"/>
    <x v="1"/>
    <x v="1"/>
    <x v="2"/>
    <x v="13"/>
    <x v="11"/>
    <x v="1"/>
    <n v="1"/>
  </r>
  <r>
    <x v="0"/>
    <x v="1"/>
    <x v="1"/>
    <x v="2"/>
    <x v="13"/>
    <x v="7"/>
    <x v="2"/>
    <n v="1"/>
  </r>
  <r>
    <x v="0"/>
    <x v="1"/>
    <x v="1"/>
    <x v="2"/>
    <x v="13"/>
    <x v="8"/>
    <x v="3"/>
    <n v="1"/>
  </r>
  <r>
    <x v="0"/>
    <x v="1"/>
    <x v="1"/>
    <x v="2"/>
    <x v="7"/>
    <x v="14"/>
    <x v="4"/>
    <n v="1"/>
  </r>
  <r>
    <x v="0"/>
    <x v="1"/>
    <x v="1"/>
    <x v="2"/>
    <x v="7"/>
    <x v="13"/>
    <x v="12"/>
    <n v="1"/>
  </r>
  <r>
    <x v="0"/>
    <x v="1"/>
    <x v="1"/>
    <x v="2"/>
    <x v="7"/>
    <x v="2"/>
    <x v="12"/>
    <n v="1"/>
  </r>
  <r>
    <x v="0"/>
    <x v="1"/>
    <x v="1"/>
    <x v="2"/>
    <x v="7"/>
    <x v="2"/>
    <x v="9"/>
    <n v="2"/>
  </r>
  <r>
    <x v="0"/>
    <x v="1"/>
    <x v="1"/>
    <x v="2"/>
    <x v="7"/>
    <x v="2"/>
    <x v="3"/>
    <n v="1"/>
  </r>
  <r>
    <x v="0"/>
    <x v="1"/>
    <x v="1"/>
    <x v="2"/>
    <x v="7"/>
    <x v="10"/>
    <x v="10"/>
    <n v="1"/>
  </r>
  <r>
    <x v="0"/>
    <x v="1"/>
    <x v="1"/>
    <x v="2"/>
    <x v="7"/>
    <x v="10"/>
    <x v="1"/>
    <n v="4"/>
  </r>
  <r>
    <x v="0"/>
    <x v="1"/>
    <x v="1"/>
    <x v="2"/>
    <x v="7"/>
    <x v="10"/>
    <x v="12"/>
    <n v="2"/>
  </r>
  <r>
    <x v="0"/>
    <x v="1"/>
    <x v="1"/>
    <x v="2"/>
    <x v="7"/>
    <x v="10"/>
    <x v="9"/>
    <n v="1"/>
  </r>
  <r>
    <x v="0"/>
    <x v="1"/>
    <x v="1"/>
    <x v="2"/>
    <x v="7"/>
    <x v="3"/>
    <x v="12"/>
    <n v="3"/>
  </r>
  <r>
    <x v="0"/>
    <x v="1"/>
    <x v="1"/>
    <x v="2"/>
    <x v="7"/>
    <x v="4"/>
    <x v="10"/>
    <n v="1"/>
  </r>
  <r>
    <x v="0"/>
    <x v="1"/>
    <x v="1"/>
    <x v="2"/>
    <x v="7"/>
    <x v="5"/>
    <x v="1"/>
    <n v="2"/>
  </r>
  <r>
    <x v="0"/>
    <x v="1"/>
    <x v="1"/>
    <x v="2"/>
    <x v="7"/>
    <x v="11"/>
    <x v="1"/>
    <n v="1"/>
  </r>
  <r>
    <x v="0"/>
    <x v="1"/>
    <x v="1"/>
    <x v="2"/>
    <x v="7"/>
    <x v="7"/>
    <x v="12"/>
    <n v="2"/>
  </r>
  <r>
    <x v="0"/>
    <x v="1"/>
    <x v="1"/>
    <x v="3"/>
    <x v="5"/>
    <x v="2"/>
    <x v="12"/>
    <n v="1"/>
  </r>
  <r>
    <x v="0"/>
    <x v="1"/>
    <x v="1"/>
    <x v="3"/>
    <x v="5"/>
    <x v="3"/>
    <x v="3"/>
    <n v="1"/>
  </r>
  <r>
    <x v="0"/>
    <x v="1"/>
    <x v="1"/>
    <x v="3"/>
    <x v="5"/>
    <x v="4"/>
    <x v="9"/>
    <n v="1"/>
  </r>
  <r>
    <x v="0"/>
    <x v="1"/>
    <x v="1"/>
    <x v="3"/>
    <x v="5"/>
    <x v="4"/>
    <x v="3"/>
    <n v="1"/>
  </r>
  <r>
    <x v="0"/>
    <x v="1"/>
    <x v="1"/>
    <x v="3"/>
    <x v="5"/>
    <x v="4"/>
    <x v="4"/>
    <n v="1"/>
  </r>
  <r>
    <x v="0"/>
    <x v="1"/>
    <x v="1"/>
    <x v="3"/>
    <x v="5"/>
    <x v="5"/>
    <x v="9"/>
    <n v="2"/>
  </r>
  <r>
    <x v="0"/>
    <x v="1"/>
    <x v="1"/>
    <x v="3"/>
    <x v="5"/>
    <x v="11"/>
    <x v="12"/>
    <n v="2"/>
  </r>
  <r>
    <x v="0"/>
    <x v="1"/>
    <x v="1"/>
    <x v="3"/>
    <x v="5"/>
    <x v="11"/>
    <x v="9"/>
    <n v="1"/>
  </r>
  <r>
    <x v="0"/>
    <x v="1"/>
    <x v="1"/>
    <x v="3"/>
    <x v="5"/>
    <x v="7"/>
    <x v="4"/>
    <n v="2"/>
  </r>
  <r>
    <x v="0"/>
    <x v="1"/>
    <x v="1"/>
    <x v="3"/>
    <x v="5"/>
    <x v="8"/>
    <x v="5"/>
    <n v="1"/>
  </r>
  <r>
    <x v="0"/>
    <x v="1"/>
    <x v="1"/>
    <x v="3"/>
    <x v="8"/>
    <x v="19"/>
    <x v="14"/>
    <n v="1"/>
  </r>
  <r>
    <x v="0"/>
    <x v="1"/>
    <x v="1"/>
    <x v="3"/>
    <x v="8"/>
    <x v="19"/>
    <x v="17"/>
    <n v="4"/>
  </r>
  <r>
    <x v="0"/>
    <x v="1"/>
    <x v="1"/>
    <x v="3"/>
    <x v="8"/>
    <x v="19"/>
    <x v="19"/>
    <n v="1"/>
  </r>
  <r>
    <x v="0"/>
    <x v="1"/>
    <x v="1"/>
    <x v="3"/>
    <x v="7"/>
    <x v="0"/>
    <x v="3"/>
    <n v="1"/>
  </r>
  <r>
    <x v="0"/>
    <x v="1"/>
    <x v="1"/>
    <x v="4"/>
    <x v="8"/>
    <x v="14"/>
    <x v="9"/>
    <n v="1"/>
  </r>
  <r>
    <x v="0"/>
    <x v="1"/>
    <x v="1"/>
    <x v="4"/>
    <x v="8"/>
    <x v="2"/>
    <x v="10"/>
    <n v="1"/>
  </r>
  <r>
    <x v="0"/>
    <x v="1"/>
    <x v="1"/>
    <x v="4"/>
    <x v="8"/>
    <x v="2"/>
    <x v="1"/>
    <n v="1"/>
  </r>
  <r>
    <x v="0"/>
    <x v="1"/>
    <x v="1"/>
    <x v="4"/>
    <x v="8"/>
    <x v="10"/>
    <x v="10"/>
    <n v="4"/>
  </r>
  <r>
    <x v="0"/>
    <x v="1"/>
    <x v="1"/>
    <x v="4"/>
    <x v="8"/>
    <x v="10"/>
    <x v="1"/>
    <n v="1"/>
  </r>
  <r>
    <x v="0"/>
    <x v="1"/>
    <x v="1"/>
    <x v="4"/>
    <x v="8"/>
    <x v="3"/>
    <x v="10"/>
    <n v="1"/>
  </r>
  <r>
    <x v="0"/>
    <x v="1"/>
    <x v="1"/>
    <x v="4"/>
    <x v="8"/>
    <x v="4"/>
    <x v="10"/>
    <n v="2"/>
  </r>
  <r>
    <x v="0"/>
    <x v="1"/>
    <x v="1"/>
    <x v="4"/>
    <x v="18"/>
    <x v="2"/>
    <x v="18"/>
    <n v="1"/>
  </r>
  <r>
    <x v="0"/>
    <x v="1"/>
    <x v="1"/>
    <x v="4"/>
    <x v="18"/>
    <x v="12"/>
    <x v="13"/>
    <n v="1"/>
  </r>
  <r>
    <x v="0"/>
    <x v="1"/>
    <x v="1"/>
    <x v="4"/>
    <x v="19"/>
    <x v="6"/>
    <x v="3"/>
    <n v="1"/>
  </r>
  <r>
    <x v="0"/>
    <x v="1"/>
    <x v="1"/>
    <x v="4"/>
    <x v="19"/>
    <x v="9"/>
    <x v="3"/>
    <n v="1"/>
  </r>
  <r>
    <x v="0"/>
    <x v="1"/>
    <x v="1"/>
    <x v="5"/>
    <x v="8"/>
    <x v="5"/>
    <x v="14"/>
    <n v="1"/>
  </r>
  <r>
    <x v="0"/>
    <x v="1"/>
    <x v="1"/>
    <x v="5"/>
    <x v="8"/>
    <x v="5"/>
    <x v="17"/>
    <n v="1"/>
  </r>
  <r>
    <x v="0"/>
    <x v="1"/>
    <x v="1"/>
    <x v="5"/>
    <x v="8"/>
    <x v="5"/>
    <x v="19"/>
    <n v="1"/>
  </r>
  <r>
    <x v="0"/>
    <x v="1"/>
    <x v="1"/>
    <x v="5"/>
    <x v="8"/>
    <x v="9"/>
    <x v="11"/>
    <n v="2"/>
  </r>
  <r>
    <x v="0"/>
    <x v="1"/>
    <x v="1"/>
    <x v="5"/>
    <x v="6"/>
    <x v="3"/>
    <x v="19"/>
    <n v="1"/>
  </r>
  <r>
    <x v="0"/>
    <x v="1"/>
    <x v="1"/>
    <x v="5"/>
    <x v="6"/>
    <x v="7"/>
    <x v="19"/>
    <n v="1"/>
  </r>
  <r>
    <x v="0"/>
    <x v="1"/>
    <x v="1"/>
    <x v="5"/>
    <x v="10"/>
    <x v="5"/>
    <x v="9"/>
    <n v="1"/>
  </r>
  <r>
    <x v="0"/>
    <x v="1"/>
    <x v="1"/>
    <x v="5"/>
    <x v="10"/>
    <x v="11"/>
    <x v="12"/>
    <n v="3"/>
  </r>
  <r>
    <x v="0"/>
    <x v="1"/>
    <x v="1"/>
    <x v="5"/>
    <x v="10"/>
    <x v="11"/>
    <x v="9"/>
    <n v="1"/>
  </r>
  <r>
    <x v="0"/>
    <x v="1"/>
    <x v="1"/>
    <x v="5"/>
    <x v="10"/>
    <x v="11"/>
    <x v="3"/>
    <n v="1"/>
  </r>
  <r>
    <x v="0"/>
    <x v="1"/>
    <x v="1"/>
    <x v="5"/>
    <x v="10"/>
    <x v="6"/>
    <x v="12"/>
    <n v="1"/>
  </r>
  <r>
    <x v="0"/>
    <x v="1"/>
    <x v="1"/>
    <x v="5"/>
    <x v="10"/>
    <x v="9"/>
    <x v="12"/>
    <n v="1"/>
  </r>
  <r>
    <x v="0"/>
    <x v="1"/>
    <x v="1"/>
    <x v="5"/>
    <x v="10"/>
    <x v="9"/>
    <x v="9"/>
    <n v="1"/>
  </r>
  <r>
    <x v="0"/>
    <x v="1"/>
    <x v="1"/>
    <x v="5"/>
    <x v="10"/>
    <x v="9"/>
    <x v="3"/>
    <n v="1"/>
  </r>
  <r>
    <x v="0"/>
    <x v="1"/>
    <x v="1"/>
    <x v="5"/>
    <x v="18"/>
    <x v="14"/>
    <x v="3"/>
    <n v="1"/>
  </r>
  <r>
    <x v="0"/>
    <x v="1"/>
    <x v="1"/>
    <x v="6"/>
    <x v="8"/>
    <x v="17"/>
    <x v="12"/>
    <n v="18"/>
  </r>
  <r>
    <x v="0"/>
    <x v="1"/>
    <x v="1"/>
    <x v="6"/>
    <x v="8"/>
    <x v="18"/>
    <x v="2"/>
    <n v="5"/>
  </r>
  <r>
    <x v="0"/>
    <x v="1"/>
    <x v="1"/>
    <x v="6"/>
    <x v="8"/>
    <x v="18"/>
    <x v="14"/>
    <n v="1"/>
  </r>
  <r>
    <x v="0"/>
    <x v="1"/>
    <x v="1"/>
    <x v="6"/>
    <x v="8"/>
    <x v="19"/>
    <x v="9"/>
    <n v="17"/>
  </r>
  <r>
    <x v="0"/>
    <x v="1"/>
    <x v="1"/>
    <x v="6"/>
    <x v="8"/>
    <x v="19"/>
    <x v="3"/>
    <n v="29"/>
  </r>
  <r>
    <x v="0"/>
    <x v="1"/>
    <x v="1"/>
    <x v="6"/>
    <x v="8"/>
    <x v="19"/>
    <x v="4"/>
    <n v="16"/>
  </r>
  <r>
    <x v="0"/>
    <x v="1"/>
    <x v="1"/>
    <x v="6"/>
    <x v="8"/>
    <x v="19"/>
    <x v="5"/>
    <n v="6"/>
  </r>
  <r>
    <x v="0"/>
    <x v="1"/>
    <x v="1"/>
    <x v="6"/>
    <x v="8"/>
    <x v="19"/>
    <x v="2"/>
    <n v="3"/>
  </r>
  <r>
    <x v="0"/>
    <x v="1"/>
    <x v="1"/>
    <x v="6"/>
    <x v="8"/>
    <x v="19"/>
    <x v="11"/>
    <n v="2"/>
  </r>
  <r>
    <x v="0"/>
    <x v="1"/>
    <x v="1"/>
    <x v="6"/>
    <x v="8"/>
    <x v="16"/>
    <x v="12"/>
    <n v="6"/>
  </r>
  <r>
    <x v="0"/>
    <x v="1"/>
    <x v="2"/>
    <x v="18"/>
    <x v="2"/>
    <x v="0"/>
    <x v="2"/>
    <n v="1"/>
  </r>
  <r>
    <x v="0"/>
    <x v="1"/>
    <x v="2"/>
    <x v="18"/>
    <x v="8"/>
    <x v="8"/>
    <x v="19"/>
    <n v="1"/>
  </r>
  <r>
    <x v="0"/>
    <x v="1"/>
    <x v="2"/>
    <x v="18"/>
    <x v="8"/>
    <x v="0"/>
    <x v="12"/>
    <n v="5"/>
  </r>
  <r>
    <x v="0"/>
    <x v="1"/>
    <x v="2"/>
    <x v="18"/>
    <x v="8"/>
    <x v="0"/>
    <x v="9"/>
    <n v="5"/>
  </r>
  <r>
    <x v="0"/>
    <x v="1"/>
    <x v="2"/>
    <x v="15"/>
    <x v="12"/>
    <x v="0"/>
    <x v="0"/>
    <n v="1"/>
  </r>
  <r>
    <x v="0"/>
    <x v="1"/>
    <x v="2"/>
    <x v="15"/>
    <x v="16"/>
    <x v="0"/>
    <x v="14"/>
    <n v="1"/>
  </r>
  <r>
    <x v="0"/>
    <x v="1"/>
    <x v="2"/>
    <x v="15"/>
    <x v="16"/>
    <x v="0"/>
    <x v="19"/>
    <n v="1"/>
  </r>
  <r>
    <x v="0"/>
    <x v="1"/>
    <x v="2"/>
    <x v="15"/>
    <x v="1"/>
    <x v="0"/>
    <x v="1"/>
    <n v="1"/>
  </r>
  <r>
    <x v="0"/>
    <x v="1"/>
    <x v="2"/>
    <x v="15"/>
    <x v="5"/>
    <x v="0"/>
    <x v="17"/>
    <n v="2"/>
  </r>
  <r>
    <x v="0"/>
    <x v="1"/>
    <x v="2"/>
    <x v="15"/>
    <x v="3"/>
    <x v="0"/>
    <x v="13"/>
    <n v="3"/>
  </r>
  <r>
    <x v="0"/>
    <x v="1"/>
    <x v="2"/>
    <x v="15"/>
    <x v="11"/>
    <x v="8"/>
    <x v="4"/>
    <n v="2"/>
  </r>
  <r>
    <x v="0"/>
    <x v="1"/>
    <x v="2"/>
    <x v="15"/>
    <x v="11"/>
    <x v="8"/>
    <x v="5"/>
    <n v="1"/>
  </r>
  <r>
    <x v="0"/>
    <x v="1"/>
    <x v="2"/>
    <x v="16"/>
    <x v="14"/>
    <x v="0"/>
    <x v="12"/>
    <n v="1"/>
  </r>
  <r>
    <x v="0"/>
    <x v="1"/>
    <x v="2"/>
    <x v="16"/>
    <x v="14"/>
    <x v="0"/>
    <x v="9"/>
    <n v="8"/>
  </r>
  <r>
    <x v="0"/>
    <x v="1"/>
    <x v="2"/>
    <x v="16"/>
    <x v="14"/>
    <x v="0"/>
    <x v="3"/>
    <n v="3"/>
  </r>
  <r>
    <x v="0"/>
    <x v="1"/>
    <x v="2"/>
    <x v="16"/>
    <x v="14"/>
    <x v="0"/>
    <x v="4"/>
    <n v="4"/>
  </r>
  <r>
    <x v="0"/>
    <x v="1"/>
    <x v="2"/>
    <x v="16"/>
    <x v="14"/>
    <x v="0"/>
    <x v="0"/>
    <n v="1"/>
  </r>
  <r>
    <x v="0"/>
    <x v="1"/>
    <x v="2"/>
    <x v="16"/>
    <x v="17"/>
    <x v="0"/>
    <x v="19"/>
    <n v="1"/>
  </r>
  <r>
    <x v="0"/>
    <x v="1"/>
    <x v="2"/>
    <x v="17"/>
    <x v="14"/>
    <x v="0"/>
    <x v="14"/>
    <n v="1"/>
  </r>
  <r>
    <x v="0"/>
    <x v="1"/>
    <x v="2"/>
    <x v="17"/>
    <x v="14"/>
    <x v="0"/>
    <x v="17"/>
    <n v="1"/>
  </r>
  <r>
    <x v="0"/>
    <x v="1"/>
    <x v="2"/>
    <x v="17"/>
    <x v="14"/>
    <x v="0"/>
    <x v="19"/>
    <n v="6"/>
  </r>
  <r>
    <x v="0"/>
    <x v="1"/>
    <x v="2"/>
    <x v="17"/>
    <x v="11"/>
    <x v="7"/>
    <x v="3"/>
    <n v="2"/>
  </r>
  <r>
    <x v="0"/>
    <x v="1"/>
    <x v="2"/>
    <x v="17"/>
    <x v="11"/>
    <x v="8"/>
    <x v="4"/>
    <n v="1"/>
  </r>
  <r>
    <x v="0"/>
    <x v="1"/>
    <x v="2"/>
    <x v="17"/>
    <x v="18"/>
    <x v="0"/>
    <x v="19"/>
    <n v="3"/>
  </r>
  <r>
    <x v="0"/>
    <x v="1"/>
    <x v="2"/>
    <x v="19"/>
    <x v="5"/>
    <x v="0"/>
    <x v="17"/>
    <n v="2"/>
  </r>
  <r>
    <x v="0"/>
    <x v="1"/>
    <x v="2"/>
    <x v="19"/>
    <x v="10"/>
    <x v="7"/>
    <x v="9"/>
    <n v="1"/>
  </r>
  <r>
    <x v="0"/>
    <x v="1"/>
    <x v="2"/>
    <x v="19"/>
    <x v="10"/>
    <x v="7"/>
    <x v="5"/>
    <n v="1"/>
  </r>
  <r>
    <x v="0"/>
    <x v="1"/>
    <x v="2"/>
    <x v="19"/>
    <x v="10"/>
    <x v="8"/>
    <x v="10"/>
    <n v="5"/>
  </r>
  <r>
    <x v="0"/>
    <x v="1"/>
    <x v="2"/>
    <x v="19"/>
    <x v="10"/>
    <x v="8"/>
    <x v="1"/>
    <n v="6"/>
  </r>
  <r>
    <x v="0"/>
    <x v="1"/>
    <x v="2"/>
    <x v="19"/>
    <x v="10"/>
    <x v="8"/>
    <x v="12"/>
    <n v="9"/>
  </r>
  <r>
    <x v="0"/>
    <x v="1"/>
    <x v="2"/>
    <x v="19"/>
    <x v="10"/>
    <x v="8"/>
    <x v="9"/>
    <n v="3"/>
  </r>
  <r>
    <x v="0"/>
    <x v="1"/>
    <x v="2"/>
    <x v="19"/>
    <x v="10"/>
    <x v="8"/>
    <x v="3"/>
    <n v="3"/>
  </r>
  <r>
    <x v="0"/>
    <x v="1"/>
    <x v="2"/>
    <x v="19"/>
    <x v="10"/>
    <x v="8"/>
    <x v="4"/>
    <n v="2"/>
  </r>
  <r>
    <x v="0"/>
    <x v="1"/>
    <x v="2"/>
    <x v="19"/>
    <x v="10"/>
    <x v="0"/>
    <x v="19"/>
    <n v="2"/>
  </r>
  <r>
    <x v="0"/>
    <x v="1"/>
    <x v="2"/>
    <x v="19"/>
    <x v="19"/>
    <x v="0"/>
    <x v="14"/>
    <n v="1"/>
  </r>
  <r>
    <x v="0"/>
    <x v="1"/>
    <x v="2"/>
    <x v="19"/>
    <x v="19"/>
    <x v="0"/>
    <x v="17"/>
    <n v="1"/>
  </r>
  <r>
    <x v="0"/>
    <x v="1"/>
    <x v="3"/>
    <x v="0"/>
    <x v="14"/>
    <x v="4"/>
    <x v="9"/>
    <n v="1"/>
  </r>
  <r>
    <x v="0"/>
    <x v="1"/>
    <x v="3"/>
    <x v="0"/>
    <x v="14"/>
    <x v="5"/>
    <x v="7"/>
    <n v="6"/>
  </r>
  <r>
    <x v="0"/>
    <x v="1"/>
    <x v="3"/>
    <x v="0"/>
    <x v="14"/>
    <x v="7"/>
    <x v="10"/>
    <n v="10"/>
  </r>
  <r>
    <x v="0"/>
    <x v="1"/>
    <x v="3"/>
    <x v="0"/>
    <x v="14"/>
    <x v="7"/>
    <x v="1"/>
    <n v="1"/>
  </r>
  <r>
    <x v="0"/>
    <x v="1"/>
    <x v="3"/>
    <x v="0"/>
    <x v="14"/>
    <x v="8"/>
    <x v="10"/>
    <n v="1"/>
  </r>
  <r>
    <x v="0"/>
    <x v="1"/>
    <x v="3"/>
    <x v="0"/>
    <x v="19"/>
    <x v="3"/>
    <x v="14"/>
    <n v="1"/>
  </r>
  <r>
    <x v="0"/>
    <x v="1"/>
    <x v="3"/>
    <x v="0"/>
    <x v="19"/>
    <x v="5"/>
    <x v="11"/>
    <n v="1"/>
  </r>
  <r>
    <x v="0"/>
    <x v="1"/>
    <x v="3"/>
    <x v="0"/>
    <x v="19"/>
    <x v="0"/>
    <x v="2"/>
    <n v="1"/>
  </r>
  <r>
    <x v="0"/>
    <x v="1"/>
    <x v="3"/>
    <x v="1"/>
    <x v="0"/>
    <x v="6"/>
    <x v="6"/>
    <n v="1"/>
  </r>
  <r>
    <x v="0"/>
    <x v="1"/>
    <x v="3"/>
    <x v="1"/>
    <x v="0"/>
    <x v="9"/>
    <x v="7"/>
    <n v="3"/>
  </r>
  <r>
    <x v="0"/>
    <x v="1"/>
    <x v="3"/>
    <x v="1"/>
    <x v="0"/>
    <x v="9"/>
    <x v="6"/>
    <n v="4"/>
  </r>
  <r>
    <x v="0"/>
    <x v="1"/>
    <x v="3"/>
    <x v="1"/>
    <x v="0"/>
    <x v="9"/>
    <x v="13"/>
    <n v="1"/>
  </r>
  <r>
    <x v="0"/>
    <x v="1"/>
    <x v="3"/>
    <x v="1"/>
    <x v="0"/>
    <x v="12"/>
    <x v="7"/>
    <n v="4"/>
  </r>
  <r>
    <x v="0"/>
    <x v="1"/>
    <x v="3"/>
    <x v="1"/>
    <x v="0"/>
    <x v="12"/>
    <x v="6"/>
    <n v="12"/>
  </r>
  <r>
    <x v="0"/>
    <x v="1"/>
    <x v="3"/>
    <x v="1"/>
    <x v="0"/>
    <x v="12"/>
    <x v="10"/>
    <n v="2"/>
  </r>
  <r>
    <x v="0"/>
    <x v="1"/>
    <x v="3"/>
    <x v="1"/>
    <x v="0"/>
    <x v="1"/>
    <x v="6"/>
    <n v="5"/>
  </r>
  <r>
    <x v="0"/>
    <x v="1"/>
    <x v="3"/>
    <x v="1"/>
    <x v="0"/>
    <x v="1"/>
    <x v="3"/>
    <n v="1"/>
  </r>
  <r>
    <x v="0"/>
    <x v="1"/>
    <x v="3"/>
    <x v="1"/>
    <x v="0"/>
    <x v="0"/>
    <x v="12"/>
    <n v="3"/>
  </r>
  <r>
    <x v="0"/>
    <x v="1"/>
    <x v="3"/>
    <x v="1"/>
    <x v="0"/>
    <x v="0"/>
    <x v="9"/>
    <n v="1"/>
  </r>
  <r>
    <x v="0"/>
    <x v="1"/>
    <x v="3"/>
    <x v="1"/>
    <x v="0"/>
    <x v="0"/>
    <x v="3"/>
    <n v="1"/>
  </r>
  <r>
    <x v="0"/>
    <x v="1"/>
    <x v="3"/>
    <x v="1"/>
    <x v="16"/>
    <x v="10"/>
    <x v="12"/>
    <n v="1"/>
  </r>
  <r>
    <x v="0"/>
    <x v="1"/>
    <x v="3"/>
    <x v="1"/>
    <x v="16"/>
    <x v="3"/>
    <x v="9"/>
    <n v="3"/>
  </r>
  <r>
    <x v="0"/>
    <x v="1"/>
    <x v="3"/>
    <x v="1"/>
    <x v="16"/>
    <x v="8"/>
    <x v="10"/>
    <n v="2"/>
  </r>
  <r>
    <x v="0"/>
    <x v="1"/>
    <x v="3"/>
    <x v="1"/>
    <x v="5"/>
    <x v="0"/>
    <x v="19"/>
    <n v="5"/>
  </r>
  <r>
    <x v="0"/>
    <x v="1"/>
    <x v="3"/>
    <x v="1"/>
    <x v="3"/>
    <x v="2"/>
    <x v="9"/>
    <n v="2"/>
  </r>
  <r>
    <x v="0"/>
    <x v="1"/>
    <x v="3"/>
    <x v="1"/>
    <x v="3"/>
    <x v="10"/>
    <x v="8"/>
    <n v="1"/>
  </r>
  <r>
    <x v="0"/>
    <x v="1"/>
    <x v="3"/>
    <x v="1"/>
    <x v="3"/>
    <x v="10"/>
    <x v="7"/>
    <n v="3"/>
  </r>
  <r>
    <x v="0"/>
    <x v="1"/>
    <x v="3"/>
    <x v="1"/>
    <x v="3"/>
    <x v="3"/>
    <x v="8"/>
    <n v="8"/>
  </r>
  <r>
    <x v="0"/>
    <x v="1"/>
    <x v="3"/>
    <x v="1"/>
    <x v="3"/>
    <x v="3"/>
    <x v="12"/>
    <n v="2"/>
  </r>
  <r>
    <x v="0"/>
    <x v="1"/>
    <x v="3"/>
    <x v="1"/>
    <x v="3"/>
    <x v="4"/>
    <x v="8"/>
    <n v="6"/>
  </r>
  <r>
    <x v="0"/>
    <x v="1"/>
    <x v="3"/>
    <x v="1"/>
    <x v="3"/>
    <x v="5"/>
    <x v="8"/>
    <n v="2"/>
  </r>
  <r>
    <x v="0"/>
    <x v="1"/>
    <x v="3"/>
    <x v="1"/>
    <x v="3"/>
    <x v="7"/>
    <x v="6"/>
    <n v="2"/>
  </r>
  <r>
    <x v="0"/>
    <x v="1"/>
    <x v="3"/>
    <x v="1"/>
    <x v="3"/>
    <x v="7"/>
    <x v="12"/>
    <n v="1"/>
  </r>
  <r>
    <x v="0"/>
    <x v="1"/>
    <x v="3"/>
    <x v="1"/>
    <x v="3"/>
    <x v="8"/>
    <x v="12"/>
    <n v="1"/>
  </r>
  <r>
    <x v="0"/>
    <x v="1"/>
    <x v="3"/>
    <x v="1"/>
    <x v="7"/>
    <x v="7"/>
    <x v="12"/>
    <n v="1"/>
  </r>
  <r>
    <x v="0"/>
    <x v="1"/>
    <x v="3"/>
    <x v="1"/>
    <x v="7"/>
    <x v="7"/>
    <x v="9"/>
    <n v="1"/>
  </r>
  <r>
    <x v="0"/>
    <x v="1"/>
    <x v="4"/>
    <x v="17"/>
    <x v="12"/>
    <x v="8"/>
    <x v="4"/>
    <n v="1"/>
  </r>
  <r>
    <x v="0"/>
    <x v="1"/>
    <x v="4"/>
    <x v="17"/>
    <x v="12"/>
    <x v="8"/>
    <x v="2"/>
    <n v="1"/>
  </r>
  <r>
    <x v="0"/>
    <x v="1"/>
    <x v="4"/>
    <x v="17"/>
    <x v="12"/>
    <x v="8"/>
    <x v="13"/>
    <n v="1"/>
  </r>
  <r>
    <x v="0"/>
    <x v="1"/>
    <x v="4"/>
    <x v="17"/>
    <x v="12"/>
    <x v="8"/>
    <x v="14"/>
    <n v="1"/>
  </r>
  <r>
    <x v="0"/>
    <x v="1"/>
    <x v="4"/>
    <x v="17"/>
    <x v="12"/>
    <x v="0"/>
    <x v="0"/>
    <n v="2"/>
  </r>
  <r>
    <x v="0"/>
    <x v="1"/>
    <x v="4"/>
    <x v="17"/>
    <x v="13"/>
    <x v="0"/>
    <x v="0"/>
    <n v="1"/>
  </r>
  <r>
    <x v="0"/>
    <x v="1"/>
    <x v="4"/>
    <x v="17"/>
    <x v="13"/>
    <x v="0"/>
    <x v="18"/>
    <n v="1"/>
  </r>
  <r>
    <x v="0"/>
    <x v="1"/>
    <x v="4"/>
    <x v="19"/>
    <x v="14"/>
    <x v="11"/>
    <x v="19"/>
    <n v="2"/>
  </r>
  <r>
    <x v="0"/>
    <x v="1"/>
    <x v="4"/>
    <x v="19"/>
    <x v="14"/>
    <x v="6"/>
    <x v="19"/>
    <n v="1"/>
  </r>
  <r>
    <x v="0"/>
    <x v="1"/>
    <x v="4"/>
    <x v="19"/>
    <x v="6"/>
    <x v="0"/>
    <x v="3"/>
    <n v="1"/>
  </r>
  <r>
    <x v="0"/>
    <x v="1"/>
    <x v="4"/>
    <x v="19"/>
    <x v="17"/>
    <x v="0"/>
    <x v="1"/>
    <n v="1"/>
  </r>
  <r>
    <x v="0"/>
    <x v="1"/>
    <x v="5"/>
    <x v="0"/>
    <x v="19"/>
    <x v="6"/>
    <x v="18"/>
    <n v="2"/>
  </r>
  <r>
    <x v="0"/>
    <x v="1"/>
    <x v="5"/>
    <x v="1"/>
    <x v="3"/>
    <x v="4"/>
    <x v="0"/>
    <n v="1"/>
  </r>
  <r>
    <x v="0"/>
    <x v="1"/>
    <x v="5"/>
    <x v="2"/>
    <x v="0"/>
    <x v="0"/>
    <x v="0"/>
    <n v="1"/>
  </r>
  <r>
    <x v="0"/>
    <x v="1"/>
    <x v="5"/>
    <x v="3"/>
    <x v="0"/>
    <x v="0"/>
    <x v="17"/>
    <n v="1"/>
  </r>
  <r>
    <x v="0"/>
    <x v="1"/>
    <x v="5"/>
    <x v="4"/>
    <x v="8"/>
    <x v="10"/>
    <x v="13"/>
    <n v="2"/>
  </r>
  <r>
    <x v="0"/>
    <x v="1"/>
    <x v="5"/>
    <x v="4"/>
    <x v="8"/>
    <x v="3"/>
    <x v="2"/>
    <n v="1"/>
  </r>
  <r>
    <x v="0"/>
    <x v="1"/>
    <x v="5"/>
    <x v="4"/>
    <x v="8"/>
    <x v="4"/>
    <x v="13"/>
    <n v="1"/>
  </r>
  <r>
    <x v="0"/>
    <x v="1"/>
    <x v="5"/>
    <x v="4"/>
    <x v="18"/>
    <x v="11"/>
    <x v="19"/>
    <n v="1"/>
  </r>
  <r>
    <x v="0"/>
    <x v="1"/>
    <x v="5"/>
    <x v="5"/>
    <x v="8"/>
    <x v="13"/>
    <x v="19"/>
    <n v="3"/>
  </r>
  <r>
    <x v="0"/>
    <x v="1"/>
    <x v="5"/>
    <x v="5"/>
    <x v="8"/>
    <x v="2"/>
    <x v="17"/>
    <n v="1"/>
  </r>
  <r>
    <x v="0"/>
    <x v="1"/>
    <x v="5"/>
    <x v="5"/>
    <x v="8"/>
    <x v="2"/>
    <x v="19"/>
    <n v="4"/>
  </r>
  <r>
    <x v="0"/>
    <x v="1"/>
    <x v="5"/>
    <x v="5"/>
    <x v="8"/>
    <x v="10"/>
    <x v="17"/>
    <n v="1"/>
  </r>
  <r>
    <x v="0"/>
    <x v="1"/>
    <x v="5"/>
    <x v="5"/>
    <x v="8"/>
    <x v="10"/>
    <x v="19"/>
    <n v="2"/>
  </r>
  <r>
    <x v="0"/>
    <x v="1"/>
    <x v="5"/>
    <x v="5"/>
    <x v="8"/>
    <x v="4"/>
    <x v="14"/>
    <n v="1"/>
  </r>
  <r>
    <x v="0"/>
    <x v="1"/>
    <x v="5"/>
    <x v="5"/>
    <x v="8"/>
    <x v="8"/>
    <x v="19"/>
    <n v="4"/>
  </r>
  <r>
    <x v="0"/>
    <x v="1"/>
    <x v="5"/>
    <x v="5"/>
    <x v="6"/>
    <x v="17"/>
    <x v="19"/>
    <n v="1"/>
  </r>
  <r>
    <x v="0"/>
    <x v="1"/>
    <x v="5"/>
    <x v="5"/>
    <x v="6"/>
    <x v="15"/>
    <x v="19"/>
    <n v="7"/>
  </r>
  <r>
    <x v="0"/>
    <x v="1"/>
    <x v="5"/>
    <x v="5"/>
    <x v="6"/>
    <x v="14"/>
    <x v="19"/>
    <n v="3"/>
  </r>
  <r>
    <x v="0"/>
    <x v="1"/>
    <x v="5"/>
    <x v="5"/>
    <x v="6"/>
    <x v="13"/>
    <x v="17"/>
    <n v="2"/>
  </r>
  <r>
    <x v="0"/>
    <x v="1"/>
    <x v="5"/>
    <x v="5"/>
    <x v="6"/>
    <x v="13"/>
    <x v="19"/>
    <n v="3"/>
  </r>
  <r>
    <x v="0"/>
    <x v="1"/>
    <x v="5"/>
    <x v="8"/>
    <x v="13"/>
    <x v="16"/>
    <x v="0"/>
    <n v="1"/>
  </r>
  <r>
    <x v="0"/>
    <x v="1"/>
    <x v="5"/>
    <x v="8"/>
    <x v="13"/>
    <x v="16"/>
    <x v="19"/>
    <n v="6"/>
  </r>
  <r>
    <x v="0"/>
    <x v="1"/>
    <x v="5"/>
    <x v="8"/>
    <x v="13"/>
    <x v="15"/>
    <x v="14"/>
    <n v="4"/>
  </r>
  <r>
    <x v="0"/>
    <x v="1"/>
    <x v="5"/>
    <x v="8"/>
    <x v="13"/>
    <x v="15"/>
    <x v="17"/>
    <n v="5"/>
  </r>
  <r>
    <x v="0"/>
    <x v="1"/>
    <x v="5"/>
    <x v="8"/>
    <x v="13"/>
    <x v="15"/>
    <x v="19"/>
    <n v="9"/>
  </r>
  <r>
    <x v="0"/>
    <x v="1"/>
    <x v="5"/>
    <x v="8"/>
    <x v="13"/>
    <x v="14"/>
    <x v="13"/>
    <n v="1"/>
  </r>
  <r>
    <x v="0"/>
    <x v="1"/>
    <x v="5"/>
    <x v="8"/>
    <x v="13"/>
    <x v="14"/>
    <x v="11"/>
    <n v="2"/>
  </r>
  <r>
    <x v="0"/>
    <x v="1"/>
    <x v="5"/>
    <x v="8"/>
    <x v="13"/>
    <x v="14"/>
    <x v="14"/>
    <n v="3"/>
  </r>
  <r>
    <x v="0"/>
    <x v="1"/>
    <x v="5"/>
    <x v="8"/>
    <x v="13"/>
    <x v="14"/>
    <x v="17"/>
    <n v="6"/>
  </r>
  <r>
    <x v="0"/>
    <x v="1"/>
    <x v="5"/>
    <x v="8"/>
    <x v="13"/>
    <x v="14"/>
    <x v="19"/>
    <n v="40"/>
  </r>
  <r>
    <x v="0"/>
    <x v="1"/>
    <x v="5"/>
    <x v="8"/>
    <x v="13"/>
    <x v="13"/>
    <x v="2"/>
    <n v="3"/>
  </r>
  <r>
    <x v="0"/>
    <x v="1"/>
    <x v="5"/>
    <x v="8"/>
    <x v="13"/>
    <x v="13"/>
    <x v="13"/>
    <n v="2"/>
  </r>
  <r>
    <x v="0"/>
    <x v="1"/>
    <x v="5"/>
    <x v="8"/>
    <x v="13"/>
    <x v="13"/>
    <x v="11"/>
    <n v="4"/>
  </r>
  <r>
    <x v="0"/>
    <x v="1"/>
    <x v="5"/>
    <x v="8"/>
    <x v="13"/>
    <x v="13"/>
    <x v="14"/>
    <n v="6"/>
  </r>
  <r>
    <x v="0"/>
    <x v="1"/>
    <x v="5"/>
    <x v="8"/>
    <x v="13"/>
    <x v="13"/>
    <x v="17"/>
    <n v="3"/>
  </r>
  <r>
    <x v="0"/>
    <x v="1"/>
    <x v="5"/>
    <x v="8"/>
    <x v="13"/>
    <x v="13"/>
    <x v="19"/>
    <n v="43"/>
  </r>
  <r>
    <x v="0"/>
    <x v="1"/>
    <x v="5"/>
    <x v="8"/>
    <x v="13"/>
    <x v="2"/>
    <x v="5"/>
    <n v="1"/>
  </r>
  <r>
    <x v="0"/>
    <x v="1"/>
    <x v="5"/>
    <x v="8"/>
    <x v="13"/>
    <x v="2"/>
    <x v="2"/>
    <n v="3"/>
  </r>
  <r>
    <x v="0"/>
    <x v="1"/>
    <x v="5"/>
    <x v="8"/>
    <x v="13"/>
    <x v="2"/>
    <x v="13"/>
    <n v="4"/>
  </r>
  <r>
    <x v="0"/>
    <x v="1"/>
    <x v="5"/>
    <x v="8"/>
    <x v="13"/>
    <x v="2"/>
    <x v="11"/>
    <n v="7"/>
  </r>
  <r>
    <x v="0"/>
    <x v="1"/>
    <x v="5"/>
    <x v="8"/>
    <x v="13"/>
    <x v="10"/>
    <x v="2"/>
    <n v="2"/>
  </r>
  <r>
    <x v="0"/>
    <x v="1"/>
    <x v="5"/>
    <x v="8"/>
    <x v="13"/>
    <x v="10"/>
    <x v="13"/>
    <n v="4"/>
  </r>
  <r>
    <x v="0"/>
    <x v="1"/>
    <x v="5"/>
    <x v="8"/>
    <x v="13"/>
    <x v="3"/>
    <x v="2"/>
    <n v="1"/>
  </r>
  <r>
    <x v="0"/>
    <x v="1"/>
    <x v="5"/>
    <x v="8"/>
    <x v="13"/>
    <x v="11"/>
    <x v="18"/>
    <n v="1"/>
  </r>
  <r>
    <x v="0"/>
    <x v="1"/>
    <x v="5"/>
    <x v="8"/>
    <x v="13"/>
    <x v="6"/>
    <x v="0"/>
    <n v="1"/>
  </r>
  <r>
    <x v="0"/>
    <x v="1"/>
    <x v="5"/>
    <x v="8"/>
    <x v="13"/>
    <x v="6"/>
    <x v="18"/>
    <n v="2"/>
  </r>
  <r>
    <x v="0"/>
    <x v="1"/>
    <x v="5"/>
    <x v="8"/>
    <x v="13"/>
    <x v="9"/>
    <x v="18"/>
    <n v="2"/>
  </r>
  <r>
    <x v="0"/>
    <x v="1"/>
    <x v="5"/>
    <x v="8"/>
    <x v="13"/>
    <x v="8"/>
    <x v="11"/>
    <n v="1"/>
  </r>
  <r>
    <x v="0"/>
    <x v="1"/>
    <x v="5"/>
    <x v="8"/>
    <x v="7"/>
    <x v="18"/>
    <x v="18"/>
    <n v="5"/>
  </r>
  <r>
    <x v="0"/>
    <x v="1"/>
    <x v="5"/>
    <x v="8"/>
    <x v="7"/>
    <x v="19"/>
    <x v="19"/>
    <n v="20"/>
  </r>
  <r>
    <x v="0"/>
    <x v="1"/>
    <x v="5"/>
    <x v="8"/>
    <x v="7"/>
    <x v="16"/>
    <x v="19"/>
    <n v="9"/>
  </r>
  <r>
    <x v="0"/>
    <x v="1"/>
    <x v="5"/>
    <x v="8"/>
    <x v="11"/>
    <x v="7"/>
    <x v="14"/>
    <n v="1"/>
  </r>
  <r>
    <x v="0"/>
    <x v="1"/>
    <x v="5"/>
    <x v="8"/>
    <x v="11"/>
    <x v="1"/>
    <x v="0"/>
    <n v="1"/>
  </r>
  <r>
    <x v="0"/>
    <x v="1"/>
    <x v="5"/>
    <x v="10"/>
    <x v="16"/>
    <x v="2"/>
    <x v="19"/>
    <n v="1"/>
  </r>
  <r>
    <x v="0"/>
    <x v="1"/>
    <x v="5"/>
    <x v="10"/>
    <x v="16"/>
    <x v="3"/>
    <x v="14"/>
    <n v="2"/>
  </r>
  <r>
    <x v="0"/>
    <x v="1"/>
    <x v="5"/>
    <x v="12"/>
    <x v="6"/>
    <x v="5"/>
    <x v="14"/>
    <n v="1"/>
  </r>
  <r>
    <x v="0"/>
    <x v="1"/>
    <x v="5"/>
    <x v="12"/>
    <x v="19"/>
    <x v="4"/>
    <x v="19"/>
    <n v="5"/>
  </r>
  <r>
    <x v="0"/>
    <x v="1"/>
    <x v="5"/>
    <x v="12"/>
    <x v="19"/>
    <x v="5"/>
    <x v="19"/>
    <n v="2"/>
  </r>
  <r>
    <x v="0"/>
    <x v="1"/>
    <x v="5"/>
    <x v="13"/>
    <x v="17"/>
    <x v="18"/>
    <x v="17"/>
    <n v="2"/>
  </r>
  <r>
    <x v="0"/>
    <x v="1"/>
    <x v="5"/>
    <x v="13"/>
    <x v="17"/>
    <x v="18"/>
    <x v="19"/>
    <n v="26"/>
  </r>
  <r>
    <x v="0"/>
    <x v="1"/>
    <x v="5"/>
    <x v="13"/>
    <x v="17"/>
    <x v="19"/>
    <x v="11"/>
    <n v="3"/>
  </r>
  <r>
    <x v="0"/>
    <x v="1"/>
    <x v="1"/>
    <x v="6"/>
    <x v="8"/>
    <x v="16"/>
    <x v="9"/>
    <n v="10"/>
  </r>
  <r>
    <x v="0"/>
    <x v="1"/>
    <x v="1"/>
    <x v="6"/>
    <x v="8"/>
    <x v="16"/>
    <x v="3"/>
    <n v="15"/>
  </r>
  <r>
    <x v="0"/>
    <x v="1"/>
    <x v="1"/>
    <x v="6"/>
    <x v="8"/>
    <x v="16"/>
    <x v="4"/>
    <n v="5"/>
  </r>
  <r>
    <x v="0"/>
    <x v="1"/>
    <x v="1"/>
    <x v="6"/>
    <x v="8"/>
    <x v="15"/>
    <x v="12"/>
    <n v="4"/>
  </r>
  <r>
    <x v="0"/>
    <x v="1"/>
    <x v="1"/>
    <x v="6"/>
    <x v="8"/>
    <x v="15"/>
    <x v="9"/>
    <n v="14"/>
  </r>
  <r>
    <x v="0"/>
    <x v="1"/>
    <x v="1"/>
    <x v="6"/>
    <x v="8"/>
    <x v="10"/>
    <x v="11"/>
    <n v="1"/>
  </r>
  <r>
    <x v="0"/>
    <x v="1"/>
    <x v="1"/>
    <x v="6"/>
    <x v="8"/>
    <x v="3"/>
    <x v="13"/>
    <n v="1"/>
  </r>
  <r>
    <x v="0"/>
    <x v="1"/>
    <x v="1"/>
    <x v="6"/>
    <x v="8"/>
    <x v="4"/>
    <x v="2"/>
    <n v="1"/>
  </r>
  <r>
    <x v="0"/>
    <x v="1"/>
    <x v="1"/>
    <x v="6"/>
    <x v="3"/>
    <x v="19"/>
    <x v="12"/>
    <n v="1"/>
  </r>
  <r>
    <x v="0"/>
    <x v="1"/>
    <x v="1"/>
    <x v="6"/>
    <x v="3"/>
    <x v="19"/>
    <x v="9"/>
    <n v="1"/>
  </r>
  <r>
    <x v="0"/>
    <x v="1"/>
    <x v="1"/>
    <x v="6"/>
    <x v="3"/>
    <x v="16"/>
    <x v="1"/>
    <n v="2"/>
  </r>
  <r>
    <x v="0"/>
    <x v="1"/>
    <x v="1"/>
    <x v="6"/>
    <x v="3"/>
    <x v="16"/>
    <x v="12"/>
    <n v="1"/>
  </r>
  <r>
    <x v="0"/>
    <x v="1"/>
    <x v="1"/>
    <x v="6"/>
    <x v="3"/>
    <x v="15"/>
    <x v="10"/>
    <n v="1"/>
  </r>
  <r>
    <x v="0"/>
    <x v="1"/>
    <x v="1"/>
    <x v="6"/>
    <x v="3"/>
    <x v="15"/>
    <x v="1"/>
    <n v="1"/>
  </r>
  <r>
    <x v="0"/>
    <x v="1"/>
    <x v="1"/>
    <x v="6"/>
    <x v="3"/>
    <x v="14"/>
    <x v="6"/>
    <n v="1"/>
  </r>
  <r>
    <x v="0"/>
    <x v="1"/>
    <x v="1"/>
    <x v="6"/>
    <x v="3"/>
    <x v="14"/>
    <x v="10"/>
    <n v="4"/>
  </r>
  <r>
    <x v="0"/>
    <x v="1"/>
    <x v="1"/>
    <x v="6"/>
    <x v="3"/>
    <x v="14"/>
    <x v="1"/>
    <n v="3"/>
  </r>
  <r>
    <x v="0"/>
    <x v="1"/>
    <x v="1"/>
    <x v="6"/>
    <x v="3"/>
    <x v="13"/>
    <x v="6"/>
    <n v="4"/>
  </r>
  <r>
    <x v="0"/>
    <x v="1"/>
    <x v="1"/>
    <x v="6"/>
    <x v="3"/>
    <x v="13"/>
    <x v="10"/>
    <n v="5"/>
  </r>
  <r>
    <x v="0"/>
    <x v="1"/>
    <x v="1"/>
    <x v="6"/>
    <x v="3"/>
    <x v="13"/>
    <x v="1"/>
    <n v="2"/>
  </r>
  <r>
    <x v="0"/>
    <x v="1"/>
    <x v="1"/>
    <x v="6"/>
    <x v="3"/>
    <x v="2"/>
    <x v="6"/>
    <n v="1"/>
  </r>
  <r>
    <x v="0"/>
    <x v="1"/>
    <x v="1"/>
    <x v="6"/>
    <x v="3"/>
    <x v="12"/>
    <x v="3"/>
    <n v="1"/>
  </r>
  <r>
    <x v="0"/>
    <x v="1"/>
    <x v="1"/>
    <x v="9"/>
    <x v="10"/>
    <x v="18"/>
    <x v="3"/>
    <n v="2"/>
  </r>
  <r>
    <x v="0"/>
    <x v="1"/>
    <x v="1"/>
    <x v="9"/>
    <x v="10"/>
    <x v="18"/>
    <x v="4"/>
    <n v="1"/>
  </r>
  <r>
    <x v="0"/>
    <x v="1"/>
    <x v="1"/>
    <x v="9"/>
    <x v="10"/>
    <x v="14"/>
    <x v="13"/>
    <n v="1"/>
  </r>
  <r>
    <x v="0"/>
    <x v="1"/>
    <x v="1"/>
    <x v="9"/>
    <x v="10"/>
    <x v="14"/>
    <x v="11"/>
    <n v="1"/>
  </r>
  <r>
    <x v="0"/>
    <x v="1"/>
    <x v="1"/>
    <x v="9"/>
    <x v="10"/>
    <x v="14"/>
    <x v="14"/>
    <n v="1"/>
  </r>
  <r>
    <x v="0"/>
    <x v="1"/>
    <x v="1"/>
    <x v="9"/>
    <x v="10"/>
    <x v="13"/>
    <x v="4"/>
    <n v="2"/>
  </r>
  <r>
    <x v="0"/>
    <x v="1"/>
    <x v="1"/>
    <x v="9"/>
    <x v="10"/>
    <x v="13"/>
    <x v="2"/>
    <n v="1"/>
  </r>
  <r>
    <x v="0"/>
    <x v="1"/>
    <x v="1"/>
    <x v="9"/>
    <x v="10"/>
    <x v="2"/>
    <x v="12"/>
    <n v="1"/>
  </r>
  <r>
    <x v="0"/>
    <x v="1"/>
    <x v="1"/>
    <x v="9"/>
    <x v="10"/>
    <x v="2"/>
    <x v="9"/>
    <n v="7"/>
  </r>
  <r>
    <x v="0"/>
    <x v="1"/>
    <x v="1"/>
    <x v="9"/>
    <x v="10"/>
    <x v="2"/>
    <x v="3"/>
    <n v="1"/>
  </r>
  <r>
    <x v="0"/>
    <x v="1"/>
    <x v="1"/>
    <x v="9"/>
    <x v="10"/>
    <x v="2"/>
    <x v="4"/>
    <n v="3"/>
  </r>
  <r>
    <x v="0"/>
    <x v="1"/>
    <x v="1"/>
    <x v="9"/>
    <x v="10"/>
    <x v="2"/>
    <x v="5"/>
    <n v="1"/>
  </r>
  <r>
    <x v="0"/>
    <x v="1"/>
    <x v="1"/>
    <x v="9"/>
    <x v="10"/>
    <x v="2"/>
    <x v="2"/>
    <n v="1"/>
  </r>
  <r>
    <x v="0"/>
    <x v="1"/>
    <x v="1"/>
    <x v="9"/>
    <x v="10"/>
    <x v="10"/>
    <x v="12"/>
    <n v="1"/>
  </r>
  <r>
    <x v="0"/>
    <x v="1"/>
    <x v="1"/>
    <x v="9"/>
    <x v="10"/>
    <x v="10"/>
    <x v="9"/>
    <n v="4"/>
  </r>
  <r>
    <x v="0"/>
    <x v="1"/>
    <x v="1"/>
    <x v="9"/>
    <x v="10"/>
    <x v="10"/>
    <x v="4"/>
    <n v="4"/>
  </r>
  <r>
    <x v="0"/>
    <x v="1"/>
    <x v="1"/>
    <x v="9"/>
    <x v="10"/>
    <x v="3"/>
    <x v="3"/>
    <n v="3"/>
  </r>
  <r>
    <x v="0"/>
    <x v="1"/>
    <x v="1"/>
    <x v="9"/>
    <x v="10"/>
    <x v="3"/>
    <x v="4"/>
    <n v="1"/>
  </r>
  <r>
    <x v="0"/>
    <x v="1"/>
    <x v="1"/>
    <x v="9"/>
    <x v="10"/>
    <x v="5"/>
    <x v="3"/>
    <n v="1"/>
  </r>
  <r>
    <x v="0"/>
    <x v="1"/>
    <x v="1"/>
    <x v="9"/>
    <x v="19"/>
    <x v="17"/>
    <x v="5"/>
    <n v="9"/>
  </r>
  <r>
    <x v="0"/>
    <x v="1"/>
    <x v="1"/>
    <x v="9"/>
    <x v="19"/>
    <x v="17"/>
    <x v="2"/>
    <n v="2"/>
  </r>
  <r>
    <x v="0"/>
    <x v="1"/>
    <x v="1"/>
    <x v="9"/>
    <x v="19"/>
    <x v="18"/>
    <x v="12"/>
    <n v="3"/>
  </r>
  <r>
    <x v="0"/>
    <x v="1"/>
    <x v="1"/>
    <x v="9"/>
    <x v="19"/>
    <x v="18"/>
    <x v="9"/>
    <n v="4"/>
  </r>
  <r>
    <x v="0"/>
    <x v="1"/>
    <x v="1"/>
    <x v="9"/>
    <x v="19"/>
    <x v="14"/>
    <x v="4"/>
    <n v="1"/>
  </r>
  <r>
    <x v="0"/>
    <x v="1"/>
    <x v="1"/>
    <x v="9"/>
    <x v="19"/>
    <x v="13"/>
    <x v="4"/>
    <n v="1"/>
  </r>
  <r>
    <x v="0"/>
    <x v="1"/>
    <x v="1"/>
    <x v="9"/>
    <x v="19"/>
    <x v="13"/>
    <x v="5"/>
    <n v="2"/>
  </r>
  <r>
    <x v="0"/>
    <x v="1"/>
    <x v="1"/>
    <x v="7"/>
    <x v="3"/>
    <x v="4"/>
    <x v="13"/>
    <n v="1"/>
  </r>
  <r>
    <x v="0"/>
    <x v="1"/>
    <x v="1"/>
    <x v="8"/>
    <x v="4"/>
    <x v="16"/>
    <x v="13"/>
    <n v="1"/>
  </r>
  <r>
    <x v="0"/>
    <x v="1"/>
    <x v="1"/>
    <x v="8"/>
    <x v="4"/>
    <x v="15"/>
    <x v="2"/>
    <n v="1"/>
  </r>
  <r>
    <x v="0"/>
    <x v="1"/>
    <x v="1"/>
    <x v="8"/>
    <x v="4"/>
    <x v="14"/>
    <x v="3"/>
    <n v="2"/>
  </r>
  <r>
    <x v="0"/>
    <x v="1"/>
    <x v="1"/>
    <x v="8"/>
    <x v="4"/>
    <x v="14"/>
    <x v="4"/>
    <n v="1"/>
  </r>
  <r>
    <x v="0"/>
    <x v="1"/>
    <x v="1"/>
    <x v="8"/>
    <x v="4"/>
    <x v="14"/>
    <x v="5"/>
    <n v="2"/>
  </r>
  <r>
    <x v="0"/>
    <x v="1"/>
    <x v="1"/>
    <x v="8"/>
    <x v="4"/>
    <x v="13"/>
    <x v="9"/>
    <n v="1"/>
  </r>
  <r>
    <x v="0"/>
    <x v="1"/>
    <x v="1"/>
    <x v="8"/>
    <x v="4"/>
    <x v="13"/>
    <x v="3"/>
    <n v="2"/>
  </r>
  <r>
    <x v="0"/>
    <x v="1"/>
    <x v="1"/>
    <x v="8"/>
    <x v="4"/>
    <x v="13"/>
    <x v="4"/>
    <n v="1"/>
  </r>
  <r>
    <x v="0"/>
    <x v="1"/>
    <x v="1"/>
    <x v="8"/>
    <x v="4"/>
    <x v="13"/>
    <x v="5"/>
    <n v="2"/>
  </r>
  <r>
    <x v="0"/>
    <x v="1"/>
    <x v="1"/>
    <x v="8"/>
    <x v="13"/>
    <x v="2"/>
    <x v="14"/>
    <n v="1"/>
  </r>
  <r>
    <x v="0"/>
    <x v="1"/>
    <x v="1"/>
    <x v="8"/>
    <x v="13"/>
    <x v="5"/>
    <x v="2"/>
    <n v="1"/>
  </r>
  <r>
    <x v="0"/>
    <x v="1"/>
    <x v="1"/>
    <x v="8"/>
    <x v="7"/>
    <x v="17"/>
    <x v="11"/>
    <n v="27"/>
  </r>
  <r>
    <x v="0"/>
    <x v="1"/>
    <x v="1"/>
    <x v="8"/>
    <x v="7"/>
    <x v="17"/>
    <x v="14"/>
    <n v="22"/>
  </r>
  <r>
    <x v="0"/>
    <x v="1"/>
    <x v="1"/>
    <x v="8"/>
    <x v="7"/>
    <x v="17"/>
    <x v="17"/>
    <n v="22"/>
  </r>
  <r>
    <x v="0"/>
    <x v="1"/>
    <x v="1"/>
    <x v="8"/>
    <x v="7"/>
    <x v="17"/>
    <x v="19"/>
    <n v="58"/>
  </r>
  <r>
    <x v="0"/>
    <x v="1"/>
    <x v="1"/>
    <x v="8"/>
    <x v="7"/>
    <x v="18"/>
    <x v="4"/>
    <n v="1"/>
  </r>
  <r>
    <x v="0"/>
    <x v="1"/>
    <x v="1"/>
    <x v="8"/>
    <x v="7"/>
    <x v="18"/>
    <x v="5"/>
    <n v="1"/>
  </r>
  <r>
    <x v="0"/>
    <x v="1"/>
    <x v="1"/>
    <x v="8"/>
    <x v="7"/>
    <x v="18"/>
    <x v="0"/>
    <n v="18"/>
  </r>
  <r>
    <x v="0"/>
    <x v="1"/>
    <x v="1"/>
    <x v="8"/>
    <x v="7"/>
    <x v="18"/>
    <x v="18"/>
    <n v="6"/>
  </r>
  <r>
    <x v="0"/>
    <x v="1"/>
    <x v="1"/>
    <x v="8"/>
    <x v="7"/>
    <x v="16"/>
    <x v="19"/>
    <n v="4"/>
  </r>
  <r>
    <x v="0"/>
    <x v="1"/>
    <x v="1"/>
    <x v="8"/>
    <x v="7"/>
    <x v="15"/>
    <x v="14"/>
    <n v="2"/>
  </r>
  <r>
    <x v="0"/>
    <x v="1"/>
    <x v="1"/>
    <x v="8"/>
    <x v="7"/>
    <x v="15"/>
    <x v="17"/>
    <n v="2"/>
  </r>
  <r>
    <x v="0"/>
    <x v="1"/>
    <x v="1"/>
    <x v="8"/>
    <x v="7"/>
    <x v="15"/>
    <x v="19"/>
    <n v="1"/>
  </r>
  <r>
    <x v="0"/>
    <x v="1"/>
    <x v="3"/>
    <x v="1"/>
    <x v="7"/>
    <x v="7"/>
    <x v="3"/>
    <n v="1"/>
  </r>
  <r>
    <x v="0"/>
    <x v="1"/>
    <x v="3"/>
    <x v="1"/>
    <x v="7"/>
    <x v="8"/>
    <x v="3"/>
    <n v="1"/>
  </r>
  <r>
    <x v="0"/>
    <x v="1"/>
    <x v="3"/>
    <x v="1"/>
    <x v="18"/>
    <x v="8"/>
    <x v="6"/>
    <n v="7"/>
  </r>
  <r>
    <x v="0"/>
    <x v="1"/>
    <x v="3"/>
    <x v="1"/>
    <x v="18"/>
    <x v="8"/>
    <x v="10"/>
    <n v="1"/>
  </r>
  <r>
    <x v="0"/>
    <x v="1"/>
    <x v="3"/>
    <x v="1"/>
    <x v="18"/>
    <x v="8"/>
    <x v="1"/>
    <n v="2"/>
  </r>
  <r>
    <x v="0"/>
    <x v="1"/>
    <x v="3"/>
    <x v="2"/>
    <x v="5"/>
    <x v="0"/>
    <x v="12"/>
    <n v="1"/>
  </r>
  <r>
    <x v="0"/>
    <x v="1"/>
    <x v="3"/>
    <x v="2"/>
    <x v="5"/>
    <x v="0"/>
    <x v="9"/>
    <n v="1"/>
  </r>
  <r>
    <x v="0"/>
    <x v="1"/>
    <x v="3"/>
    <x v="2"/>
    <x v="5"/>
    <x v="0"/>
    <x v="3"/>
    <n v="1"/>
  </r>
  <r>
    <x v="0"/>
    <x v="1"/>
    <x v="3"/>
    <x v="2"/>
    <x v="13"/>
    <x v="7"/>
    <x v="3"/>
    <n v="1"/>
  </r>
  <r>
    <x v="0"/>
    <x v="1"/>
    <x v="3"/>
    <x v="2"/>
    <x v="13"/>
    <x v="8"/>
    <x v="12"/>
    <n v="1"/>
  </r>
  <r>
    <x v="0"/>
    <x v="1"/>
    <x v="3"/>
    <x v="2"/>
    <x v="13"/>
    <x v="0"/>
    <x v="1"/>
    <n v="1"/>
  </r>
  <r>
    <x v="0"/>
    <x v="1"/>
    <x v="3"/>
    <x v="3"/>
    <x v="16"/>
    <x v="1"/>
    <x v="9"/>
    <n v="1"/>
  </r>
  <r>
    <x v="0"/>
    <x v="1"/>
    <x v="3"/>
    <x v="3"/>
    <x v="16"/>
    <x v="0"/>
    <x v="12"/>
    <n v="3"/>
  </r>
  <r>
    <x v="0"/>
    <x v="1"/>
    <x v="3"/>
    <x v="3"/>
    <x v="16"/>
    <x v="0"/>
    <x v="9"/>
    <n v="1"/>
  </r>
  <r>
    <x v="0"/>
    <x v="1"/>
    <x v="3"/>
    <x v="3"/>
    <x v="1"/>
    <x v="0"/>
    <x v="9"/>
    <n v="1"/>
  </r>
  <r>
    <x v="0"/>
    <x v="1"/>
    <x v="3"/>
    <x v="3"/>
    <x v="14"/>
    <x v="0"/>
    <x v="1"/>
    <n v="1"/>
  </r>
  <r>
    <x v="0"/>
    <x v="1"/>
    <x v="3"/>
    <x v="3"/>
    <x v="3"/>
    <x v="0"/>
    <x v="9"/>
    <n v="1"/>
  </r>
  <r>
    <x v="0"/>
    <x v="1"/>
    <x v="3"/>
    <x v="3"/>
    <x v="3"/>
    <x v="0"/>
    <x v="18"/>
    <n v="1"/>
  </r>
  <r>
    <x v="0"/>
    <x v="1"/>
    <x v="3"/>
    <x v="3"/>
    <x v="6"/>
    <x v="7"/>
    <x v="19"/>
    <n v="1"/>
  </r>
  <r>
    <x v="0"/>
    <x v="1"/>
    <x v="3"/>
    <x v="3"/>
    <x v="6"/>
    <x v="1"/>
    <x v="7"/>
    <n v="1"/>
  </r>
  <r>
    <x v="0"/>
    <x v="1"/>
    <x v="3"/>
    <x v="3"/>
    <x v="6"/>
    <x v="0"/>
    <x v="6"/>
    <n v="1"/>
  </r>
  <r>
    <x v="0"/>
    <x v="1"/>
    <x v="3"/>
    <x v="3"/>
    <x v="6"/>
    <x v="0"/>
    <x v="0"/>
    <n v="1"/>
  </r>
  <r>
    <x v="0"/>
    <x v="1"/>
    <x v="3"/>
    <x v="3"/>
    <x v="11"/>
    <x v="7"/>
    <x v="7"/>
    <n v="1"/>
  </r>
  <r>
    <x v="0"/>
    <x v="1"/>
    <x v="3"/>
    <x v="3"/>
    <x v="11"/>
    <x v="1"/>
    <x v="1"/>
    <n v="1"/>
  </r>
  <r>
    <x v="0"/>
    <x v="1"/>
    <x v="3"/>
    <x v="3"/>
    <x v="11"/>
    <x v="0"/>
    <x v="1"/>
    <n v="7"/>
  </r>
  <r>
    <x v="0"/>
    <x v="1"/>
    <x v="3"/>
    <x v="4"/>
    <x v="2"/>
    <x v="0"/>
    <x v="5"/>
    <n v="1"/>
  </r>
  <r>
    <x v="0"/>
    <x v="1"/>
    <x v="3"/>
    <x v="4"/>
    <x v="4"/>
    <x v="14"/>
    <x v="1"/>
    <n v="2"/>
  </r>
  <r>
    <x v="0"/>
    <x v="1"/>
    <x v="3"/>
    <x v="4"/>
    <x v="4"/>
    <x v="13"/>
    <x v="1"/>
    <n v="3"/>
  </r>
  <r>
    <x v="0"/>
    <x v="1"/>
    <x v="3"/>
    <x v="4"/>
    <x v="15"/>
    <x v="0"/>
    <x v="9"/>
    <n v="1"/>
  </r>
  <r>
    <x v="0"/>
    <x v="1"/>
    <x v="3"/>
    <x v="4"/>
    <x v="9"/>
    <x v="8"/>
    <x v="1"/>
    <n v="1"/>
  </r>
  <r>
    <x v="0"/>
    <x v="1"/>
    <x v="3"/>
    <x v="4"/>
    <x v="17"/>
    <x v="7"/>
    <x v="10"/>
    <n v="1"/>
  </r>
  <r>
    <x v="0"/>
    <x v="1"/>
    <x v="3"/>
    <x v="5"/>
    <x v="10"/>
    <x v="7"/>
    <x v="10"/>
    <n v="2"/>
  </r>
  <r>
    <x v="0"/>
    <x v="1"/>
    <x v="3"/>
    <x v="5"/>
    <x v="11"/>
    <x v="11"/>
    <x v="1"/>
    <n v="3"/>
  </r>
  <r>
    <x v="0"/>
    <x v="1"/>
    <x v="3"/>
    <x v="5"/>
    <x v="11"/>
    <x v="6"/>
    <x v="1"/>
    <n v="2"/>
  </r>
  <r>
    <x v="0"/>
    <x v="1"/>
    <x v="3"/>
    <x v="5"/>
    <x v="11"/>
    <x v="6"/>
    <x v="13"/>
    <n v="1"/>
  </r>
  <r>
    <x v="0"/>
    <x v="1"/>
    <x v="3"/>
    <x v="5"/>
    <x v="11"/>
    <x v="9"/>
    <x v="10"/>
    <n v="3"/>
  </r>
  <r>
    <x v="0"/>
    <x v="1"/>
    <x v="3"/>
    <x v="5"/>
    <x v="11"/>
    <x v="9"/>
    <x v="13"/>
    <n v="1"/>
  </r>
  <r>
    <x v="0"/>
    <x v="1"/>
    <x v="3"/>
    <x v="5"/>
    <x v="11"/>
    <x v="12"/>
    <x v="10"/>
    <n v="4"/>
  </r>
  <r>
    <x v="0"/>
    <x v="1"/>
    <x v="3"/>
    <x v="5"/>
    <x v="11"/>
    <x v="12"/>
    <x v="13"/>
    <n v="1"/>
  </r>
  <r>
    <x v="0"/>
    <x v="1"/>
    <x v="3"/>
    <x v="5"/>
    <x v="11"/>
    <x v="12"/>
    <x v="14"/>
    <n v="1"/>
  </r>
  <r>
    <x v="0"/>
    <x v="1"/>
    <x v="3"/>
    <x v="5"/>
    <x v="11"/>
    <x v="1"/>
    <x v="4"/>
    <n v="1"/>
  </r>
  <r>
    <x v="0"/>
    <x v="1"/>
    <x v="3"/>
    <x v="5"/>
    <x v="11"/>
    <x v="1"/>
    <x v="2"/>
    <n v="1"/>
  </r>
  <r>
    <x v="0"/>
    <x v="1"/>
    <x v="3"/>
    <x v="5"/>
    <x v="11"/>
    <x v="0"/>
    <x v="9"/>
    <n v="1"/>
  </r>
  <r>
    <x v="0"/>
    <x v="1"/>
    <x v="3"/>
    <x v="5"/>
    <x v="11"/>
    <x v="0"/>
    <x v="3"/>
    <n v="3"/>
  </r>
  <r>
    <x v="0"/>
    <x v="1"/>
    <x v="3"/>
    <x v="5"/>
    <x v="11"/>
    <x v="0"/>
    <x v="4"/>
    <n v="1"/>
  </r>
  <r>
    <x v="0"/>
    <x v="1"/>
    <x v="3"/>
    <x v="5"/>
    <x v="18"/>
    <x v="5"/>
    <x v="1"/>
    <n v="1"/>
  </r>
  <r>
    <x v="0"/>
    <x v="1"/>
    <x v="3"/>
    <x v="5"/>
    <x v="19"/>
    <x v="0"/>
    <x v="14"/>
    <n v="1"/>
  </r>
  <r>
    <x v="0"/>
    <x v="1"/>
    <x v="3"/>
    <x v="6"/>
    <x v="2"/>
    <x v="19"/>
    <x v="0"/>
    <n v="1"/>
  </r>
  <r>
    <x v="0"/>
    <x v="1"/>
    <x v="3"/>
    <x v="6"/>
    <x v="2"/>
    <x v="10"/>
    <x v="17"/>
    <n v="2"/>
  </r>
  <r>
    <x v="0"/>
    <x v="1"/>
    <x v="3"/>
    <x v="6"/>
    <x v="2"/>
    <x v="4"/>
    <x v="17"/>
    <n v="1"/>
  </r>
  <r>
    <x v="0"/>
    <x v="1"/>
    <x v="3"/>
    <x v="6"/>
    <x v="2"/>
    <x v="5"/>
    <x v="11"/>
    <n v="1"/>
  </r>
  <r>
    <x v="0"/>
    <x v="1"/>
    <x v="3"/>
    <x v="6"/>
    <x v="4"/>
    <x v="0"/>
    <x v="3"/>
    <n v="3"/>
  </r>
  <r>
    <x v="0"/>
    <x v="1"/>
    <x v="3"/>
    <x v="6"/>
    <x v="3"/>
    <x v="16"/>
    <x v="2"/>
    <n v="2"/>
  </r>
  <r>
    <x v="0"/>
    <x v="1"/>
    <x v="3"/>
    <x v="6"/>
    <x v="3"/>
    <x v="15"/>
    <x v="12"/>
    <n v="4"/>
  </r>
  <r>
    <x v="0"/>
    <x v="1"/>
    <x v="3"/>
    <x v="6"/>
    <x v="3"/>
    <x v="15"/>
    <x v="3"/>
    <n v="1"/>
  </r>
  <r>
    <x v="0"/>
    <x v="1"/>
    <x v="3"/>
    <x v="6"/>
    <x v="3"/>
    <x v="15"/>
    <x v="4"/>
    <n v="1"/>
  </r>
  <r>
    <x v="0"/>
    <x v="1"/>
    <x v="3"/>
    <x v="6"/>
    <x v="3"/>
    <x v="14"/>
    <x v="12"/>
    <n v="4"/>
  </r>
  <r>
    <x v="0"/>
    <x v="1"/>
    <x v="3"/>
    <x v="6"/>
    <x v="3"/>
    <x v="14"/>
    <x v="9"/>
    <n v="1"/>
  </r>
  <r>
    <x v="0"/>
    <x v="1"/>
    <x v="3"/>
    <x v="6"/>
    <x v="3"/>
    <x v="14"/>
    <x v="4"/>
    <n v="2"/>
  </r>
  <r>
    <x v="0"/>
    <x v="1"/>
    <x v="3"/>
    <x v="6"/>
    <x v="3"/>
    <x v="13"/>
    <x v="12"/>
    <n v="2"/>
  </r>
  <r>
    <x v="0"/>
    <x v="1"/>
    <x v="3"/>
    <x v="6"/>
    <x v="3"/>
    <x v="2"/>
    <x v="6"/>
    <n v="7"/>
  </r>
  <r>
    <x v="0"/>
    <x v="1"/>
    <x v="3"/>
    <x v="6"/>
    <x v="3"/>
    <x v="2"/>
    <x v="10"/>
    <n v="4"/>
  </r>
  <r>
    <x v="0"/>
    <x v="1"/>
    <x v="3"/>
    <x v="6"/>
    <x v="3"/>
    <x v="2"/>
    <x v="1"/>
    <n v="8"/>
  </r>
  <r>
    <x v="0"/>
    <x v="1"/>
    <x v="3"/>
    <x v="6"/>
    <x v="3"/>
    <x v="10"/>
    <x v="6"/>
    <n v="7"/>
  </r>
  <r>
    <x v="0"/>
    <x v="1"/>
    <x v="3"/>
    <x v="6"/>
    <x v="3"/>
    <x v="10"/>
    <x v="10"/>
    <n v="1"/>
  </r>
  <r>
    <x v="0"/>
    <x v="1"/>
    <x v="3"/>
    <x v="6"/>
    <x v="3"/>
    <x v="10"/>
    <x v="1"/>
    <n v="2"/>
  </r>
  <r>
    <x v="0"/>
    <x v="1"/>
    <x v="3"/>
    <x v="6"/>
    <x v="3"/>
    <x v="3"/>
    <x v="7"/>
    <n v="5"/>
  </r>
  <r>
    <x v="0"/>
    <x v="1"/>
    <x v="3"/>
    <x v="6"/>
    <x v="3"/>
    <x v="3"/>
    <x v="6"/>
    <n v="8"/>
  </r>
  <r>
    <x v="0"/>
    <x v="1"/>
    <x v="3"/>
    <x v="6"/>
    <x v="3"/>
    <x v="3"/>
    <x v="10"/>
    <n v="7"/>
  </r>
  <r>
    <x v="0"/>
    <x v="1"/>
    <x v="3"/>
    <x v="6"/>
    <x v="3"/>
    <x v="3"/>
    <x v="1"/>
    <n v="2"/>
  </r>
  <r>
    <x v="0"/>
    <x v="1"/>
    <x v="3"/>
    <x v="6"/>
    <x v="3"/>
    <x v="4"/>
    <x v="7"/>
    <n v="9"/>
  </r>
  <r>
    <x v="0"/>
    <x v="1"/>
    <x v="3"/>
    <x v="6"/>
    <x v="3"/>
    <x v="4"/>
    <x v="6"/>
    <n v="5"/>
  </r>
  <r>
    <x v="0"/>
    <x v="1"/>
    <x v="3"/>
    <x v="6"/>
    <x v="3"/>
    <x v="5"/>
    <x v="7"/>
    <n v="5"/>
  </r>
  <r>
    <x v="0"/>
    <x v="1"/>
    <x v="3"/>
    <x v="6"/>
    <x v="3"/>
    <x v="5"/>
    <x v="6"/>
    <n v="5"/>
  </r>
  <r>
    <x v="0"/>
    <x v="1"/>
    <x v="3"/>
    <x v="6"/>
    <x v="3"/>
    <x v="5"/>
    <x v="10"/>
    <n v="4"/>
  </r>
  <r>
    <x v="0"/>
    <x v="1"/>
    <x v="3"/>
    <x v="6"/>
    <x v="3"/>
    <x v="5"/>
    <x v="9"/>
    <n v="1"/>
  </r>
  <r>
    <x v="0"/>
    <x v="1"/>
    <x v="3"/>
    <x v="6"/>
    <x v="3"/>
    <x v="11"/>
    <x v="7"/>
    <n v="11"/>
  </r>
  <r>
    <x v="0"/>
    <x v="1"/>
    <x v="3"/>
    <x v="6"/>
    <x v="3"/>
    <x v="11"/>
    <x v="6"/>
    <n v="3"/>
  </r>
  <r>
    <x v="0"/>
    <x v="1"/>
    <x v="3"/>
    <x v="6"/>
    <x v="3"/>
    <x v="6"/>
    <x v="8"/>
    <n v="1"/>
  </r>
  <r>
    <x v="0"/>
    <x v="1"/>
    <x v="3"/>
    <x v="6"/>
    <x v="3"/>
    <x v="6"/>
    <x v="7"/>
    <n v="14"/>
  </r>
  <r>
    <x v="0"/>
    <x v="1"/>
    <x v="3"/>
    <x v="6"/>
    <x v="3"/>
    <x v="6"/>
    <x v="6"/>
    <n v="6"/>
  </r>
  <r>
    <x v="0"/>
    <x v="1"/>
    <x v="3"/>
    <x v="6"/>
    <x v="3"/>
    <x v="9"/>
    <x v="7"/>
    <n v="13"/>
  </r>
  <r>
    <x v="0"/>
    <x v="1"/>
    <x v="3"/>
    <x v="6"/>
    <x v="3"/>
    <x v="12"/>
    <x v="7"/>
    <n v="5"/>
  </r>
  <r>
    <x v="0"/>
    <x v="1"/>
    <x v="3"/>
    <x v="6"/>
    <x v="11"/>
    <x v="7"/>
    <x v="19"/>
    <n v="3"/>
  </r>
  <r>
    <x v="0"/>
    <x v="1"/>
    <x v="3"/>
    <x v="6"/>
    <x v="11"/>
    <x v="1"/>
    <x v="18"/>
    <n v="1"/>
  </r>
  <r>
    <x v="0"/>
    <x v="1"/>
    <x v="3"/>
    <x v="6"/>
    <x v="11"/>
    <x v="0"/>
    <x v="2"/>
    <n v="1"/>
  </r>
  <r>
    <x v="0"/>
    <x v="1"/>
    <x v="3"/>
    <x v="6"/>
    <x v="11"/>
    <x v="0"/>
    <x v="0"/>
    <n v="1"/>
  </r>
  <r>
    <x v="0"/>
    <x v="1"/>
    <x v="3"/>
    <x v="6"/>
    <x v="11"/>
    <x v="0"/>
    <x v="18"/>
    <n v="1"/>
  </r>
  <r>
    <x v="0"/>
    <x v="1"/>
    <x v="3"/>
    <x v="9"/>
    <x v="15"/>
    <x v="0"/>
    <x v="3"/>
    <n v="1"/>
  </r>
  <r>
    <x v="0"/>
    <x v="1"/>
    <x v="3"/>
    <x v="9"/>
    <x v="15"/>
    <x v="0"/>
    <x v="4"/>
    <n v="1"/>
  </r>
  <r>
    <x v="0"/>
    <x v="1"/>
    <x v="3"/>
    <x v="7"/>
    <x v="1"/>
    <x v="0"/>
    <x v="6"/>
    <n v="1"/>
  </r>
  <r>
    <x v="0"/>
    <x v="1"/>
    <x v="3"/>
    <x v="7"/>
    <x v="1"/>
    <x v="0"/>
    <x v="12"/>
    <n v="1"/>
  </r>
  <r>
    <x v="0"/>
    <x v="1"/>
    <x v="3"/>
    <x v="7"/>
    <x v="14"/>
    <x v="1"/>
    <x v="10"/>
    <n v="1"/>
  </r>
  <r>
    <x v="0"/>
    <x v="1"/>
    <x v="3"/>
    <x v="7"/>
    <x v="7"/>
    <x v="0"/>
    <x v="12"/>
    <n v="1"/>
  </r>
  <r>
    <x v="0"/>
    <x v="1"/>
    <x v="3"/>
    <x v="7"/>
    <x v="7"/>
    <x v="0"/>
    <x v="9"/>
    <n v="1"/>
  </r>
  <r>
    <x v="0"/>
    <x v="1"/>
    <x v="3"/>
    <x v="7"/>
    <x v="7"/>
    <x v="0"/>
    <x v="3"/>
    <n v="1"/>
  </r>
  <r>
    <x v="0"/>
    <x v="1"/>
    <x v="3"/>
    <x v="7"/>
    <x v="7"/>
    <x v="0"/>
    <x v="4"/>
    <n v="1"/>
  </r>
  <r>
    <x v="0"/>
    <x v="1"/>
    <x v="3"/>
    <x v="8"/>
    <x v="16"/>
    <x v="0"/>
    <x v="9"/>
    <n v="2"/>
  </r>
  <r>
    <x v="0"/>
    <x v="1"/>
    <x v="3"/>
    <x v="8"/>
    <x v="13"/>
    <x v="13"/>
    <x v="11"/>
    <n v="3"/>
  </r>
  <r>
    <x v="0"/>
    <x v="1"/>
    <x v="3"/>
    <x v="8"/>
    <x v="13"/>
    <x v="11"/>
    <x v="11"/>
    <n v="1"/>
  </r>
  <r>
    <x v="0"/>
    <x v="1"/>
    <x v="3"/>
    <x v="8"/>
    <x v="13"/>
    <x v="11"/>
    <x v="14"/>
    <n v="1"/>
  </r>
  <r>
    <x v="0"/>
    <x v="1"/>
    <x v="3"/>
    <x v="8"/>
    <x v="13"/>
    <x v="6"/>
    <x v="17"/>
    <n v="1"/>
  </r>
  <r>
    <x v="0"/>
    <x v="1"/>
    <x v="3"/>
    <x v="8"/>
    <x v="13"/>
    <x v="9"/>
    <x v="2"/>
    <n v="1"/>
  </r>
  <r>
    <x v="0"/>
    <x v="1"/>
    <x v="3"/>
    <x v="8"/>
    <x v="13"/>
    <x v="12"/>
    <x v="2"/>
    <n v="1"/>
  </r>
  <r>
    <x v="0"/>
    <x v="1"/>
    <x v="3"/>
    <x v="8"/>
    <x v="13"/>
    <x v="12"/>
    <x v="11"/>
    <n v="1"/>
  </r>
  <r>
    <x v="0"/>
    <x v="1"/>
    <x v="3"/>
    <x v="8"/>
    <x v="13"/>
    <x v="7"/>
    <x v="0"/>
    <n v="1"/>
  </r>
  <r>
    <x v="0"/>
    <x v="1"/>
    <x v="3"/>
    <x v="8"/>
    <x v="14"/>
    <x v="0"/>
    <x v="6"/>
    <n v="4"/>
  </r>
  <r>
    <x v="0"/>
    <x v="1"/>
    <x v="3"/>
    <x v="8"/>
    <x v="15"/>
    <x v="0"/>
    <x v="3"/>
    <n v="4"/>
  </r>
  <r>
    <x v="0"/>
    <x v="1"/>
    <x v="3"/>
    <x v="8"/>
    <x v="15"/>
    <x v="0"/>
    <x v="4"/>
    <n v="4"/>
  </r>
  <r>
    <x v="0"/>
    <x v="1"/>
    <x v="3"/>
    <x v="8"/>
    <x v="15"/>
    <x v="0"/>
    <x v="5"/>
    <n v="1"/>
  </r>
  <r>
    <x v="0"/>
    <x v="1"/>
    <x v="3"/>
    <x v="8"/>
    <x v="8"/>
    <x v="0"/>
    <x v="12"/>
    <n v="2"/>
  </r>
  <r>
    <x v="0"/>
    <x v="1"/>
    <x v="3"/>
    <x v="8"/>
    <x v="8"/>
    <x v="0"/>
    <x v="3"/>
    <n v="1"/>
  </r>
  <r>
    <x v="0"/>
    <x v="1"/>
    <x v="3"/>
    <x v="8"/>
    <x v="11"/>
    <x v="1"/>
    <x v="10"/>
    <n v="2"/>
  </r>
  <r>
    <x v="0"/>
    <x v="1"/>
    <x v="3"/>
    <x v="8"/>
    <x v="11"/>
    <x v="0"/>
    <x v="10"/>
    <n v="4"/>
  </r>
  <r>
    <x v="0"/>
    <x v="1"/>
    <x v="3"/>
    <x v="8"/>
    <x v="11"/>
    <x v="0"/>
    <x v="1"/>
    <n v="2"/>
  </r>
  <r>
    <x v="0"/>
    <x v="1"/>
    <x v="3"/>
    <x v="8"/>
    <x v="19"/>
    <x v="7"/>
    <x v="10"/>
    <n v="2"/>
  </r>
  <r>
    <x v="0"/>
    <x v="1"/>
    <x v="3"/>
    <x v="8"/>
    <x v="19"/>
    <x v="7"/>
    <x v="1"/>
    <n v="3"/>
  </r>
  <r>
    <x v="0"/>
    <x v="1"/>
    <x v="3"/>
    <x v="8"/>
    <x v="19"/>
    <x v="8"/>
    <x v="1"/>
    <n v="3"/>
  </r>
  <r>
    <x v="0"/>
    <x v="1"/>
    <x v="3"/>
    <x v="10"/>
    <x v="4"/>
    <x v="0"/>
    <x v="3"/>
    <n v="3"/>
  </r>
  <r>
    <x v="0"/>
    <x v="1"/>
    <x v="3"/>
    <x v="10"/>
    <x v="16"/>
    <x v="4"/>
    <x v="10"/>
    <n v="2"/>
  </r>
  <r>
    <x v="0"/>
    <x v="1"/>
    <x v="3"/>
    <x v="10"/>
    <x v="16"/>
    <x v="4"/>
    <x v="1"/>
    <n v="2"/>
  </r>
  <r>
    <x v="0"/>
    <x v="1"/>
    <x v="3"/>
    <x v="10"/>
    <x v="16"/>
    <x v="5"/>
    <x v="10"/>
    <n v="2"/>
  </r>
  <r>
    <x v="0"/>
    <x v="1"/>
    <x v="3"/>
    <x v="10"/>
    <x v="16"/>
    <x v="5"/>
    <x v="1"/>
    <n v="1"/>
  </r>
  <r>
    <x v="0"/>
    <x v="1"/>
    <x v="3"/>
    <x v="10"/>
    <x v="16"/>
    <x v="6"/>
    <x v="1"/>
    <n v="1"/>
  </r>
  <r>
    <x v="0"/>
    <x v="1"/>
    <x v="3"/>
    <x v="10"/>
    <x v="8"/>
    <x v="0"/>
    <x v="9"/>
    <n v="3"/>
  </r>
  <r>
    <x v="0"/>
    <x v="1"/>
    <x v="3"/>
    <x v="10"/>
    <x v="8"/>
    <x v="0"/>
    <x v="3"/>
    <n v="1"/>
  </r>
  <r>
    <x v="0"/>
    <x v="1"/>
    <x v="3"/>
    <x v="10"/>
    <x v="8"/>
    <x v="0"/>
    <x v="4"/>
    <n v="1"/>
  </r>
  <r>
    <x v="0"/>
    <x v="1"/>
    <x v="3"/>
    <x v="10"/>
    <x v="8"/>
    <x v="0"/>
    <x v="0"/>
    <n v="1"/>
  </r>
  <r>
    <x v="0"/>
    <x v="1"/>
    <x v="3"/>
    <x v="10"/>
    <x v="7"/>
    <x v="8"/>
    <x v="1"/>
    <n v="10"/>
  </r>
  <r>
    <x v="0"/>
    <x v="1"/>
    <x v="3"/>
    <x v="10"/>
    <x v="7"/>
    <x v="0"/>
    <x v="12"/>
    <n v="15"/>
  </r>
  <r>
    <x v="0"/>
    <x v="1"/>
    <x v="3"/>
    <x v="10"/>
    <x v="7"/>
    <x v="0"/>
    <x v="9"/>
    <n v="11"/>
  </r>
  <r>
    <x v="0"/>
    <x v="1"/>
    <x v="3"/>
    <x v="10"/>
    <x v="19"/>
    <x v="14"/>
    <x v="7"/>
    <n v="7"/>
  </r>
  <r>
    <x v="0"/>
    <x v="1"/>
    <x v="3"/>
    <x v="10"/>
    <x v="19"/>
    <x v="13"/>
    <x v="8"/>
    <n v="19"/>
  </r>
  <r>
    <x v="0"/>
    <x v="1"/>
    <x v="3"/>
    <x v="10"/>
    <x v="19"/>
    <x v="2"/>
    <x v="6"/>
    <n v="27"/>
  </r>
  <r>
    <x v="0"/>
    <x v="1"/>
    <x v="3"/>
    <x v="10"/>
    <x v="19"/>
    <x v="2"/>
    <x v="9"/>
    <n v="9"/>
  </r>
  <r>
    <x v="0"/>
    <x v="1"/>
    <x v="3"/>
    <x v="10"/>
    <x v="19"/>
    <x v="2"/>
    <x v="3"/>
    <n v="7"/>
  </r>
  <r>
    <x v="0"/>
    <x v="1"/>
    <x v="3"/>
    <x v="10"/>
    <x v="19"/>
    <x v="2"/>
    <x v="4"/>
    <n v="5"/>
  </r>
  <r>
    <x v="0"/>
    <x v="1"/>
    <x v="3"/>
    <x v="10"/>
    <x v="19"/>
    <x v="2"/>
    <x v="5"/>
    <n v="6"/>
  </r>
  <r>
    <x v="0"/>
    <x v="1"/>
    <x v="3"/>
    <x v="10"/>
    <x v="19"/>
    <x v="2"/>
    <x v="2"/>
    <n v="3"/>
  </r>
  <r>
    <x v="0"/>
    <x v="1"/>
    <x v="3"/>
    <x v="10"/>
    <x v="19"/>
    <x v="2"/>
    <x v="13"/>
    <n v="4"/>
  </r>
  <r>
    <x v="0"/>
    <x v="1"/>
    <x v="3"/>
    <x v="10"/>
    <x v="19"/>
    <x v="10"/>
    <x v="12"/>
    <n v="5"/>
  </r>
  <r>
    <x v="0"/>
    <x v="1"/>
    <x v="3"/>
    <x v="10"/>
    <x v="19"/>
    <x v="10"/>
    <x v="9"/>
    <n v="6"/>
  </r>
  <r>
    <x v="0"/>
    <x v="1"/>
    <x v="3"/>
    <x v="10"/>
    <x v="19"/>
    <x v="10"/>
    <x v="3"/>
    <n v="9"/>
  </r>
  <r>
    <x v="0"/>
    <x v="1"/>
    <x v="3"/>
    <x v="10"/>
    <x v="19"/>
    <x v="10"/>
    <x v="4"/>
    <n v="3"/>
  </r>
  <r>
    <x v="0"/>
    <x v="1"/>
    <x v="3"/>
    <x v="10"/>
    <x v="19"/>
    <x v="10"/>
    <x v="5"/>
    <n v="1"/>
  </r>
  <r>
    <x v="0"/>
    <x v="1"/>
    <x v="3"/>
    <x v="10"/>
    <x v="19"/>
    <x v="10"/>
    <x v="2"/>
    <n v="4"/>
  </r>
  <r>
    <x v="0"/>
    <x v="1"/>
    <x v="3"/>
    <x v="10"/>
    <x v="19"/>
    <x v="3"/>
    <x v="7"/>
    <n v="112"/>
  </r>
  <r>
    <x v="0"/>
    <x v="1"/>
    <x v="3"/>
    <x v="10"/>
    <x v="19"/>
    <x v="3"/>
    <x v="12"/>
    <n v="6"/>
  </r>
  <r>
    <x v="0"/>
    <x v="1"/>
    <x v="3"/>
    <x v="10"/>
    <x v="19"/>
    <x v="3"/>
    <x v="9"/>
    <n v="5"/>
  </r>
  <r>
    <x v="0"/>
    <x v="1"/>
    <x v="3"/>
    <x v="10"/>
    <x v="19"/>
    <x v="3"/>
    <x v="3"/>
    <n v="4"/>
  </r>
  <r>
    <x v="0"/>
    <x v="1"/>
    <x v="3"/>
    <x v="10"/>
    <x v="19"/>
    <x v="3"/>
    <x v="4"/>
    <n v="1"/>
  </r>
  <r>
    <x v="0"/>
    <x v="1"/>
    <x v="3"/>
    <x v="10"/>
    <x v="19"/>
    <x v="3"/>
    <x v="5"/>
    <n v="1"/>
  </r>
  <r>
    <x v="0"/>
    <x v="1"/>
    <x v="3"/>
    <x v="10"/>
    <x v="19"/>
    <x v="4"/>
    <x v="9"/>
    <n v="2"/>
  </r>
  <r>
    <x v="0"/>
    <x v="1"/>
    <x v="3"/>
    <x v="10"/>
    <x v="19"/>
    <x v="4"/>
    <x v="3"/>
    <n v="3"/>
  </r>
  <r>
    <x v="0"/>
    <x v="1"/>
    <x v="3"/>
    <x v="10"/>
    <x v="19"/>
    <x v="5"/>
    <x v="3"/>
    <n v="1"/>
  </r>
  <r>
    <x v="0"/>
    <x v="1"/>
    <x v="3"/>
    <x v="10"/>
    <x v="19"/>
    <x v="11"/>
    <x v="12"/>
    <n v="1"/>
  </r>
  <r>
    <x v="0"/>
    <x v="1"/>
    <x v="3"/>
    <x v="10"/>
    <x v="19"/>
    <x v="11"/>
    <x v="9"/>
    <n v="4"/>
  </r>
  <r>
    <x v="0"/>
    <x v="1"/>
    <x v="3"/>
    <x v="10"/>
    <x v="19"/>
    <x v="6"/>
    <x v="8"/>
    <n v="3"/>
  </r>
  <r>
    <x v="0"/>
    <x v="1"/>
    <x v="3"/>
    <x v="10"/>
    <x v="19"/>
    <x v="6"/>
    <x v="12"/>
    <n v="2"/>
  </r>
  <r>
    <x v="0"/>
    <x v="1"/>
    <x v="3"/>
    <x v="10"/>
    <x v="19"/>
    <x v="7"/>
    <x v="6"/>
    <n v="59"/>
  </r>
  <r>
    <x v="0"/>
    <x v="1"/>
    <x v="3"/>
    <x v="10"/>
    <x v="19"/>
    <x v="7"/>
    <x v="10"/>
    <n v="15"/>
  </r>
  <r>
    <x v="0"/>
    <x v="1"/>
    <x v="3"/>
    <x v="10"/>
    <x v="19"/>
    <x v="7"/>
    <x v="1"/>
    <n v="1"/>
  </r>
  <r>
    <x v="0"/>
    <x v="1"/>
    <x v="3"/>
    <x v="10"/>
    <x v="19"/>
    <x v="8"/>
    <x v="6"/>
    <n v="7"/>
  </r>
  <r>
    <x v="0"/>
    <x v="1"/>
    <x v="3"/>
    <x v="10"/>
    <x v="19"/>
    <x v="8"/>
    <x v="10"/>
    <n v="7"/>
  </r>
  <r>
    <x v="0"/>
    <x v="1"/>
    <x v="3"/>
    <x v="11"/>
    <x v="0"/>
    <x v="11"/>
    <x v="8"/>
    <n v="2"/>
  </r>
  <r>
    <x v="0"/>
    <x v="1"/>
    <x v="3"/>
    <x v="11"/>
    <x v="0"/>
    <x v="7"/>
    <x v="7"/>
    <n v="5"/>
  </r>
  <r>
    <x v="0"/>
    <x v="1"/>
    <x v="3"/>
    <x v="11"/>
    <x v="0"/>
    <x v="7"/>
    <x v="6"/>
    <n v="2"/>
  </r>
  <r>
    <x v="0"/>
    <x v="1"/>
    <x v="3"/>
    <x v="11"/>
    <x v="0"/>
    <x v="8"/>
    <x v="7"/>
    <n v="24"/>
  </r>
  <r>
    <x v="0"/>
    <x v="1"/>
    <x v="3"/>
    <x v="11"/>
    <x v="5"/>
    <x v="7"/>
    <x v="1"/>
    <n v="7"/>
  </r>
  <r>
    <x v="0"/>
    <x v="1"/>
    <x v="3"/>
    <x v="11"/>
    <x v="13"/>
    <x v="0"/>
    <x v="4"/>
    <n v="1"/>
  </r>
  <r>
    <x v="0"/>
    <x v="1"/>
    <x v="3"/>
    <x v="11"/>
    <x v="15"/>
    <x v="0"/>
    <x v="12"/>
    <n v="2"/>
  </r>
  <r>
    <x v="0"/>
    <x v="1"/>
    <x v="3"/>
    <x v="11"/>
    <x v="15"/>
    <x v="0"/>
    <x v="9"/>
    <n v="5"/>
  </r>
  <r>
    <x v="0"/>
    <x v="1"/>
    <x v="3"/>
    <x v="11"/>
    <x v="15"/>
    <x v="0"/>
    <x v="3"/>
    <n v="5"/>
  </r>
  <r>
    <x v="0"/>
    <x v="1"/>
    <x v="3"/>
    <x v="11"/>
    <x v="15"/>
    <x v="0"/>
    <x v="4"/>
    <n v="3"/>
  </r>
  <r>
    <x v="0"/>
    <x v="1"/>
    <x v="3"/>
    <x v="11"/>
    <x v="8"/>
    <x v="14"/>
    <x v="6"/>
    <n v="3"/>
  </r>
  <r>
    <x v="0"/>
    <x v="1"/>
    <x v="3"/>
    <x v="11"/>
    <x v="8"/>
    <x v="14"/>
    <x v="1"/>
    <n v="1"/>
  </r>
  <r>
    <x v="0"/>
    <x v="1"/>
    <x v="3"/>
    <x v="11"/>
    <x v="8"/>
    <x v="13"/>
    <x v="7"/>
    <n v="20"/>
  </r>
  <r>
    <x v="0"/>
    <x v="1"/>
    <x v="3"/>
    <x v="11"/>
    <x v="8"/>
    <x v="13"/>
    <x v="6"/>
    <n v="5"/>
  </r>
  <r>
    <x v="0"/>
    <x v="1"/>
    <x v="3"/>
    <x v="11"/>
    <x v="8"/>
    <x v="13"/>
    <x v="10"/>
    <n v="5"/>
  </r>
  <r>
    <x v="0"/>
    <x v="1"/>
    <x v="3"/>
    <x v="11"/>
    <x v="8"/>
    <x v="13"/>
    <x v="3"/>
    <n v="1"/>
  </r>
  <r>
    <x v="0"/>
    <x v="1"/>
    <x v="3"/>
    <x v="11"/>
    <x v="8"/>
    <x v="3"/>
    <x v="1"/>
    <n v="5"/>
  </r>
  <r>
    <x v="0"/>
    <x v="1"/>
    <x v="3"/>
    <x v="11"/>
    <x v="8"/>
    <x v="5"/>
    <x v="10"/>
    <n v="3"/>
  </r>
  <r>
    <x v="0"/>
    <x v="1"/>
    <x v="3"/>
    <x v="11"/>
    <x v="8"/>
    <x v="6"/>
    <x v="6"/>
    <n v="6"/>
  </r>
  <r>
    <x v="0"/>
    <x v="1"/>
    <x v="3"/>
    <x v="11"/>
    <x v="8"/>
    <x v="9"/>
    <x v="9"/>
    <n v="1"/>
  </r>
  <r>
    <x v="0"/>
    <x v="1"/>
    <x v="3"/>
    <x v="11"/>
    <x v="8"/>
    <x v="9"/>
    <x v="5"/>
    <n v="1"/>
  </r>
  <r>
    <x v="0"/>
    <x v="1"/>
    <x v="3"/>
    <x v="11"/>
    <x v="8"/>
    <x v="12"/>
    <x v="7"/>
    <n v="5"/>
  </r>
  <r>
    <x v="0"/>
    <x v="1"/>
    <x v="3"/>
    <x v="11"/>
    <x v="18"/>
    <x v="0"/>
    <x v="1"/>
    <n v="1"/>
  </r>
  <r>
    <x v="0"/>
    <x v="1"/>
    <x v="3"/>
    <x v="12"/>
    <x v="4"/>
    <x v="1"/>
    <x v="7"/>
    <n v="3"/>
  </r>
  <r>
    <x v="0"/>
    <x v="1"/>
    <x v="3"/>
    <x v="12"/>
    <x v="4"/>
    <x v="1"/>
    <x v="6"/>
    <n v="7"/>
  </r>
  <r>
    <x v="0"/>
    <x v="1"/>
    <x v="3"/>
    <x v="12"/>
    <x v="4"/>
    <x v="0"/>
    <x v="6"/>
    <n v="6"/>
  </r>
  <r>
    <x v="0"/>
    <x v="1"/>
    <x v="3"/>
    <x v="12"/>
    <x v="6"/>
    <x v="16"/>
    <x v="5"/>
    <n v="1"/>
  </r>
  <r>
    <x v="0"/>
    <x v="1"/>
    <x v="3"/>
    <x v="12"/>
    <x v="6"/>
    <x v="15"/>
    <x v="6"/>
    <n v="5"/>
  </r>
  <r>
    <x v="0"/>
    <x v="1"/>
    <x v="3"/>
    <x v="12"/>
    <x v="6"/>
    <x v="15"/>
    <x v="10"/>
    <n v="1"/>
  </r>
  <r>
    <x v="0"/>
    <x v="1"/>
    <x v="3"/>
    <x v="12"/>
    <x v="6"/>
    <x v="15"/>
    <x v="3"/>
    <n v="1"/>
  </r>
  <r>
    <x v="0"/>
    <x v="1"/>
    <x v="3"/>
    <x v="12"/>
    <x v="6"/>
    <x v="14"/>
    <x v="6"/>
    <n v="4"/>
  </r>
  <r>
    <x v="0"/>
    <x v="1"/>
    <x v="3"/>
    <x v="12"/>
    <x v="6"/>
    <x v="14"/>
    <x v="12"/>
    <n v="1"/>
  </r>
  <r>
    <x v="0"/>
    <x v="1"/>
    <x v="3"/>
    <x v="12"/>
    <x v="6"/>
    <x v="2"/>
    <x v="10"/>
    <n v="3"/>
  </r>
  <r>
    <x v="0"/>
    <x v="1"/>
    <x v="3"/>
    <x v="12"/>
    <x v="6"/>
    <x v="2"/>
    <x v="2"/>
    <n v="1"/>
  </r>
  <r>
    <x v="0"/>
    <x v="1"/>
    <x v="3"/>
    <x v="12"/>
    <x v="6"/>
    <x v="10"/>
    <x v="3"/>
    <n v="2"/>
  </r>
  <r>
    <x v="0"/>
    <x v="1"/>
    <x v="3"/>
    <x v="12"/>
    <x v="6"/>
    <x v="3"/>
    <x v="6"/>
    <n v="1"/>
  </r>
  <r>
    <x v="0"/>
    <x v="1"/>
    <x v="3"/>
    <x v="12"/>
    <x v="6"/>
    <x v="3"/>
    <x v="3"/>
    <n v="1"/>
  </r>
  <r>
    <x v="0"/>
    <x v="1"/>
    <x v="3"/>
    <x v="12"/>
    <x v="6"/>
    <x v="4"/>
    <x v="9"/>
    <n v="1"/>
  </r>
  <r>
    <x v="0"/>
    <x v="1"/>
    <x v="3"/>
    <x v="12"/>
    <x v="6"/>
    <x v="4"/>
    <x v="4"/>
    <n v="1"/>
  </r>
  <r>
    <x v="0"/>
    <x v="1"/>
    <x v="3"/>
    <x v="12"/>
    <x v="6"/>
    <x v="5"/>
    <x v="3"/>
    <n v="1"/>
  </r>
  <r>
    <x v="0"/>
    <x v="1"/>
    <x v="3"/>
    <x v="12"/>
    <x v="6"/>
    <x v="11"/>
    <x v="12"/>
    <n v="1"/>
  </r>
  <r>
    <x v="0"/>
    <x v="1"/>
    <x v="3"/>
    <x v="12"/>
    <x v="6"/>
    <x v="11"/>
    <x v="9"/>
    <n v="2"/>
  </r>
  <r>
    <x v="0"/>
    <x v="1"/>
    <x v="3"/>
    <x v="12"/>
    <x v="6"/>
    <x v="9"/>
    <x v="12"/>
    <n v="2"/>
  </r>
  <r>
    <x v="0"/>
    <x v="1"/>
    <x v="3"/>
    <x v="12"/>
    <x v="6"/>
    <x v="7"/>
    <x v="1"/>
    <n v="2"/>
  </r>
  <r>
    <x v="0"/>
    <x v="1"/>
    <x v="3"/>
    <x v="12"/>
    <x v="6"/>
    <x v="8"/>
    <x v="1"/>
    <n v="1"/>
  </r>
  <r>
    <x v="0"/>
    <x v="1"/>
    <x v="3"/>
    <x v="12"/>
    <x v="6"/>
    <x v="8"/>
    <x v="4"/>
    <n v="1"/>
  </r>
  <r>
    <x v="0"/>
    <x v="1"/>
    <x v="3"/>
    <x v="12"/>
    <x v="11"/>
    <x v="0"/>
    <x v="12"/>
    <n v="1"/>
  </r>
  <r>
    <x v="0"/>
    <x v="1"/>
    <x v="3"/>
    <x v="12"/>
    <x v="19"/>
    <x v="0"/>
    <x v="19"/>
    <n v="6"/>
  </r>
  <r>
    <x v="0"/>
    <x v="1"/>
    <x v="3"/>
    <x v="13"/>
    <x v="15"/>
    <x v="11"/>
    <x v="3"/>
    <n v="1"/>
  </r>
  <r>
    <x v="0"/>
    <x v="1"/>
    <x v="3"/>
    <x v="13"/>
    <x v="15"/>
    <x v="6"/>
    <x v="5"/>
    <n v="1"/>
  </r>
  <r>
    <x v="0"/>
    <x v="1"/>
    <x v="3"/>
    <x v="13"/>
    <x v="15"/>
    <x v="9"/>
    <x v="12"/>
    <n v="1"/>
  </r>
  <r>
    <x v="0"/>
    <x v="1"/>
    <x v="3"/>
    <x v="13"/>
    <x v="15"/>
    <x v="12"/>
    <x v="12"/>
    <n v="2"/>
  </r>
  <r>
    <x v="0"/>
    <x v="1"/>
    <x v="1"/>
    <x v="8"/>
    <x v="7"/>
    <x v="14"/>
    <x v="11"/>
    <n v="1"/>
  </r>
  <r>
    <x v="0"/>
    <x v="1"/>
    <x v="1"/>
    <x v="8"/>
    <x v="7"/>
    <x v="14"/>
    <x v="14"/>
    <n v="2"/>
  </r>
  <r>
    <x v="0"/>
    <x v="1"/>
    <x v="1"/>
    <x v="8"/>
    <x v="7"/>
    <x v="14"/>
    <x v="17"/>
    <n v="2"/>
  </r>
  <r>
    <x v="0"/>
    <x v="1"/>
    <x v="1"/>
    <x v="8"/>
    <x v="7"/>
    <x v="14"/>
    <x v="19"/>
    <n v="1"/>
  </r>
  <r>
    <x v="0"/>
    <x v="1"/>
    <x v="1"/>
    <x v="8"/>
    <x v="7"/>
    <x v="13"/>
    <x v="14"/>
    <n v="1"/>
  </r>
  <r>
    <x v="0"/>
    <x v="1"/>
    <x v="1"/>
    <x v="8"/>
    <x v="7"/>
    <x v="2"/>
    <x v="18"/>
    <n v="1"/>
  </r>
  <r>
    <x v="0"/>
    <x v="1"/>
    <x v="1"/>
    <x v="8"/>
    <x v="6"/>
    <x v="18"/>
    <x v="4"/>
    <n v="1"/>
  </r>
  <r>
    <x v="0"/>
    <x v="1"/>
    <x v="1"/>
    <x v="8"/>
    <x v="6"/>
    <x v="13"/>
    <x v="4"/>
    <n v="1"/>
  </r>
  <r>
    <x v="0"/>
    <x v="1"/>
    <x v="1"/>
    <x v="8"/>
    <x v="6"/>
    <x v="13"/>
    <x v="2"/>
    <n v="1"/>
  </r>
  <r>
    <x v="0"/>
    <x v="1"/>
    <x v="1"/>
    <x v="8"/>
    <x v="6"/>
    <x v="13"/>
    <x v="11"/>
    <n v="1"/>
  </r>
  <r>
    <x v="0"/>
    <x v="1"/>
    <x v="1"/>
    <x v="8"/>
    <x v="6"/>
    <x v="2"/>
    <x v="12"/>
    <n v="3"/>
  </r>
  <r>
    <x v="0"/>
    <x v="1"/>
    <x v="1"/>
    <x v="8"/>
    <x v="6"/>
    <x v="2"/>
    <x v="9"/>
    <n v="2"/>
  </r>
  <r>
    <x v="0"/>
    <x v="1"/>
    <x v="1"/>
    <x v="8"/>
    <x v="6"/>
    <x v="2"/>
    <x v="3"/>
    <n v="2"/>
  </r>
  <r>
    <x v="0"/>
    <x v="1"/>
    <x v="1"/>
    <x v="8"/>
    <x v="6"/>
    <x v="10"/>
    <x v="12"/>
    <n v="3"/>
  </r>
  <r>
    <x v="0"/>
    <x v="1"/>
    <x v="1"/>
    <x v="8"/>
    <x v="6"/>
    <x v="10"/>
    <x v="9"/>
    <n v="4"/>
  </r>
  <r>
    <x v="0"/>
    <x v="1"/>
    <x v="1"/>
    <x v="8"/>
    <x v="6"/>
    <x v="10"/>
    <x v="3"/>
    <n v="1"/>
  </r>
  <r>
    <x v="0"/>
    <x v="1"/>
    <x v="1"/>
    <x v="8"/>
    <x v="6"/>
    <x v="10"/>
    <x v="5"/>
    <n v="2"/>
  </r>
  <r>
    <x v="0"/>
    <x v="1"/>
    <x v="1"/>
    <x v="8"/>
    <x v="6"/>
    <x v="10"/>
    <x v="2"/>
    <n v="1"/>
  </r>
  <r>
    <x v="0"/>
    <x v="1"/>
    <x v="1"/>
    <x v="8"/>
    <x v="6"/>
    <x v="3"/>
    <x v="12"/>
    <n v="2"/>
  </r>
  <r>
    <x v="0"/>
    <x v="1"/>
    <x v="1"/>
    <x v="8"/>
    <x v="6"/>
    <x v="3"/>
    <x v="9"/>
    <n v="1"/>
  </r>
  <r>
    <x v="0"/>
    <x v="1"/>
    <x v="1"/>
    <x v="8"/>
    <x v="6"/>
    <x v="3"/>
    <x v="4"/>
    <n v="1"/>
  </r>
  <r>
    <x v="0"/>
    <x v="1"/>
    <x v="1"/>
    <x v="8"/>
    <x v="6"/>
    <x v="4"/>
    <x v="1"/>
    <n v="1"/>
  </r>
  <r>
    <x v="0"/>
    <x v="1"/>
    <x v="1"/>
    <x v="8"/>
    <x v="6"/>
    <x v="4"/>
    <x v="3"/>
    <n v="1"/>
  </r>
  <r>
    <x v="0"/>
    <x v="1"/>
    <x v="1"/>
    <x v="8"/>
    <x v="6"/>
    <x v="4"/>
    <x v="4"/>
    <n v="1"/>
  </r>
  <r>
    <x v="0"/>
    <x v="1"/>
    <x v="1"/>
    <x v="8"/>
    <x v="6"/>
    <x v="5"/>
    <x v="1"/>
    <n v="1"/>
  </r>
  <r>
    <x v="0"/>
    <x v="1"/>
    <x v="1"/>
    <x v="8"/>
    <x v="6"/>
    <x v="5"/>
    <x v="9"/>
    <n v="4"/>
  </r>
  <r>
    <x v="0"/>
    <x v="1"/>
    <x v="1"/>
    <x v="8"/>
    <x v="6"/>
    <x v="11"/>
    <x v="1"/>
    <n v="3"/>
  </r>
  <r>
    <x v="0"/>
    <x v="1"/>
    <x v="1"/>
    <x v="8"/>
    <x v="6"/>
    <x v="11"/>
    <x v="9"/>
    <n v="1"/>
  </r>
  <r>
    <x v="0"/>
    <x v="1"/>
    <x v="1"/>
    <x v="8"/>
    <x v="6"/>
    <x v="6"/>
    <x v="1"/>
    <n v="1"/>
  </r>
  <r>
    <x v="0"/>
    <x v="1"/>
    <x v="1"/>
    <x v="8"/>
    <x v="6"/>
    <x v="6"/>
    <x v="12"/>
    <n v="3"/>
  </r>
  <r>
    <x v="0"/>
    <x v="1"/>
    <x v="1"/>
    <x v="8"/>
    <x v="11"/>
    <x v="5"/>
    <x v="9"/>
    <n v="1"/>
  </r>
  <r>
    <x v="0"/>
    <x v="1"/>
    <x v="1"/>
    <x v="8"/>
    <x v="11"/>
    <x v="6"/>
    <x v="12"/>
    <n v="2"/>
  </r>
  <r>
    <x v="0"/>
    <x v="1"/>
    <x v="1"/>
    <x v="8"/>
    <x v="11"/>
    <x v="6"/>
    <x v="9"/>
    <n v="1"/>
  </r>
  <r>
    <x v="0"/>
    <x v="1"/>
    <x v="1"/>
    <x v="8"/>
    <x v="11"/>
    <x v="9"/>
    <x v="12"/>
    <n v="2"/>
  </r>
  <r>
    <x v="0"/>
    <x v="1"/>
    <x v="1"/>
    <x v="8"/>
    <x v="11"/>
    <x v="9"/>
    <x v="9"/>
    <n v="1"/>
  </r>
  <r>
    <x v="0"/>
    <x v="1"/>
    <x v="1"/>
    <x v="8"/>
    <x v="11"/>
    <x v="12"/>
    <x v="12"/>
    <n v="3"/>
  </r>
  <r>
    <x v="0"/>
    <x v="1"/>
    <x v="1"/>
    <x v="10"/>
    <x v="16"/>
    <x v="16"/>
    <x v="3"/>
    <n v="1"/>
  </r>
  <r>
    <x v="0"/>
    <x v="1"/>
    <x v="1"/>
    <x v="10"/>
    <x v="16"/>
    <x v="15"/>
    <x v="12"/>
    <n v="2"/>
  </r>
  <r>
    <x v="0"/>
    <x v="1"/>
    <x v="1"/>
    <x v="10"/>
    <x v="16"/>
    <x v="15"/>
    <x v="9"/>
    <n v="2"/>
  </r>
  <r>
    <x v="0"/>
    <x v="1"/>
    <x v="1"/>
    <x v="10"/>
    <x v="16"/>
    <x v="15"/>
    <x v="3"/>
    <n v="1"/>
  </r>
  <r>
    <x v="0"/>
    <x v="1"/>
    <x v="1"/>
    <x v="10"/>
    <x v="16"/>
    <x v="14"/>
    <x v="12"/>
    <n v="7"/>
  </r>
  <r>
    <x v="0"/>
    <x v="1"/>
    <x v="1"/>
    <x v="10"/>
    <x v="16"/>
    <x v="14"/>
    <x v="9"/>
    <n v="5"/>
  </r>
  <r>
    <x v="0"/>
    <x v="1"/>
    <x v="1"/>
    <x v="10"/>
    <x v="16"/>
    <x v="14"/>
    <x v="3"/>
    <n v="1"/>
  </r>
  <r>
    <x v="0"/>
    <x v="1"/>
    <x v="1"/>
    <x v="10"/>
    <x v="16"/>
    <x v="14"/>
    <x v="4"/>
    <n v="1"/>
  </r>
  <r>
    <x v="0"/>
    <x v="1"/>
    <x v="1"/>
    <x v="10"/>
    <x v="16"/>
    <x v="13"/>
    <x v="1"/>
    <n v="13"/>
  </r>
  <r>
    <x v="0"/>
    <x v="1"/>
    <x v="1"/>
    <x v="10"/>
    <x v="16"/>
    <x v="13"/>
    <x v="12"/>
    <n v="10"/>
  </r>
  <r>
    <x v="0"/>
    <x v="1"/>
    <x v="1"/>
    <x v="10"/>
    <x v="16"/>
    <x v="13"/>
    <x v="9"/>
    <n v="8"/>
  </r>
  <r>
    <x v="0"/>
    <x v="1"/>
    <x v="1"/>
    <x v="10"/>
    <x v="16"/>
    <x v="2"/>
    <x v="10"/>
    <n v="10"/>
  </r>
  <r>
    <x v="0"/>
    <x v="1"/>
    <x v="1"/>
    <x v="10"/>
    <x v="16"/>
    <x v="2"/>
    <x v="1"/>
    <n v="14"/>
  </r>
  <r>
    <x v="0"/>
    <x v="1"/>
    <x v="1"/>
    <x v="10"/>
    <x v="16"/>
    <x v="10"/>
    <x v="10"/>
    <n v="10"/>
  </r>
  <r>
    <x v="0"/>
    <x v="1"/>
    <x v="1"/>
    <x v="10"/>
    <x v="16"/>
    <x v="10"/>
    <x v="1"/>
    <n v="12"/>
  </r>
  <r>
    <x v="0"/>
    <x v="1"/>
    <x v="1"/>
    <x v="10"/>
    <x v="16"/>
    <x v="3"/>
    <x v="10"/>
    <n v="3"/>
  </r>
  <r>
    <x v="0"/>
    <x v="1"/>
    <x v="1"/>
    <x v="10"/>
    <x v="16"/>
    <x v="4"/>
    <x v="10"/>
    <n v="1"/>
  </r>
  <r>
    <x v="0"/>
    <x v="1"/>
    <x v="1"/>
    <x v="10"/>
    <x v="16"/>
    <x v="12"/>
    <x v="2"/>
    <n v="1"/>
  </r>
  <r>
    <x v="0"/>
    <x v="1"/>
    <x v="1"/>
    <x v="11"/>
    <x v="0"/>
    <x v="9"/>
    <x v="5"/>
    <n v="1"/>
  </r>
  <r>
    <x v="0"/>
    <x v="1"/>
    <x v="1"/>
    <x v="11"/>
    <x v="14"/>
    <x v="13"/>
    <x v="13"/>
    <n v="1"/>
  </r>
  <r>
    <x v="0"/>
    <x v="1"/>
    <x v="1"/>
    <x v="11"/>
    <x v="14"/>
    <x v="13"/>
    <x v="14"/>
    <n v="1"/>
  </r>
  <r>
    <x v="0"/>
    <x v="1"/>
    <x v="1"/>
    <x v="11"/>
    <x v="14"/>
    <x v="2"/>
    <x v="11"/>
    <n v="1"/>
  </r>
  <r>
    <x v="0"/>
    <x v="1"/>
    <x v="1"/>
    <x v="11"/>
    <x v="14"/>
    <x v="10"/>
    <x v="4"/>
    <n v="1"/>
  </r>
  <r>
    <x v="0"/>
    <x v="1"/>
    <x v="1"/>
    <x v="11"/>
    <x v="14"/>
    <x v="3"/>
    <x v="13"/>
    <n v="1"/>
  </r>
  <r>
    <x v="0"/>
    <x v="1"/>
    <x v="1"/>
    <x v="11"/>
    <x v="14"/>
    <x v="5"/>
    <x v="3"/>
    <n v="1"/>
  </r>
  <r>
    <x v="0"/>
    <x v="1"/>
    <x v="1"/>
    <x v="11"/>
    <x v="14"/>
    <x v="8"/>
    <x v="4"/>
    <n v="1"/>
  </r>
  <r>
    <x v="0"/>
    <x v="1"/>
    <x v="1"/>
    <x v="11"/>
    <x v="8"/>
    <x v="3"/>
    <x v="3"/>
    <n v="1"/>
  </r>
  <r>
    <x v="0"/>
    <x v="1"/>
    <x v="1"/>
    <x v="11"/>
    <x v="8"/>
    <x v="11"/>
    <x v="12"/>
    <n v="1"/>
  </r>
  <r>
    <x v="0"/>
    <x v="1"/>
    <x v="1"/>
    <x v="11"/>
    <x v="7"/>
    <x v="10"/>
    <x v="5"/>
    <n v="1"/>
  </r>
  <r>
    <x v="0"/>
    <x v="1"/>
    <x v="1"/>
    <x v="11"/>
    <x v="7"/>
    <x v="10"/>
    <x v="0"/>
    <n v="2"/>
  </r>
  <r>
    <x v="0"/>
    <x v="1"/>
    <x v="1"/>
    <x v="11"/>
    <x v="7"/>
    <x v="3"/>
    <x v="4"/>
    <n v="1"/>
  </r>
  <r>
    <x v="0"/>
    <x v="1"/>
    <x v="1"/>
    <x v="11"/>
    <x v="7"/>
    <x v="0"/>
    <x v="17"/>
    <n v="1"/>
  </r>
  <r>
    <x v="0"/>
    <x v="1"/>
    <x v="1"/>
    <x v="12"/>
    <x v="12"/>
    <x v="11"/>
    <x v="12"/>
    <n v="1"/>
  </r>
  <r>
    <x v="0"/>
    <x v="1"/>
    <x v="1"/>
    <x v="12"/>
    <x v="12"/>
    <x v="6"/>
    <x v="1"/>
    <n v="1"/>
  </r>
  <r>
    <x v="0"/>
    <x v="1"/>
    <x v="1"/>
    <x v="12"/>
    <x v="7"/>
    <x v="13"/>
    <x v="5"/>
    <n v="2"/>
  </r>
  <r>
    <x v="0"/>
    <x v="1"/>
    <x v="1"/>
    <x v="12"/>
    <x v="6"/>
    <x v="17"/>
    <x v="4"/>
    <n v="1"/>
  </r>
  <r>
    <x v="0"/>
    <x v="1"/>
    <x v="1"/>
    <x v="12"/>
    <x v="6"/>
    <x v="18"/>
    <x v="12"/>
    <n v="5"/>
  </r>
  <r>
    <x v="0"/>
    <x v="1"/>
    <x v="1"/>
    <x v="12"/>
    <x v="6"/>
    <x v="16"/>
    <x v="13"/>
    <n v="1"/>
  </r>
  <r>
    <x v="0"/>
    <x v="1"/>
    <x v="1"/>
    <x v="12"/>
    <x v="6"/>
    <x v="16"/>
    <x v="11"/>
    <n v="1"/>
  </r>
  <r>
    <x v="0"/>
    <x v="1"/>
    <x v="1"/>
    <x v="12"/>
    <x v="6"/>
    <x v="15"/>
    <x v="5"/>
    <n v="2"/>
  </r>
  <r>
    <x v="0"/>
    <x v="1"/>
    <x v="1"/>
    <x v="12"/>
    <x v="6"/>
    <x v="15"/>
    <x v="13"/>
    <n v="2"/>
  </r>
  <r>
    <x v="0"/>
    <x v="1"/>
    <x v="1"/>
    <x v="12"/>
    <x v="6"/>
    <x v="15"/>
    <x v="11"/>
    <n v="1"/>
  </r>
  <r>
    <x v="0"/>
    <x v="1"/>
    <x v="1"/>
    <x v="12"/>
    <x v="6"/>
    <x v="14"/>
    <x v="3"/>
    <n v="1"/>
  </r>
  <r>
    <x v="0"/>
    <x v="1"/>
    <x v="1"/>
    <x v="12"/>
    <x v="6"/>
    <x v="14"/>
    <x v="4"/>
    <n v="1"/>
  </r>
  <r>
    <x v="0"/>
    <x v="1"/>
    <x v="1"/>
    <x v="12"/>
    <x v="6"/>
    <x v="14"/>
    <x v="13"/>
    <n v="1"/>
  </r>
  <r>
    <x v="0"/>
    <x v="1"/>
    <x v="1"/>
    <x v="12"/>
    <x v="6"/>
    <x v="13"/>
    <x v="12"/>
    <n v="6"/>
  </r>
  <r>
    <x v="0"/>
    <x v="1"/>
    <x v="1"/>
    <x v="12"/>
    <x v="6"/>
    <x v="13"/>
    <x v="9"/>
    <n v="2"/>
  </r>
  <r>
    <x v="0"/>
    <x v="1"/>
    <x v="1"/>
    <x v="12"/>
    <x v="6"/>
    <x v="13"/>
    <x v="3"/>
    <n v="6"/>
  </r>
  <r>
    <x v="0"/>
    <x v="1"/>
    <x v="1"/>
    <x v="12"/>
    <x v="6"/>
    <x v="13"/>
    <x v="4"/>
    <n v="1"/>
  </r>
  <r>
    <x v="0"/>
    <x v="1"/>
    <x v="1"/>
    <x v="12"/>
    <x v="6"/>
    <x v="13"/>
    <x v="5"/>
    <n v="1"/>
  </r>
  <r>
    <x v="0"/>
    <x v="1"/>
    <x v="1"/>
    <x v="12"/>
    <x v="6"/>
    <x v="13"/>
    <x v="2"/>
    <n v="1"/>
  </r>
  <r>
    <x v="0"/>
    <x v="1"/>
    <x v="1"/>
    <x v="12"/>
    <x v="6"/>
    <x v="2"/>
    <x v="1"/>
    <n v="10"/>
  </r>
  <r>
    <x v="0"/>
    <x v="1"/>
    <x v="1"/>
    <x v="12"/>
    <x v="6"/>
    <x v="2"/>
    <x v="12"/>
    <n v="5"/>
  </r>
  <r>
    <x v="0"/>
    <x v="1"/>
    <x v="1"/>
    <x v="12"/>
    <x v="6"/>
    <x v="2"/>
    <x v="9"/>
    <n v="4"/>
  </r>
  <r>
    <x v="0"/>
    <x v="1"/>
    <x v="1"/>
    <x v="12"/>
    <x v="6"/>
    <x v="2"/>
    <x v="3"/>
    <n v="2"/>
  </r>
  <r>
    <x v="0"/>
    <x v="1"/>
    <x v="1"/>
    <x v="12"/>
    <x v="6"/>
    <x v="2"/>
    <x v="4"/>
    <n v="1"/>
  </r>
  <r>
    <x v="0"/>
    <x v="1"/>
    <x v="1"/>
    <x v="12"/>
    <x v="6"/>
    <x v="10"/>
    <x v="1"/>
    <n v="4"/>
  </r>
  <r>
    <x v="0"/>
    <x v="1"/>
    <x v="1"/>
    <x v="12"/>
    <x v="6"/>
    <x v="10"/>
    <x v="12"/>
    <n v="7"/>
  </r>
  <r>
    <x v="0"/>
    <x v="1"/>
    <x v="1"/>
    <x v="12"/>
    <x v="6"/>
    <x v="10"/>
    <x v="3"/>
    <n v="1"/>
  </r>
  <r>
    <x v="0"/>
    <x v="1"/>
    <x v="1"/>
    <x v="12"/>
    <x v="6"/>
    <x v="3"/>
    <x v="10"/>
    <n v="2"/>
  </r>
  <r>
    <x v="0"/>
    <x v="1"/>
    <x v="1"/>
    <x v="12"/>
    <x v="6"/>
    <x v="3"/>
    <x v="1"/>
    <n v="3"/>
  </r>
  <r>
    <x v="0"/>
    <x v="1"/>
    <x v="1"/>
    <x v="12"/>
    <x v="6"/>
    <x v="3"/>
    <x v="12"/>
    <n v="1"/>
  </r>
  <r>
    <x v="0"/>
    <x v="1"/>
    <x v="1"/>
    <x v="12"/>
    <x v="6"/>
    <x v="3"/>
    <x v="9"/>
    <n v="3"/>
  </r>
  <r>
    <x v="0"/>
    <x v="1"/>
    <x v="1"/>
    <x v="12"/>
    <x v="6"/>
    <x v="4"/>
    <x v="10"/>
    <n v="2"/>
  </r>
  <r>
    <x v="0"/>
    <x v="1"/>
    <x v="1"/>
    <x v="12"/>
    <x v="6"/>
    <x v="4"/>
    <x v="1"/>
    <n v="6"/>
  </r>
  <r>
    <x v="0"/>
    <x v="1"/>
    <x v="1"/>
    <x v="12"/>
    <x v="6"/>
    <x v="4"/>
    <x v="12"/>
    <n v="6"/>
  </r>
  <r>
    <x v="0"/>
    <x v="1"/>
    <x v="1"/>
    <x v="12"/>
    <x v="6"/>
    <x v="5"/>
    <x v="1"/>
    <n v="1"/>
  </r>
  <r>
    <x v="0"/>
    <x v="1"/>
    <x v="1"/>
    <x v="12"/>
    <x v="6"/>
    <x v="11"/>
    <x v="1"/>
    <n v="4"/>
  </r>
  <r>
    <x v="0"/>
    <x v="1"/>
    <x v="1"/>
    <x v="12"/>
    <x v="6"/>
    <x v="7"/>
    <x v="12"/>
    <n v="1"/>
  </r>
  <r>
    <x v="0"/>
    <x v="1"/>
    <x v="1"/>
    <x v="12"/>
    <x v="6"/>
    <x v="7"/>
    <x v="9"/>
    <n v="2"/>
  </r>
  <r>
    <x v="0"/>
    <x v="1"/>
    <x v="1"/>
    <x v="13"/>
    <x v="0"/>
    <x v="3"/>
    <x v="17"/>
    <n v="1"/>
  </r>
  <r>
    <x v="0"/>
    <x v="1"/>
    <x v="1"/>
    <x v="13"/>
    <x v="15"/>
    <x v="11"/>
    <x v="12"/>
    <n v="1"/>
  </r>
  <r>
    <x v="0"/>
    <x v="1"/>
    <x v="1"/>
    <x v="13"/>
    <x v="7"/>
    <x v="13"/>
    <x v="3"/>
    <n v="1"/>
  </r>
  <r>
    <x v="0"/>
    <x v="1"/>
    <x v="1"/>
    <x v="13"/>
    <x v="17"/>
    <x v="16"/>
    <x v="2"/>
    <n v="2"/>
  </r>
  <r>
    <x v="0"/>
    <x v="1"/>
    <x v="1"/>
    <x v="13"/>
    <x v="17"/>
    <x v="16"/>
    <x v="11"/>
    <n v="2"/>
  </r>
  <r>
    <x v="0"/>
    <x v="1"/>
    <x v="1"/>
    <x v="13"/>
    <x v="17"/>
    <x v="15"/>
    <x v="5"/>
    <n v="2"/>
  </r>
  <r>
    <x v="0"/>
    <x v="1"/>
    <x v="1"/>
    <x v="13"/>
    <x v="17"/>
    <x v="15"/>
    <x v="2"/>
    <n v="5"/>
  </r>
  <r>
    <x v="0"/>
    <x v="1"/>
    <x v="1"/>
    <x v="13"/>
    <x v="17"/>
    <x v="14"/>
    <x v="0"/>
    <n v="3"/>
  </r>
  <r>
    <x v="0"/>
    <x v="1"/>
    <x v="1"/>
    <x v="14"/>
    <x v="16"/>
    <x v="15"/>
    <x v="12"/>
    <n v="3"/>
  </r>
  <r>
    <x v="0"/>
    <x v="1"/>
    <x v="1"/>
    <x v="14"/>
    <x v="16"/>
    <x v="14"/>
    <x v="10"/>
    <n v="1"/>
  </r>
  <r>
    <x v="0"/>
    <x v="1"/>
    <x v="1"/>
    <x v="14"/>
    <x v="16"/>
    <x v="14"/>
    <x v="1"/>
    <n v="9"/>
  </r>
  <r>
    <x v="0"/>
    <x v="1"/>
    <x v="1"/>
    <x v="14"/>
    <x v="16"/>
    <x v="13"/>
    <x v="6"/>
    <n v="1"/>
  </r>
  <r>
    <x v="0"/>
    <x v="1"/>
    <x v="1"/>
    <x v="14"/>
    <x v="16"/>
    <x v="13"/>
    <x v="10"/>
    <n v="11"/>
  </r>
  <r>
    <x v="0"/>
    <x v="1"/>
    <x v="1"/>
    <x v="14"/>
    <x v="16"/>
    <x v="13"/>
    <x v="1"/>
    <n v="11"/>
  </r>
  <r>
    <x v="0"/>
    <x v="1"/>
    <x v="1"/>
    <x v="14"/>
    <x v="16"/>
    <x v="2"/>
    <x v="6"/>
    <n v="16"/>
  </r>
  <r>
    <x v="0"/>
    <x v="1"/>
    <x v="1"/>
    <x v="14"/>
    <x v="16"/>
    <x v="10"/>
    <x v="6"/>
    <n v="17"/>
  </r>
  <r>
    <x v="0"/>
    <x v="1"/>
    <x v="1"/>
    <x v="14"/>
    <x v="16"/>
    <x v="3"/>
    <x v="11"/>
    <n v="1"/>
  </r>
  <r>
    <x v="0"/>
    <x v="1"/>
    <x v="1"/>
    <x v="14"/>
    <x v="16"/>
    <x v="9"/>
    <x v="9"/>
    <n v="1"/>
  </r>
  <r>
    <x v="0"/>
    <x v="1"/>
    <x v="1"/>
    <x v="14"/>
    <x v="16"/>
    <x v="9"/>
    <x v="4"/>
    <n v="1"/>
  </r>
  <r>
    <x v="0"/>
    <x v="1"/>
    <x v="1"/>
    <x v="14"/>
    <x v="16"/>
    <x v="12"/>
    <x v="12"/>
    <n v="2"/>
  </r>
  <r>
    <x v="0"/>
    <x v="1"/>
    <x v="1"/>
    <x v="14"/>
    <x v="16"/>
    <x v="12"/>
    <x v="9"/>
    <n v="1"/>
  </r>
  <r>
    <x v="0"/>
    <x v="1"/>
    <x v="1"/>
    <x v="14"/>
    <x v="16"/>
    <x v="0"/>
    <x v="3"/>
    <n v="1"/>
  </r>
  <r>
    <x v="0"/>
    <x v="1"/>
    <x v="1"/>
    <x v="14"/>
    <x v="18"/>
    <x v="10"/>
    <x v="9"/>
    <n v="2"/>
  </r>
  <r>
    <x v="0"/>
    <x v="1"/>
    <x v="1"/>
    <x v="14"/>
    <x v="18"/>
    <x v="10"/>
    <x v="3"/>
    <n v="2"/>
  </r>
  <r>
    <x v="0"/>
    <x v="1"/>
    <x v="1"/>
    <x v="14"/>
    <x v="18"/>
    <x v="3"/>
    <x v="1"/>
    <n v="1"/>
  </r>
  <r>
    <x v="0"/>
    <x v="1"/>
    <x v="1"/>
    <x v="14"/>
    <x v="18"/>
    <x v="3"/>
    <x v="12"/>
    <n v="2"/>
  </r>
  <r>
    <x v="0"/>
    <x v="1"/>
    <x v="1"/>
    <x v="14"/>
    <x v="18"/>
    <x v="3"/>
    <x v="9"/>
    <n v="1"/>
  </r>
  <r>
    <x v="0"/>
    <x v="1"/>
    <x v="1"/>
    <x v="14"/>
    <x v="18"/>
    <x v="4"/>
    <x v="9"/>
    <n v="2"/>
  </r>
  <r>
    <x v="0"/>
    <x v="1"/>
    <x v="1"/>
    <x v="14"/>
    <x v="18"/>
    <x v="5"/>
    <x v="1"/>
    <n v="1"/>
  </r>
  <r>
    <x v="0"/>
    <x v="1"/>
    <x v="1"/>
    <x v="14"/>
    <x v="18"/>
    <x v="5"/>
    <x v="12"/>
    <n v="3"/>
  </r>
  <r>
    <x v="0"/>
    <x v="1"/>
    <x v="1"/>
    <x v="14"/>
    <x v="18"/>
    <x v="6"/>
    <x v="1"/>
    <n v="1"/>
  </r>
  <r>
    <x v="0"/>
    <x v="1"/>
    <x v="1"/>
    <x v="15"/>
    <x v="1"/>
    <x v="7"/>
    <x v="9"/>
    <n v="4"/>
  </r>
  <r>
    <x v="0"/>
    <x v="1"/>
    <x v="1"/>
    <x v="15"/>
    <x v="11"/>
    <x v="16"/>
    <x v="12"/>
    <n v="1"/>
  </r>
  <r>
    <x v="0"/>
    <x v="1"/>
    <x v="1"/>
    <x v="15"/>
    <x v="11"/>
    <x v="16"/>
    <x v="9"/>
    <n v="3"/>
  </r>
  <r>
    <x v="0"/>
    <x v="1"/>
    <x v="1"/>
    <x v="15"/>
    <x v="11"/>
    <x v="16"/>
    <x v="3"/>
    <n v="1"/>
  </r>
  <r>
    <x v="0"/>
    <x v="1"/>
    <x v="1"/>
    <x v="15"/>
    <x v="11"/>
    <x v="16"/>
    <x v="5"/>
    <n v="1"/>
  </r>
  <r>
    <x v="0"/>
    <x v="1"/>
    <x v="1"/>
    <x v="15"/>
    <x v="11"/>
    <x v="15"/>
    <x v="12"/>
    <n v="1"/>
  </r>
  <r>
    <x v="0"/>
    <x v="1"/>
    <x v="1"/>
    <x v="15"/>
    <x v="11"/>
    <x v="15"/>
    <x v="9"/>
    <n v="1"/>
  </r>
  <r>
    <x v="0"/>
    <x v="1"/>
    <x v="3"/>
    <x v="13"/>
    <x v="15"/>
    <x v="12"/>
    <x v="9"/>
    <n v="1"/>
  </r>
  <r>
    <x v="0"/>
    <x v="1"/>
    <x v="3"/>
    <x v="13"/>
    <x v="15"/>
    <x v="12"/>
    <x v="3"/>
    <n v="1"/>
  </r>
  <r>
    <x v="0"/>
    <x v="1"/>
    <x v="3"/>
    <x v="13"/>
    <x v="15"/>
    <x v="12"/>
    <x v="4"/>
    <n v="1"/>
  </r>
  <r>
    <x v="0"/>
    <x v="1"/>
    <x v="3"/>
    <x v="13"/>
    <x v="15"/>
    <x v="1"/>
    <x v="12"/>
    <n v="2"/>
  </r>
  <r>
    <x v="0"/>
    <x v="1"/>
    <x v="3"/>
    <x v="13"/>
    <x v="15"/>
    <x v="1"/>
    <x v="9"/>
    <n v="2"/>
  </r>
  <r>
    <x v="0"/>
    <x v="1"/>
    <x v="3"/>
    <x v="13"/>
    <x v="15"/>
    <x v="8"/>
    <x v="1"/>
    <n v="9"/>
  </r>
  <r>
    <x v="0"/>
    <x v="1"/>
    <x v="3"/>
    <x v="13"/>
    <x v="15"/>
    <x v="0"/>
    <x v="12"/>
    <n v="9"/>
  </r>
  <r>
    <x v="0"/>
    <x v="1"/>
    <x v="3"/>
    <x v="13"/>
    <x v="15"/>
    <x v="0"/>
    <x v="9"/>
    <n v="5"/>
  </r>
  <r>
    <x v="0"/>
    <x v="1"/>
    <x v="3"/>
    <x v="13"/>
    <x v="7"/>
    <x v="4"/>
    <x v="3"/>
    <n v="1"/>
  </r>
  <r>
    <x v="0"/>
    <x v="1"/>
    <x v="3"/>
    <x v="13"/>
    <x v="7"/>
    <x v="11"/>
    <x v="12"/>
    <n v="1"/>
  </r>
  <r>
    <x v="0"/>
    <x v="1"/>
    <x v="3"/>
    <x v="13"/>
    <x v="7"/>
    <x v="6"/>
    <x v="9"/>
    <n v="1"/>
  </r>
  <r>
    <x v="0"/>
    <x v="1"/>
    <x v="3"/>
    <x v="13"/>
    <x v="7"/>
    <x v="6"/>
    <x v="3"/>
    <n v="1"/>
  </r>
  <r>
    <x v="0"/>
    <x v="1"/>
    <x v="3"/>
    <x v="13"/>
    <x v="7"/>
    <x v="9"/>
    <x v="12"/>
    <n v="1"/>
  </r>
  <r>
    <x v="0"/>
    <x v="1"/>
    <x v="3"/>
    <x v="13"/>
    <x v="7"/>
    <x v="9"/>
    <x v="9"/>
    <n v="1"/>
  </r>
  <r>
    <x v="0"/>
    <x v="1"/>
    <x v="3"/>
    <x v="13"/>
    <x v="7"/>
    <x v="12"/>
    <x v="12"/>
    <n v="1"/>
  </r>
  <r>
    <x v="0"/>
    <x v="1"/>
    <x v="3"/>
    <x v="13"/>
    <x v="7"/>
    <x v="7"/>
    <x v="1"/>
    <n v="1"/>
  </r>
  <r>
    <x v="0"/>
    <x v="1"/>
    <x v="3"/>
    <x v="14"/>
    <x v="0"/>
    <x v="0"/>
    <x v="4"/>
    <n v="1"/>
  </r>
  <r>
    <x v="0"/>
    <x v="1"/>
    <x v="3"/>
    <x v="14"/>
    <x v="15"/>
    <x v="11"/>
    <x v="2"/>
    <n v="1"/>
  </r>
  <r>
    <x v="0"/>
    <x v="1"/>
    <x v="3"/>
    <x v="14"/>
    <x v="11"/>
    <x v="0"/>
    <x v="10"/>
    <n v="6"/>
  </r>
  <r>
    <x v="0"/>
    <x v="1"/>
    <x v="3"/>
    <x v="14"/>
    <x v="11"/>
    <x v="0"/>
    <x v="12"/>
    <n v="4"/>
  </r>
  <r>
    <x v="0"/>
    <x v="1"/>
    <x v="3"/>
    <x v="18"/>
    <x v="3"/>
    <x v="10"/>
    <x v="6"/>
    <n v="1"/>
  </r>
  <r>
    <x v="0"/>
    <x v="1"/>
    <x v="3"/>
    <x v="18"/>
    <x v="3"/>
    <x v="3"/>
    <x v="12"/>
    <n v="1"/>
  </r>
  <r>
    <x v="0"/>
    <x v="1"/>
    <x v="3"/>
    <x v="18"/>
    <x v="3"/>
    <x v="3"/>
    <x v="4"/>
    <n v="1"/>
  </r>
  <r>
    <x v="0"/>
    <x v="1"/>
    <x v="3"/>
    <x v="18"/>
    <x v="3"/>
    <x v="4"/>
    <x v="7"/>
    <n v="206"/>
  </r>
  <r>
    <x v="0"/>
    <x v="1"/>
    <x v="3"/>
    <x v="18"/>
    <x v="3"/>
    <x v="4"/>
    <x v="9"/>
    <n v="1"/>
  </r>
  <r>
    <x v="0"/>
    <x v="1"/>
    <x v="3"/>
    <x v="18"/>
    <x v="3"/>
    <x v="11"/>
    <x v="9"/>
    <n v="1"/>
  </r>
  <r>
    <x v="0"/>
    <x v="1"/>
    <x v="3"/>
    <x v="18"/>
    <x v="3"/>
    <x v="7"/>
    <x v="10"/>
    <n v="3"/>
  </r>
  <r>
    <x v="0"/>
    <x v="1"/>
    <x v="3"/>
    <x v="18"/>
    <x v="3"/>
    <x v="8"/>
    <x v="10"/>
    <n v="1"/>
  </r>
  <r>
    <x v="0"/>
    <x v="1"/>
    <x v="3"/>
    <x v="18"/>
    <x v="3"/>
    <x v="8"/>
    <x v="1"/>
    <n v="1"/>
  </r>
  <r>
    <x v="0"/>
    <x v="1"/>
    <x v="3"/>
    <x v="15"/>
    <x v="4"/>
    <x v="0"/>
    <x v="19"/>
    <n v="1"/>
  </r>
  <r>
    <x v="0"/>
    <x v="1"/>
    <x v="3"/>
    <x v="15"/>
    <x v="1"/>
    <x v="9"/>
    <x v="10"/>
    <n v="1"/>
  </r>
  <r>
    <x v="0"/>
    <x v="1"/>
    <x v="3"/>
    <x v="15"/>
    <x v="1"/>
    <x v="12"/>
    <x v="10"/>
    <n v="2"/>
  </r>
  <r>
    <x v="0"/>
    <x v="1"/>
    <x v="3"/>
    <x v="15"/>
    <x v="9"/>
    <x v="0"/>
    <x v="10"/>
    <n v="3"/>
  </r>
  <r>
    <x v="0"/>
    <x v="1"/>
    <x v="3"/>
    <x v="15"/>
    <x v="9"/>
    <x v="0"/>
    <x v="12"/>
    <n v="3"/>
  </r>
  <r>
    <x v="0"/>
    <x v="1"/>
    <x v="3"/>
    <x v="15"/>
    <x v="9"/>
    <x v="0"/>
    <x v="9"/>
    <n v="4"/>
  </r>
  <r>
    <x v="0"/>
    <x v="1"/>
    <x v="3"/>
    <x v="15"/>
    <x v="18"/>
    <x v="0"/>
    <x v="1"/>
    <n v="1"/>
  </r>
  <r>
    <x v="0"/>
    <x v="1"/>
    <x v="3"/>
    <x v="16"/>
    <x v="1"/>
    <x v="2"/>
    <x v="10"/>
    <n v="2"/>
  </r>
  <r>
    <x v="0"/>
    <x v="1"/>
    <x v="3"/>
    <x v="16"/>
    <x v="1"/>
    <x v="10"/>
    <x v="6"/>
    <n v="1"/>
  </r>
  <r>
    <x v="0"/>
    <x v="1"/>
    <x v="3"/>
    <x v="16"/>
    <x v="1"/>
    <x v="10"/>
    <x v="10"/>
    <n v="2"/>
  </r>
  <r>
    <x v="0"/>
    <x v="1"/>
    <x v="3"/>
    <x v="16"/>
    <x v="1"/>
    <x v="3"/>
    <x v="7"/>
    <n v="4"/>
  </r>
  <r>
    <x v="0"/>
    <x v="1"/>
    <x v="3"/>
    <x v="16"/>
    <x v="1"/>
    <x v="3"/>
    <x v="6"/>
    <n v="5"/>
  </r>
  <r>
    <x v="0"/>
    <x v="1"/>
    <x v="3"/>
    <x v="16"/>
    <x v="1"/>
    <x v="3"/>
    <x v="12"/>
    <n v="1"/>
  </r>
  <r>
    <x v="0"/>
    <x v="1"/>
    <x v="3"/>
    <x v="16"/>
    <x v="1"/>
    <x v="3"/>
    <x v="18"/>
    <n v="1"/>
  </r>
  <r>
    <x v="0"/>
    <x v="1"/>
    <x v="3"/>
    <x v="16"/>
    <x v="1"/>
    <x v="4"/>
    <x v="7"/>
    <n v="17"/>
  </r>
  <r>
    <x v="0"/>
    <x v="1"/>
    <x v="3"/>
    <x v="16"/>
    <x v="1"/>
    <x v="4"/>
    <x v="6"/>
    <n v="2"/>
  </r>
  <r>
    <x v="0"/>
    <x v="1"/>
    <x v="3"/>
    <x v="16"/>
    <x v="1"/>
    <x v="4"/>
    <x v="18"/>
    <n v="1"/>
  </r>
  <r>
    <x v="0"/>
    <x v="1"/>
    <x v="3"/>
    <x v="16"/>
    <x v="1"/>
    <x v="5"/>
    <x v="7"/>
    <n v="8"/>
  </r>
  <r>
    <x v="0"/>
    <x v="1"/>
    <x v="3"/>
    <x v="16"/>
    <x v="1"/>
    <x v="11"/>
    <x v="7"/>
    <n v="1"/>
  </r>
  <r>
    <x v="0"/>
    <x v="1"/>
    <x v="3"/>
    <x v="16"/>
    <x v="1"/>
    <x v="11"/>
    <x v="0"/>
    <n v="1"/>
  </r>
  <r>
    <x v="0"/>
    <x v="1"/>
    <x v="3"/>
    <x v="16"/>
    <x v="1"/>
    <x v="7"/>
    <x v="5"/>
    <n v="2"/>
  </r>
  <r>
    <x v="0"/>
    <x v="1"/>
    <x v="3"/>
    <x v="16"/>
    <x v="9"/>
    <x v="0"/>
    <x v="19"/>
    <n v="1"/>
  </r>
  <r>
    <x v="0"/>
    <x v="1"/>
    <x v="3"/>
    <x v="16"/>
    <x v="10"/>
    <x v="0"/>
    <x v="19"/>
    <n v="2"/>
  </r>
  <r>
    <x v="0"/>
    <x v="1"/>
    <x v="3"/>
    <x v="17"/>
    <x v="7"/>
    <x v="0"/>
    <x v="12"/>
    <n v="2"/>
  </r>
  <r>
    <x v="0"/>
    <x v="1"/>
    <x v="3"/>
    <x v="17"/>
    <x v="7"/>
    <x v="0"/>
    <x v="9"/>
    <n v="1"/>
  </r>
  <r>
    <x v="0"/>
    <x v="1"/>
    <x v="3"/>
    <x v="17"/>
    <x v="7"/>
    <x v="0"/>
    <x v="3"/>
    <n v="1"/>
  </r>
  <r>
    <x v="0"/>
    <x v="1"/>
    <x v="3"/>
    <x v="17"/>
    <x v="10"/>
    <x v="8"/>
    <x v="10"/>
    <n v="4"/>
  </r>
  <r>
    <x v="0"/>
    <x v="1"/>
    <x v="3"/>
    <x v="17"/>
    <x v="10"/>
    <x v="8"/>
    <x v="1"/>
    <n v="1"/>
  </r>
  <r>
    <x v="0"/>
    <x v="1"/>
    <x v="3"/>
    <x v="19"/>
    <x v="12"/>
    <x v="0"/>
    <x v="7"/>
    <n v="27"/>
  </r>
  <r>
    <x v="0"/>
    <x v="1"/>
    <x v="3"/>
    <x v="19"/>
    <x v="12"/>
    <x v="0"/>
    <x v="6"/>
    <n v="90"/>
  </r>
  <r>
    <x v="0"/>
    <x v="1"/>
    <x v="3"/>
    <x v="19"/>
    <x v="12"/>
    <x v="0"/>
    <x v="10"/>
    <n v="86"/>
  </r>
  <r>
    <x v="0"/>
    <x v="1"/>
    <x v="3"/>
    <x v="19"/>
    <x v="12"/>
    <x v="0"/>
    <x v="1"/>
    <n v="42"/>
  </r>
  <r>
    <x v="0"/>
    <x v="1"/>
    <x v="3"/>
    <x v="19"/>
    <x v="12"/>
    <x v="0"/>
    <x v="4"/>
    <n v="2"/>
  </r>
  <r>
    <x v="0"/>
    <x v="1"/>
    <x v="3"/>
    <x v="19"/>
    <x v="9"/>
    <x v="0"/>
    <x v="10"/>
    <n v="7"/>
  </r>
  <r>
    <x v="0"/>
    <x v="1"/>
    <x v="3"/>
    <x v="19"/>
    <x v="9"/>
    <x v="0"/>
    <x v="1"/>
    <n v="19"/>
  </r>
  <r>
    <x v="0"/>
    <x v="1"/>
    <x v="3"/>
    <x v="19"/>
    <x v="9"/>
    <x v="0"/>
    <x v="11"/>
    <n v="1"/>
  </r>
  <r>
    <x v="0"/>
    <x v="1"/>
    <x v="3"/>
    <x v="19"/>
    <x v="10"/>
    <x v="7"/>
    <x v="7"/>
    <n v="1"/>
  </r>
  <r>
    <x v="0"/>
    <x v="1"/>
    <x v="3"/>
    <x v="19"/>
    <x v="10"/>
    <x v="7"/>
    <x v="6"/>
    <n v="16"/>
  </r>
  <r>
    <x v="0"/>
    <x v="1"/>
    <x v="3"/>
    <x v="19"/>
    <x v="10"/>
    <x v="1"/>
    <x v="10"/>
    <n v="6"/>
  </r>
  <r>
    <x v="0"/>
    <x v="1"/>
    <x v="3"/>
    <x v="19"/>
    <x v="10"/>
    <x v="1"/>
    <x v="1"/>
    <n v="1"/>
  </r>
  <r>
    <x v="0"/>
    <x v="1"/>
    <x v="3"/>
    <x v="19"/>
    <x v="10"/>
    <x v="8"/>
    <x v="6"/>
    <n v="12"/>
  </r>
  <r>
    <x v="0"/>
    <x v="1"/>
    <x v="3"/>
    <x v="19"/>
    <x v="10"/>
    <x v="0"/>
    <x v="10"/>
    <n v="21"/>
  </r>
  <r>
    <x v="0"/>
    <x v="1"/>
    <x v="3"/>
    <x v="19"/>
    <x v="10"/>
    <x v="0"/>
    <x v="1"/>
    <n v="24"/>
  </r>
  <r>
    <x v="0"/>
    <x v="1"/>
    <x v="0"/>
    <x v="15"/>
    <x v="1"/>
    <x v="12"/>
    <x v="4"/>
    <n v="1"/>
  </r>
  <r>
    <x v="0"/>
    <x v="1"/>
    <x v="0"/>
    <x v="15"/>
    <x v="1"/>
    <x v="1"/>
    <x v="12"/>
    <n v="3"/>
  </r>
  <r>
    <x v="0"/>
    <x v="1"/>
    <x v="0"/>
    <x v="15"/>
    <x v="1"/>
    <x v="1"/>
    <x v="9"/>
    <n v="4"/>
  </r>
  <r>
    <x v="0"/>
    <x v="1"/>
    <x v="0"/>
    <x v="15"/>
    <x v="1"/>
    <x v="0"/>
    <x v="12"/>
    <n v="19"/>
  </r>
  <r>
    <x v="0"/>
    <x v="1"/>
    <x v="0"/>
    <x v="15"/>
    <x v="1"/>
    <x v="0"/>
    <x v="9"/>
    <n v="4"/>
  </r>
  <r>
    <x v="0"/>
    <x v="1"/>
    <x v="0"/>
    <x v="15"/>
    <x v="1"/>
    <x v="0"/>
    <x v="4"/>
    <n v="2"/>
  </r>
  <r>
    <x v="0"/>
    <x v="1"/>
    <x v="0"/>
    <x v="16"/>
    <x v="15"/>
    <x v="8"/>
    <x v="1"/>
    <n v="1"/>
  </r>
  <r>
    <x v="0"/>
    <x v="1"/>
    <x v="0"/>
    <x v="16"/>
    <x v="19"/>
    <x v="1"/>
    <x v="5"/>
    <n v="1"/>
  </r>
  <r>
    <x v="0"/>
    <x v="1"/>
    <x v="0"/>
    <x v="16"/>
    <x v="19"/>
    <x v="0"/>
    <x v="3"/>
    <n v="1"/>
  </r>
  <r>
    <x v="0"/>
    <x v="1"/>
    <x v="0"/>
    <x v="16"/>
    <x v="19"/>
    <x v="0"/>
    <x v="4"/>
    <n v="1"/>
  </r>
  <r>
    <x v="0"/>
    <x v="1"/>
    <x v="0"/>
    <x v="16"/>
    <x v="19"/>
    <x v="0"/>
    <x v="5"/>
    <n v="1"/>
  </r>
  <r>
    <x v="0"/>
    <x v="1"/>
    <x v="0"/>
    <x v="16"/>
    <x v="19"/>
    <x v="0"/>
    <x v="13"/>
    <n v="1"/>
  </r>
  <r>
    <x v="0"/>
    <x v="1"/>
    <x v="0"/>
    <x v="16"/>
    <x v="19"/>
    <x v="0"/>
    <x v="14"/>
    <n v="1"/>
  </r>
  <r>
    <x v="0"/>
    <x v="1"/>
    <x v="0"/>
    <x v="17"/>
    <x v="3"/>
    <x v="0"/>
    <x v="6"/>
    <n v="1"/>
  </r>
  <r>
    <x v="0"/>
    <x v="1"/>
    <x v="0"/>
    <x v="17"/>
    <x v="19"/>
    <x v="7"/>
    <x v="10"/>
    <n v="2"/>
  </r>
  <r>
    <x v="0"/>
    <x v="1"/>
    <x v="0"/>
    <x v="19"/>
    <x v="7"/>
    <x v="19"/>
    <x v="4"/>
    <n v="1"/>
  </r>
  <r>
    <x v="0"/>
    <x v="1"/>
    <x v="0"/>
    <x v="19"/>
    <x v="7"/>
    <x v="16"/>
    <x v="8"/>
    <n v="39"/>
  </r>
  <r>
    <x v="0"/>
    <x v="1"/>
    <x v="0"/>
    <x v="19"/>
    <x v="7"/>
    <x v="16"/>
    <x v="7"/>
    <n v="530"/>
  </r>
  <r>
    <x v="0"/>
    <x v="1"/>
    <x v="0"/>
    <x v="19"/>
    <x v="7"/>
    <x v="15"/>
    <x v="15"/>
    <n v="63"/>
  </r>
  <r>
    <x v="0"/>
    <x v="1"/>
    <x v="0"/>
    <x v="19"/>
    <x v="7"/>
    <x v="15"/>
    <x v="8"/>
    <n v="1068"/>
  </r>
  <r>
    <x v="0"/>
    <x v="1"/>
    <x v="0"/>
    <x v="19"/>
    <x v="7"/>
    <x v="14"/>
    <x v="15"/>
    <n v="1555"/>
  </r>
  <r>
    <x v="0"/>
    <x v="1"/>
    <x v="0"/>
    <x v="19"/>
    <x v="7"/>
    <x v="14"/>
    <x v="8"/>
    <n v="951"/>
  </r>
  <r>
    <x v="0"/>
    <x v="1"/>
    <x v="0"/>
    <x v="19"/>
    <x v="7"/>
    <x v="13"/>
    <x v="16"/>
    <n v="8855"/>
  </r>
  <r>
    <x v="0"/>
    <x v="1"/>
    <x v="0"/>
    <x v="19"/>
    <x v="7"/>
    <x v="13"/>
    <x v="15"/>
    <n v="1215"/>
  </r>
  <r>
    <x v="0"/>
    <x v="1"/>
    <x v="0"/>
    <x v="19"/>
    <x v="7"/>
    <x v="2"/>
    <x v="12"/>
    <n v="24"/>
  </r>
  <r>
    <x v="0"/>
    <x v="1"/>
    <x v="0"/>
    <x v="19"/>
    <x v="7"/>
    <x v="2"/>
    <x v="9"/>
    <n v="17"/>
  </r>
  <r>
    <x v="0"/>
    <x v="1"/>
    <x v="0"/>
    <x v="19"/>
    <x v="7"/>
    <x v="10"/>
    <x v="12"/>
    <n v="12"/>
  </r>
  <r>
    <x v="0"/>
    <x v="1"/>
    <x v="0"/>
    <x v="19"/>
    <x v="7"/>
    <x v="3"/>
    <x v="8"/>
    <n v="377"/>
  </r>
  <r>
    <x v="0"/>
    <x v="1"/>
    <x v="0"/>
    <x v="19"/>
    <x v="7"/>
    <x v="4"/>
    <x v="8"/>
    <n v="345"/>
  </r>
  <r>
    <x v="0"/>
    <x v="1"/>
    <x v="0"/>
    <x v="19"/>
    <x v="7"/>
    <x v="7"/>
    <x v="6"/>
    <n v="1"/>
  </r>
  <r>
    <x v="0"/>
    <x v="1"/>
    <x v="0"/>
    <x v="19"/>
    <x v="10"/>
    <x v="4"/>
    <x v="15"/>
    <n v="11"/>
  </r>
  <r>
    <x v="0"/>
    <x v="1"/>
    <x v="0"/>
    <x v="19"/>
    <x v="10"/>
    <x v="9"/>
    <x v="1"/>
    <n v="16"/>
  </r>
  <r>
    <x v="0"/>
    <x v="1"/>
    <x v="0"/>
    <x v="19"/>
    <x v="10"/>
    <x v="12"/>
    <x v="1"/>
    <n v="12"/>
  </r>
  <r>
    <x v="0"/>
    <x v="1"/>
    <x v="0"/>
    <x v="19"/>
    <x v="10"/>
    <x v="12"/>
    <x v="2"/>
    <n v="4"/>
  </r>
  <r>
    <x v="0"/>
    <x v="1"/>
    <x v="0"/>
    <x v="19"/>
    <x v="10"/>
    <x v="7"/>
    <x v="7"/>
    <n v="187"/>
  </r>
  <r>
    <x v="0"/>
    <x v="1"/>
    <x v="0"/>
    <x v="19"/>
    <x v="10"/>
    <x v="1"/>
    <x v="10"/>
    <n v="37"/>
  </r>
  <r>
    <x v="0"/>
    <x v="1"/>
    <x v="0"/>
    <x v="19"/>
    <x v="10"/>
    <x v="1"/>
    <x v="1"/>
    <n v="8"/>
  </r>
  <r>
    <x v="0"/>
    <x v="1"/>
    <x v="0"/>
    <x v="19"/>
    <x v="10"/>
    <x v="1"/>
    <x v="5"/>
    <n v="1"/>
  </r>
  <r>
    <x v="0"/>
    <x v="1"/>
    <x v="0"/>
    <x v="19"/>
    <x v="10"/>
    <x v="1"/>
    <x v="2"/>
    <n v="2"/>
  </r>
  <r>
    <x v="0"/>
    <x v="1"/>
    <x v="0"/>
    <x v="19"/>
    <x v="10"/>
    <x v="0"/>
    <x v="10"/>
    <n v="109"/>
  </r>
  <r>
    <x v="0"/>
    <x v="1"/>
    <x v="0"/>
    <x v="19"/>
    <x v="10"/>
    <x v="0"/>
    <x v="4"/>
    <n v="2"/>
  </r>
  <r>
    <x v="0"/>
    <x v="1"/>
    <x v="0"/>
    <x v="19"/>
    <x v="10"/>
    <x v="0"/>
    <x v="5"/>
    <n v="1"/>
  </r>
  <r>
    <x v="0"/>
    <x v="1"/>
    <x v="1"/>
    <x v="1"/>
    <x v="2"/>
    <x v="10"/>
    <x v="10"/>
    <n v="1"/>
  </r>
  <r>
    <x v="0"/>
    <x v="1"/>
    <x v="1"/>
    <x v="1"/>
    <x v="2"/>
    <x v="10"/>
    <x v="13"/>
    <n v="1"/>
  </r>
  <r>
    <x v="0"/>
    <x v="1"/>
    <x v="1"/>
    <x v="1"/>
    <x v="2"/>
    <x v="3"/>
    <x v="10"/>
    <n v="1"/>
  </r>
  <r>
    <x v="0"/>
    <x v="1"/>
    <x v="1"/>
    <x v="1"/>
    <x v="2"/>
    <x v="4"/>
    <x v="5"/>
    <n v="1"/>
  </r>
  <r>
    <x v="0"/>
    <x v="1"/>
    <x v="1"/>
    <x v="1"/>
    <x v="2"/>
    <x v="4"/>
    <x v="13"/>
    <n v="1"/>
  </r>
  <r>
    <x v="0"/>
    <x v="1"/>
    <x v="1"/>
    <x v="1"/>
    <x v="2"/>
    <x v="11"/>
    <x v="12"/>
    <n v="1"/>
  </r>
  <r>
    <x v="0"/>
    <x v="1"/>
    <x v="1"/>
    <x v="1"/>
    <x v="2"/>
    <x v="11"/>
    <x v="2"/>
    <n v="1"/>
  </r>
  <r>
    <x v="0"/>
    <x v="1"/>
    <x v="1"/>
    <x v="1"/>
    <x v="1"/>
    <x v="8"/>
    <x v="12"/>
    <n v="1"/>
  </r>
  <r>
    <x v="0"/>
    <x v="1"/>
    <x v="1"/>
    <x v="1"/>
    <x v="3"/>
    <x v="16"/>
    <x v="12"/>
    <n v="1"/>
  </r>
  <r>
    <x v="0"/>
    <x v="1"/>
    <x v="1"/>
    <x v="1"/>
    <x v="3"/>
    <x v="16"/>
    <x v="9"/>
    <n v="2"/>
  </r>
  <r>
    <x v="0"/>
    <x v="1"/>
    <x v="1"/>
    <x v="1"/>
    <x v="3"/>
    <x v="16"/>
    <x v="3"/>
    <n v="1"/>
  </r>
  <r>
    <x v="0"/>
    <x v="1"/>
    <x v="1"/>
    <x v="1"/>
    <x v="3"/>
    <x v="16"/>
    <x v="0"/>
    <n v="1"/>
  </r>
  <r>
    <x v="0"/>
    <x v="1"/>
    <x v="1"/>
    <x v="1"/>
    <x v="3"/>
    <x v="15"/>
    <x v="12"/>
    <n v="1"/>
  </r>
  <r>
    <x v="0"/>
    <x v="1"/>
    <x v="1"/>
    <x v="1"/>
    <x v="3"/>
    <x v="2"/>
    <x v="12"/>
    <n v="11"/>
  </r>
  <r>
    <x v="0"/>
    <x v="1"/>
    <x v="1"/>
    <x v="2"/>
    <x v="13"/>
    <x v="7"/>
    <x v="9"/>
    <n v="1"/>
  </r>
  <r>
    <x v="0"/>
    <x v="1"/>
    <x v="1"/>
    <x v="2"/>
    <x v="7"/>
    <x v="13"/>
    <x v="1"/>
    <n v="1"/>
  </r>
  <r>
    <x v="0"/>
    <x v="1"/>
    <x v="1"/>
    <x v="2"/>
    <x v="7"/>
    <x v="6"/>
    <x v="1"/>
    <n v="3"/>
  </r>
  <r>
    <x v="0"/>
    <x v="1"/>
    <x v="1"/>
    <x v="2"/>
    <x v="7"/>
    <x v="6"/>
    <x v="5"/>
    <n v="1"/>
  </r>
  <r>
    <x v="0"/>
    <x v="1"/>
    <x v="1"/>
    <x v="2"/>
    <x v="7"/>
    <x v="9"/>
    <x v="4"/>
    <n v="1"/>
  </r>
  <r>
    <x v="0"/>
    <x v="1"/>
    <x v="1"/>
    <x v="2"/>
    <x v="7"/>
    <x v="12"/>
    <x v="4"/>
    <n v="1"/>
  </r>
  <r>
    <x v="0"/>
    <x v="1"/>
    <x v="1"/>
    <x v="2"/>
    <x v="7"/>
    <x v="1"/>
    <x v="9"/>
    <n v="1"/>
  </r>
  <r>
    <x v="0"/>
    <x v="1"/>
    <x v="1"/>
    <x v="2"/>
    <x v="7"/>
    <x v="0"/>
    <x v="9"/>
    <n v="1"/>
  </r>
  <r>
    <x v="0"/>
    <x v="1"/>
    <x v="1"/>
    <x v="2"/>
    <x v="7"/>
    <x v="0"/>
    <x v="5"/>
    <n v="1"/>
  </r>
  <r>
    <x v="0"/>
    <x v="1"/>
    <x v="1"/>
    <x v="2"/>
    <x v="6"/>
    <x v="11"/>
    <x v="1"/>
    <n v="1"/>
  </r>
  <r>
    <x v="0"/>
    <x v="1"/>
    <x v="1"/>
    <x v="2"/>
    <x v="6"/>
    <x v="6"/>
    <x v="1"/>
    <n v="1"/>
  </r>
  <r>
    <x v="0"/>
    <x v="1"/>
    <x v="1"/>
    <x v="3"/>
    <x v="5"/>
    <x v="10"/>
    <x v="13"/>
    <n v="1"/>
  </r>
  <r>
    <x v="0"/>
    <x v="1"/>
    <x v="1"/>
    <x v="3"/>
    <x v="5"/>
    <x v="4"/>
    <x v="2"/>
    <n v="1"/>
  </r>
  <r>
    <x v="0"/>
    <x v="1"/>
    <x v="1"/>
    <x v="3"/>
    <x v="5"/>
    <x v="5"/>
    <x v="5"/>
    <n v="3"/>
  </r>
  <r>
    <x v="0"/>
    <x v="1"/>
    <x v="1"/>
    <x v="3"/>
    <x v="5"/>
    <x v="11"/>
    <x v="4"/>
    <n v="3"/>
  </r>
  <r>
    <x v="0"/>
    <x v="1"/>
    <x v="1"/>
    <x v="3"/>
    <x v="5"/>
    <x v="6"/>
    <x v="3"/>
    <n v="2"/>
  </r>
  <r>
    <x v="0"/>
    <x v="1"/>
    <x v="5"/>
    <x v="13"/>
    <x v="17"/>
    <x v="15"/>
    <x v="18"/>
    <n v="114"/>
  </r>
  <r>
    <x v="0"/>
    <x v="1"/>
    <x v="5"/>
    <x v="13"/>
    <x v="17"/>
    <x v="2"/>
    <x v="14"/>
    <n v="51"/>
  </r>
  <r>
    <x v="0"/>
    <x v="1"/>
    <x v="5"/>
    <x v="13"/>
    <x v="17"/>
    <x v="2"/>
    <x v="17"/>
    <n v="51"/>
  </r>
  <r>
    <x v="0"/>
    <x v="1"/>
    <x v="5"/>
    <x v="13"/>
    <x v="17"/>
    <x v="2"/>
    <x v="19"/>
    <n v="350"/>
  </r>
  <r>
    <x v="0"/>
    <x v="1"/>
    <x v="5"/>
    <x v="13"/>
    <x v="17"/>
    <x v="10"/>
    <x v="11"/>
    <n v="42"/>
  </r>
  <r>
    <x v="0"/>
    <x v="1"/>
    <x v="5"/>
    <x v="13"/>
    <x v="17"/>
    <x v="10"/>
    <x v="14"/>
    <n v="33"/>
  </r>
  <r>
    <x v="0"/>
    <x v="1"/>
    <x v="5"/>
    <x v="13"/>
    <x v="17"/>
    <x v="10"/>
    <x v="17"/>
    <n v="32"/>
  </r>
  <r>
    <x v="0"/>
    <x v="1"/>
    <x v="5"/>
    <x v="13"/>
    <x v="17"/>
    <x v="10"/>
    <x v="19"/>
    <n v="201"/>
  </r>
  <r>
    <x v="0"/>
    <x v="1"/>
    <x v="5"/>
    <x v="13"/>
    <x v="17"/>
    <x v="3"/>
    <x v="13"/>
    <n v="23"/>
  </r>
  <r>
    <x v="0"/>
    <x v="1"/>
    <x v="5"/>
    <x v="13"/>
    <x v="17"/>
    <x v="3"/>
    <x v="11"/>
    <n v="18"/>
  </r>
  <r>
    <x v="0"/>
    <x v="1"/>
    <x v="5"/>
    <x v="13"/>
    <x v="17"/>
    <x v="3"/>
    <x v="14"/>
    <n v="26"/>
  </r>
  <r>
    <x v="0"/>
    <x v="1"/>
    <x v="5"/>
    <x v="13"/>
    <x v="17"/>
    <x v="3"/>
    <x v="17"/>
    <n v="24"/>
  </r>
  <r>
    <x v="0"/>
    <x v="1"/>
    <x v="5"/>
    <x v="13"/>
    <x v="17"/>
    <x v="3"/>
    <x v="19"/>
    <n v="132"/>
  </r>
  <r>
    <x v="0"/>
    <x v="1"/>
    <x v="5"/>
    <x v="13"/>
    <x v="17"/>
    <x v="4"/>
    <x v="2"/>
    <n v="13"/>
  </r>
  <r>
    <x v="0"/>
    <x v="1"/>
    <x v="5"/>
    <x v="13"/>
    <x v="17"/>
    <x v="4"/>
    <x v="13"/>
    <n v="24"/>
  </r>
  <r>
    <x v="0"/>
    <x v="1"/>
    <x v="5"/>
    <x v="13"/>
    <x v="17"/>
    <x v="4"/>
    <x v="11"/>
    <n v="21"/>
  </r>
  <r>
    <x v="0"/>
    <x v="1"/>
    <x v="5"/>
    <x v="13"/>
    <x v="17"/>
    <x v="4"/>
    <x v="14"/>
    <n v="17"/>
  </r>
  <r>
    <x v="0"/>
    <x v="1"/>
    <x v="5"/>
    <x v="13"/>
    <x v="17"/>
    <x v="4"/>
    <x v="17"/>
    <n v="16"/>
  </r>
  <r>
    <x v="0"/>
    <x v="1"/>
    <x v="5"/>
    <x v="13"/>
    <x v="17"/>
    <x v="4"/>
    <x v="19"/>
    <n v="78"/>
  </r>
  <r>
    <x v="0"/>
    <x v="1"/>
    <x v="5"/>
    <x v="13"/>
    <x v="17"/>
    <x v="5"/>
    <x v="2"/>
    <n v="9"/>
  </r>
  <r>
    <x v="0"/>
    <x v="1"/>
    <x v="5"/>
    <x v="13"/>
    <x v="17"/>
    <x v="5"/>
    <x v="13"/>
    <n v="8"/>
  </r>
  <r>
    <x v="0"/>
    <x v="1"/>
    <x v="5"/>
    <x v="13"/>
    <x v="17"/>
    <x v="5"/>
    <x v="11"/>
    <n v="8"/>
  </r>
  <r>
    <x v="0"/>
    <x v="1"/>
    <x v="5"/>
    <x v="13"/>
    <x v="17"/>
    <x v="5"/>
    <x v="14"/>
    <n v="12"/>
  </r>
  <r>
    <x v="0"/>
    <x v="1"/>
    <x v="5"/>
    <x v="13"/>
    <x v="17"/>
    <x v="5"/>
    <x v="17"/>
    <n v="15"/>
  </r>
  <r>
    <x v="0"/>
    <x v="1"/>
    <x v="5"/>
    <x v="13"/>
    <x v="17"/>
    <x v="5"/>
    <x v="19"/>
    <n v="51"/>
  </r>
  <r>
    <x v="0"/>
    <x v="1"/>
    <x v="5"/>
    <x v="13"/>
    <x v="17"/>
    <x v="11"/>
    <x v="2"/>
    <n v="2"/>
  </r>
  <r>
    <x v="0"/>
    <x v="1"/>
    <x v="5"/>
    <x v="13"/>
    <x v="17"/>
    <x v="11"/>
    <x v="13"/>
    <n v="5"/>
  </r>
  <r>
    <x v="0"/>
    <x v="1"/>
    <x v="5"/>
    <x v="13"/>
    <x v="17"/>
    <x v="11"/>
    <x v="11"/>
    <n v="6"/>
  </r>
  <r>
    <x v="0"/>
    <x v="1"/>
    <x v="5"/>
    <x v="13"/>
    <x v="17"/>
    <x v="11"/>
    <x v="14"/>
    <n v="8"/>
  </r>
  <r>
    <x v="0"/>
    <x v="1"/>
    <x v="5"/>
    <x v="13"/>
    <x v="17"/>
    <x v="11"/>
    <x v="17"/>
    <n v="4"/>
  </r>
  <r>
    <x v="0"/>
    <x v="1"/>
    <x v="5"/>
    <x v="13"/>
    <x v="17"/>
    <x v="6"/>
    <x v="2"/>
    <n v="1"/>
  </r>
  <r>
    <x v="0"/>
    <x v="1"/>
    <x v="5"/>
    <x v="13"/>
    <x v="17"/>
    <x v="6"/>
    <x v="13"/>
    <n v="5"/>
  </r>
  <r>
    <x v="0"/>
    <x v="1"/>
    <x v="5"/>
    <x v="13"/>
    <x v="17"/>
    <x v="6"/>
    <x v="11"/>
    <n v="4"/>
  </r>
  <r>
    <x v="0"/>
    <x v="1"/>
    <x v="5"/>
    <x v="13"/>
    <x v="17"/>
    <x v="6"/>
    <x v="14"/>
    <n v="7"/>
  </r>
  <r>
    <x v="0"/>
    <x v="1"/>
    <x v="5"/>
    <x v="13"/>
    <x v="17"/>
    <x v="9"/>
    <x v="13"/>
    <n v="1"/>
  </r>
  <r>
    <x v="0"/>
    <x v="1"/>
    <x v="5"/>
    <x v="13"/>
    <x v="17"/>
    <x v="9"/>
    <x v="11"/>
    <n v="1"/>
  </r>
  <r>
    <x v="0"/>
    <x v="1"/>
    <x v="5"/>
    <x v="13"/>
    <x v="17"/>
    <x v="12"/>
    <x v="13"/>
    <n v="1"/>
  </r>
  <r>
    <x v="0"/>
    <x v="1"/>
    <x v="5"/>
    <x v="16"/>
    <x v="0"/>
    <x v="6"/>
    <x v="18"/>
    <n v="1"/>
  </r>
  <r>
    <x v="0"/>
    <x v="1"/>
    <x v="5"/>
    <x v="16"/>
    <x v="0"/>
    <x v="12"/>
    <x v="18"/>
    <n v="1"/>
  </r>
  <r>
    <x v="0"/>
    <x v="1"/>
    <x v="5"/>
    <x v="16"/>
    <x v="19"/>
    <x v="5"/>
    <x v="2"/>
    <n v="1"/>
  </r>
  <r>
    <x v="0"/>
    <x v="1"/>
    <x v="5"/>
    <x v="17"/>
    <x v="2"/>
    <x v="4"/>
    <x v="18"/>
    <n v="1"/>
  </r>
  <r>
    <x v="0"/>
    <x v="1"/>
    <x v="5"/>
    <x v="17"/>
    <x v="2"/>
    <x v="5"/>
    <x v="0"/>
    <n v="2"/>
  </r>
  <r>
    <x v="0"/>
    <x v="1"/>
    <x v="5"/>
    <x v="17"/>
    <x v="9"/>
    <x v="2"/>
    <x v="0"/>
    <n v="2"/>
  </r>
  <r>
    <x v="0"/>
    <x v="1"/>
    <x v="5"/>
    <x v="17"/>
    <x v="9"/>
    <x v="3"/>
    <x v="0"/>
    <n v="1"/>
  </r>
  <r>
    <x v="0"/>
    <x v="1"/>
    <x v="5"/>
    <x v="17"/>
    <x v="9"/>
    <x v="3"/>
    <x v="18"/>
    <n v="3"/>
  </r>
  <r>
    <x v="0"/>
    <x v="1"/>
    <x v="5"/>
    <x v="17"/>
    <x v="9"/>
    <x v="4"/>
    <x v="0"/>
    <n v="1"/>
  </r>
  <r>
    <x v="0"/>
    <x v="1"/>
    <x v="5"/>
    <x v="17"/>
    <x v="9"/>
    <x v="0"/>
    <x v="19"/>
    <n v="2"/>
  </r>
  <r>
    <x v="0"/>
    <x v="1"/>
    <x v="5"/>
    <x v="19"/>
    <x v="7"/>
    <x v="2"/>
    <x v="14"/>
    <n v="1"/>
  </r>
  <r>
    <x v="0"/>
    <x v="1"/>
    <x v="5"/>
    <x v="19"/>
    <x v="10"/>
    <x v="0"/>
    <x v="0"/>
    <n v="1"/>
  </r>
  <r>
    <x v="0"/>
    <x v="1"/>
    <x v="6"/>
    <x v="0"/>
    <x v="12"/>
    <x v="16"/>
    <x v="18"/>
    <n v="18"/>
  </r>
  <r>
    <x v="0"/>
    <x v="1"/>
    <x v="6"/>
    <x v="0"/>
    <x v="12"/>
    <x v="15"/>
    <x v="18"/>
    <n v="3"/>
  </r>
  <r>
    <x v="0"/>
    <x v="1"/>
    <x v="6"/>
    <x v="0"/>
    <x v="12"/>
    <x v="2"/>
    <x v="19"/>
    <n v="29"/>
  </r>
  <r>
    <x v="0"/>
    <x v="1"/>
    <x v="6"/>
    <x v="0"/>
    <x v="16"/>
    <x v="11"/>
    <x v="19"/>
    <n v="1"/>
  </r>
  <r>
    <x v="0"/>
    <x v="1"/>
    <x v="6"/>
    <x v="0"/>
    <x v="16"/>
    <x v="6"/>
    <x v="19"/>
    <n v="2"/>
  </r>
  <r>
    <x v="0"/>
    <x v="1"/>
    <x v="6"/>
    <x v="0"/>
    <x v="16"/>
    <x v="9"/>
    <x v="19"/>
    <n v="2"/>
  </r>
  <r>
    <x v="0"/>
    <x v="1"/>
    <x v="6"/>
    <x v="0"/>
    <x v="16"/>
    <x v="12"/>
    <x v="19"/>
    <n v="1"/>
  </r>
  <r>
    <x v="0"/>
    <x v="1"/>
    <x v="6"/>
    <x v="3"/>
    <x v="8"/>
    <x v="18"/>
    <x v="19"/>
    <n v="50"/>
  </r>
  <r>
    <x v="0"/>
    <x v="1"/>
    <x v="6"/>
    <x v="3"/>
    <x v="8"/>
    <x v="2"/>
    <x v="19"/>
    <n v="1"/>
  </r>
  <r>
    <x v="0"/>
    <x v="1"/>
    <x v="6"/>
    <x v="5"/>
    <x v="3"/>
    <x v="15"/>
    <x v="19"/>
    <n v="5"/>
  </r>
  <r>
    <x v="0"/>
    <x v="1"/>
    <x v="6"/>
    <x v="5"/>
    <x v="3"/>
    <x v="14"/>
    <x v="19"/>
    <n v="11"/>
  </r>
  <r>
    <x v="0"/>
    <x v="1"/>
    <x v="6"/>
    <x v="5"/>
    <x v="3"/>
    <x v="13"/>
    <x v="19"/>
    <n v="10"/>
  </r>
  <r>
    <x v="0"/>
    <x v="1"/>
    <x v="6"/>
    <x v="6"/>
    <x v="2"/>
    <x v="17"/>
    <x v="19"/>
    <n v="7"/>
  </r>
  <r>
    <x v="0"/>
    <x v="1"/>
    <x v="6"/>
    <x v="6"/>
    <x v="2"/>
    <x v="19"/>
    <x v="18"/>
    <n v="7"/>
  </r>
  <r>
    <x v="0"/>
    <x v="1"/>
    <x v="6"/>
    <x v="6"/>
    <x v="2"/>
    <x v="16"/>
    <x v="17"/>
    <n v="4"/>
  </r>
  <r>
    <x v="0"/>
    <x v="1"/>
    <x v="6"/>
    <x v="6"/>
    <x v="2"/>
    <x v="16"/>
    <x v="19"/>
    <n v="61"/>
  </r>
  <r>
    <x v="0"/>
    <x v="1"/>
    <x v="6"/>
    <x v="6"/>
    <x v="2"/>
    <x v="15"/>
    <x v="17"/>
    <n v="1"/>
  </r>
  <r>
    <x v="0"/>
    <x v="1"/>
    <x v="6"/>
    <x v="6"/>
    <x v="2"/>
    <x v="15"/>
    <x v="19"/>
    <n v="32"/>
  </r>
  <r>
    <x v="0"/>
    <x v="1"/>
    <x v="6"/>
    <x v="7"/>
    <x v="0"/>
    <x v="13"/>
    <x v="19"/>
    <n v="1"/>
  </r>
  <r>
    <x v="0"/>
    <x v="1"/>
    <x v="6"/>
    <x v="7"/>
    <x v="0"/>
    <x v="2"/>
    <x v="19"/>
    <n v="1"/>
  </r>
  <r>
    <x v="0"/>
    <x v="1"/>
    <x v="6"/>
    <x v="7"/>
    <x v="0"/>
    <x v="3"/>
    <x v="19"/>
    <n v="1"/>
  </r>
  <r>
    <x v="0"/>
    <x v="1"/>
    <x v="6"/>
    <x v="12"/>
    <x v="1"/>
    <x v="15"/>
    <x v="19"/>
    <n v="9"/>
  </r>
  <r>
    <x v="0"/>
    <x v="1"/>
    <x v="6"/>
    <x v="12"/>
    <x v="1"/>
    <x v="14"/>
    <x v="19"/>
    <n v="4"/>
  </r>
  <r>
    <x v="0"/>
    <x v="1"/>
    <x v="6"/>
    <x v="12"/>
    <x v="1"/>
    <x v="13"/>
    <x v="19"/>
    <n v="3"/>
  </r>
  <r>
    <x v="0"/>
    <x v="1"/>
    <x v="6"/>
    <x v="13"/>
    <x v="6"/>
    <x v="2"/>
    <x v="19"/>
    <n v="1"/>
  </r>
  <r>
    <x v="0"/>
    <x v="1"/>
    <x v="6"/>
    <x v="13"/>
    <x v="6"/>
    <x v="10"/>
    <x v="19"/>
    <n v="2"/>
  </r>
  <r>
    <x v="0"/>
    <x v="1"/>
    <x v="6"/>
    <x v="13"/>
    <x v="6"/>
    <x v="3"/>
    <x v="19"/>
    <n v="3"/>
  </r>
  <r>
    <x v="0"/>
    <x v="1"/>
    <x v="6"/>
    <x v="13"/>
    <x v="6"/>
    <x v="4"/>
    <x v="19"/>
    <n v="1"/>
  </r>
  <r>
    <x v="0"/>
    <x v="1"/>
    <x v="6"/>
    <x v="13"/>
    <x v="6"/>
    <x v="5"/>
    <x v="19"/>
    <n v="3"/>
  </r>
  <r>
    <x v="0"/>
    <x v="1"/>
    <x v="6"/>
    <x v="18"/>
    <x v="8"/>
    <x v="4"/>
    <x v="19"/>
    <n v="1"/>
  </r>
  <r>
    <x v="0"/>
    <x v="1"/>
    <x v="6"/>
    <x v="19"/>
    <x v="14"/>
    <x v="5"/>
    <x v="19"/>
    <n v="2"/>
  </r>
  <r>
    <x v="0"/>
    <x v="1"/>
    <x v="7"/>
    <x v="0"/>
    <x v="12"/>
    <x v="19"/>
    <x v="0"/>
    <n v="12"/>
  </r>
  <r>
    <x v="0"/>
    <x v="1"/>
    <x v="7"/>
    <x v="0"/>
    <x v="12"/>
    <x v="19"/>
    <x v="18"/>
    <n v="17"/>
  </r>
  <r>
    <x v="0"/>
    <x v="1"/>
    <x v="7"/>
    <x v="0"/>
    <x v="12"/>
    <x v="16"/>
    <x v="0"/>
    <n v="2"/>
  </r>
  <r>
    <x v="0"/>
    <x v="1"/>
    <x v="7"/>
    <x v="0"/>
    <x v="12"/>
    <x v="16"/>
    <x v="18"/>
    <n v="8"/>
  </r>
  <r>
    <x v="0"/>
    <x v="1"/>
    <x v="7"/>
    <x v="0"/>
    <x v="12"/>
    <x v="13"/>
    <x v="19"/>
    <n v="3"/>
  </r>
  <r>
    <x v="0"/>
    <x v="1"/>
    <x v="7"/>
    <x v="1"/>
    <x v="2"/>
    <x v="15"/>
    <x v="0"/>
    <n v="6"/>
  </r>
  <r>
    <x v="0"/>
    <x v="1"/>
    <x v="7"/>
    <x v="1"/>
    <x v="2"/>
    <x v="15"/>
    <x v="18"/>
    <n v="1"/>
  </r>
  <r>
    <x v="0"/>
    <x v="1"/>
    <x v="7"/>
    <x v="1"/>
    <x v="2"/>
    <x v="14"/>
    <x v="0"/>
    <n v="8"/>
  </r>
  <r>
    <x v="0"/>
    <x v="1"/>
    <x v="7"/>
    <x v="1"/>
    <x v="2"/>
    <x v="14"/>
    <x v="18"/>
    <n v="2"/>
  </r>
  <r>
    <x v="0"/>
    <x v="1"/>
    <x v="7"/>
    <x v="1"/>
    <x v="2"/>
    <x v="13"/>
    <x v="0"/>
    <n v="5"/>
  </r>
  <r>
    <x v="0"/>
    <x v="1"/>
    <x v="7"/>
    <x v="1"/>
    <x v="2"/>
    <x v="13"/>
    <x v="18"/>
    <n v="3"/>
  </r>
  <r>
    <x v="0"/>
    <x v="1"/>
    <x v="7"/>
    <x v="1"/>
    <x v="2"/>
    <x v="10"/>
    <x v="19"/>
    <n v="1"/>
  </r>
  <r>
    <x v="0"/>
    <x v="1"/>
    <x v="7"/>
    <x v="1"/>
    <x v="2"/>
    <x v="5"/>
    <x v="11"/>
    <n v="2"/>
  </r>
  <r>
    <x v="0"/>
    <x v="1"/>
    <x v="7"/>
    <x v="1"/>
    <x v="2"/>
    <x v="5"/>
    <x v="17"/>
    <n v="1"/>
  </r>
  <r>
    <x v="0"/>
    <x v="1"/>
    <x v="7"/>
    <x v="1"/>
    <x v="2"/>
    <x v="11"/>
    <x v="13"/>
    <n v="1"/>
  </r>
  <r>
    <x v="0"/>
    <x v="1"/>
    <x v="7"/>
    <x v="2"/>
    <x v="0"/>
    <x v="4"/>
    <x v="0"/>
    <n v="1"/>
  </r>
  <r>
    <x v="0"/>
    <x v="1"/>
    <x v="7"/>
    <x v="3"/>
    <x v="2"/>
    <x v="0"/>
    <x v="19"/>
    <n v="1"/>
  </r>
  <r>
    <x v="0"/>
    <x v="1"/>
    <x v="7"/>
    <x v="3"/>
    <x v="8"/>
    <x v="17"/>
    <x v="0"/>
    <n v="11"/>
  </r>
  <r>
    <x v="0"/>
    <x v="1"/>
    <x v="7"/>
    <x v="3"/>
    <x v="8"/>
    <x v="17"/>
    <x v="18"/>
    <n v="29"/>
  </r>
  <r>
    <x v="0"/>
    <x v="1"/>
    <x v="7"/>
    <x v="3"/>
    <x v="8"/>
    <x v="16"/>
    <x v="0"/>
    <n v="12"/>
  </r>
  <r>
    <x v="0"/>
    <x v="1"/>
    <x v="7"/>
    <x v="3"/>
    <x v="8"/>
    <x v="16"/>
    <x v="18"/>
    <n v="11"/>
  </r>
  <r>
    <x v="0"/>
    <x v="1"/>
    <x v="7"/>
    <x v="3"/>
    <x v="8"/>
    <x v="15"/>
    <x v="0"/>
    <n v="1"/>
  </r>
  <r>
    <x v="0"/>
    <x v="1"/>
    <x v="7"/>
    <x v="3"/>
    <x v="8"/>
    <x v="15"/>
    <x v="18"/>
    <n v="6"/>
  </r>
  <r>
    <x v="0"/>
    <x v="1"/>
    <x v="7"/>
    <x v="3"/>
    <x v="8"/>
    <x v="14"/>
    <x v="17"/>
    <n v="4"/>
  </r>
  <r>
    <x v="0"/>
    <x v="1"/>
    <x v="7"/>
    <x v="3"/>
    <x v="8"/>
    <x v="14"/>
    <x v="19"/>
    <n v="7"/>
  </r>
  <r>
    <x v="0"/>
    <x v="1"/>
    <x v="7"/>
    <x v="3"/>
    <x v="8"/>
    <x v="13"/>
    <x v="17"/>
    <n v="2"/>
  </r>
  <r>
    <x v="0"/>
    <x v="1"/>
    <x v="7"/>
    <x v="3"/>
    <x v="8"/>
    <x v="13"/>
    <x v="19"/>
    <n v="3"/>
  </r>
  <r>
    <x v="0"/>
    <x v="1"/>
    <x v="7"/>
    <x v="3"/>
    <x v="8"/>
    <x v="7"/>
    <x v="19"/>
    <n v="1"/>
  </r>
  <r>
    <x v="0"/>
    <x v="1"/>
    <x v="7"/>
    <x v="4"/>
    <x v="8"/>
    <x v="10"/>
    <x v="5"/>
    <n v="1"/>
  </r>
  <r>
    <x v="0"/>
    <x v="1"/>
    <x v="7"/>
    <x v="5"/>
    <x v="8"/>
    <x v="16"/>
    <x v="19"/>
    <n v="1"/>
  </r>
  <r>
    <x v="0"/>
    <x v="1"/>
    <x v="7"/>
    <x v="5"/>
    <x v="8"/>
    <x v="14"/>
    <x v="19"/>
    <n v="1"/>
  </r>
  <r>
    <x v="0"/>
    <x v="1"/>
    <x v="7"/>
    <x v="5"/>
    <x v="3"/>
    <x v="19"/>
    <x v="0"/>
    <n v="5"/>
  </r>
  <r>
    <x v="0"/>
    <x v="1"/>
    <x v="7"/>
    <x v="5"/>
    <x v="3"/>
    <x v="19"/>
    <x v="18"/>
    <n v="3"/>
  </r>
  <r>
    <x v="0"/>
    <x v="1"/>
    <x v="7"/>
    <x v="5"/>
    <x v="3"/>
    <x v="16"/>
    <x v="14"/>
    <n v="11"/>
  </r>
  <r>
    <x v="0"/>
    <x v="1"/>
    <x v="7"/>
    <x v="5"/>
    <x v="3"/>
    <x v="16"/>
    <x v="17"/>
    <n v="18"/>
  </r>
  <r>
    <x v="0"/>
    <x v="1"/>
    <x v="7"/>
    <x v="5"/>
    <x v="3"/>
    <x v="16"/>
    <x v="19"/>
    <n v="23"/>
  </r>
  <r>
    <x v="0"/>
    <x v="1"/>
    <x v="7"/>
    <x v="5"/>
    <x v="3"/>
    <x v="15"/>
    <x v="13"/>
    <n v="5"/>
  </r>
  <r>
    <x v="0"/>
    <x v="1"/>
    <x v="7"/>
    <x v="5"/>
    <x v="3"/>
    <x v="15"/>
    <x v="11"/>
    <n v="17"/>
  </r>
  <r>
    <x v="0"/>
    <x v="1"/>
    <x v="7"/>
    <x v="5"/>
    <x v="3"/>
    <x v="15"/>
    <x v="14"/>
    <n v="5"/>
  </r>
  <r>
    <x v="0"/>
    <x v="1"/>
    <x v="7"/>
    <x v="5"/>
    <x v="3"/>
    <x v="15"/>
    <x v="17"/>
    <n v="16"/>
  </r>
  <r>
    <x v="0"/>
    <x v="1"/>
    <x v="7"/>
    <x v="5"/>
    <x v="3"/>
    <x v="15"/>
    <x v="19"/>
    <n v="26"/>
  </r>
  <r>
    <x v="0"/>
    <x v="1"/>
    <x v="7"/>
    <x v="5"/>
    <x v="3"/>
    <x v="14"/>
    <x v="2"/>
    <n v="3"/>
  </r>
  <r>
    <x v="0"/>
    <x v="1"/>
    <x v="7"/>
    <x v="5"/>
    <x v="3"/>
    <x v="14"/>
    <x v="13"/>
    <n v="8"/>
  </r>
  <r>
    <x v="0"/>
    <x v="1"/>
    <x v="7"/>
    <x v="5"/>
    <x v="3"/>
    <x v="14"/>
    <x v="11"/>
    <n v="4"/>
  </r>
  <r>
    <x v="0"/>
    <x v="1"/>
    <x v="7"/>
    <x v="5"/>
    <x v="3"/>
    <x v="14"/>
    <x v="14"/>
    <n v="4"/>
  </r>
  <r>
    <x v="0"/>
    <x v="1"/>
    <x v="7"/>
    <x v="5"/>
    <x v="3"/>
    <x v="14"/>
    <x v="17"/>
    <n v="10"/>
  </r>
  <r>
    <x v="0"/>
    <x v="1"/>
    <x v="7"/>
    <x v="5"/>
    <x v="3"/>
    <x v="14"/>
    <x v="19"/>
    <n v="33"/>
  </r>
  <r>
    <x v="0"/>
    <x v="1"/>
    <x v="7"/>
    <x v="5"/>
    <x v="3"/>
    <x v="13"/>
    <x v="5"/>
    <n v="2"/>
  </r>
  <r>
    <x v="0"/>
    <x v="1"/>
    <x v="7"/>
    <x v="5"/>
    <x v="3"/>
    <x v="13"/>
    <x v="2"/>
    <n v="2"/>
  </r>
  <r>
    <x v="0"/>
    <x v="1"/>
    <x v="7"/>
    <x v="5"/>
    <x v="3"/>
    <x v="13"/>
    <x v="13"/>
    <n v="5"/>
  </r>
  <r>
    <x v="0"/>
    <x v="1"/>
    <x v="7"/>
    <x v="5"/>
    <x v="3"/>
    <x v="13"/>
    <x v="11"/>
    <n v="6"/>
  </r>
  <r>
    <x v="0"/>
    <x v="1"/>
    <x v="7"/>
    <x v="5"/>
    <x v="3"/>
    <x v="13"/>
    <x v="14"/>
    <n v="6"/>
  </r>
  <r>
    <x v="0"/>
    <x v="1"/>
    <x v="7"/>
    <x v="5"/>
    <x v="3"/>
    <x v="2"/>
    <x v="5"/>
    <n v="1"/>
  </r>
  <r>
    <x v="0"/>
    <x v="1"/>
    <x v="7"/>
    <x v="5"/>
    <x v="3"/>
    <x v="2"/>
    <x v="2"/>
    <n v="1"/>
  </r>
  <r>
    <x v="0"/>
    <x v="1"/>
    <x v="7"/>
    <x v="5"/>
    <x v="3"/>
    <x v="10"/>
    <x v="5"/>
    <n v="2"/>
  </r>
  <r>
    <x v="0"/>
    <x v="1"/>
    <x v="7"/>
    <x v="5"/>
    <x v="3"/>
    <x v="4"/>
    <x v="18"/>
    <n v="2"/>
  </r>
  <r>
    <x v="0"/>
    <x v="1"/>
    <x v="7"/>
    <x v="5"/>
    <x v="3"/>
    <x v="5"/>
    <x v="0"/>
    <n v="1"/>
  </r>
  <r>
    <x v="0"/>
    <x v="1"/>
    <x v="7"/>
    <x v="5"/>
    <x v="3"/>
    <x v="5"/>
    <x v="18"/>
    <n v="5"/>
  </r>
  <r>
    <x v="0"/>
    <x v="1"/>
    <x v="7"/>
    <x v="5"/>
    <x v="3"/>
    <x v="11"/>
    <x v="18"/>
    <n v="2"/>
  </r>
  <r>
    <x v="0"/>
    <x v="1"/>
    <x v="7"/>
    <x v="5"/>
    <x v="3"/>
    <x v="6"/>
    <x v="0"/>
    <n v="1"/>
  </r>
  <r>
    <x v="0"/>
    <x v="1"/>
    <x v="7"/>
    <x v="5"/>
    <x v="3"/>
    <x v="0"/>
    <x v="19"/>
    <n v="1"/>
  </r>
  <r>
    <x v="0"/>
    <x v="1"/>
    <x v="7"/>
    <x v="6"/>
    <x v="2"/>
    <x v="18"/>
    <x v="0"/>
    <n v="1"/>
  </r>
  <r>
    <x v="0"/>
    <x v="1"/>
    <x v="7"/>
    <x v="6"/>
    <x v="2"/>
    <x v="18"/>
    <x v="18"/>
    <n v="8"/>
  </r>
  <r>
    <x v="0"/>
    <x v="1"/>
    <x v="7"/>
    <x v="6"/>
    <x v="2"/>
    <x v="19"/>
    <x v="17"/>
    <n v="20"/>
  </r>
  <r>
    <x v="0"/>
    <x v="1"/>
    <x v="1"/>
    <x v="3"/>
    <x v="5"/>
    <x v="9"/>
    <x v="9"/>
    <n v="1"/>
  </r>
  <r>
    <x v="0"/>
    <x v="1"/>
    <x v="1"/>
    <x v="3"/>
    <x v="5"/>
    <x v="12"/>
    <x v="12"/>
    <n v="1"/>
  </r>
  <r>
    <x v="0"/>
    <x v="1"/>
    <x v="1"/>
    <x v="3"/>
    <x v="5"/>
    <x v="12"/>
    <x v="0"/>
    <n v="1"/>
  </r>
  <r>
    <x v="0"/>
    <x v="1"/>
    <x v="1"/>
    <x v="3"/>
    <x v="5"/>
    <x v="8"/>
    <x v="13"/>
    <n v="1"/>
  </r>
  <r>
    <x v="0"/>
    <x v="1"/>
    <x v="1"/>
    <x v="3"/>
    <x v="8"/>
    <x v="17"/>
    <x v="0"/>
    <n v="10"/>
  </r>
  <r>
    <x v="0"/>
    <x v="1"/>
    <x v="1"/>
    <x v="3"/>
    <x v="8"/>
    <x v="17"/>
    <x v="18"/>
    <n v="5"/>
  </r>
  <r>
    <x v="0"/>
    <x v="1"/>
    <x v="1"/>
    <x v="3"/>
    <x v="7"/>
    <x v="0"/>
    <x v="9"/>
    <n v="1"/>
  </r>
  <r>
    <x v="0"/>
    <x v="1"/>
    <x v="1"/>
    <x v="4"/>
    <x v="8"/>
    <x v="13"/>
    <x v="6"/>
    <n v="4"/>
  </r>
  <r>
    <x v="0"/>
    <x v="1"/>
    <x v="1"/>
    <x v="4"/>
    <x v="8"/>
    <x v="13"/>
    <x v="10"/>
    <n v="1"/>
  </r>
  <r>
    <x v="0"/>
    <x v="1"/>
    <x v="1"/>
    <x v="4"/>
    <x v="8"/>
    <x v="3"/>
    <x v="1"/>
    <n v="1"/>
  </r>
  <r>
    <x v="0"/>
    <x v="1"/>
    <x v="1"/>
    <x v="4"/>
    <x v="19"/>
    <x v="8"/>
    <x v="3"/>
    <n v="1"/>
  </r>
  <r>
    <x v="0"/>
    <x v="1"/>
    <x v="1"/>
    <x v="5"/>
    <x v="6"/>
    <x v="15"/>
    <x v="0"/>
    <n v="1"/>
  </r>
  <r>
    <x v="0"/>
    <x v="1"/>
    <x v="1"/>
    <x v="5"/>
    <x v="6"/>
    <x v="14"/>
    <x v="0"/>
    <n v="1"/>
  </r>
  <r>
    <x v="0"/>
    <x v="1"/>
    <x v="1"/>
    <x v="5"/>
    <x v="6"/>
    <x v="10"/>
    <x v="2"/>
    <n v="1"/>
  </r>
  <r>
    <x v="0"/>
    <x v="1"/>
    <x v="1"/>
    <x v="5"/>
    <x v="10"/>
    <x v="4"/>
    <x v="12"/>
    <n v="1"/>
  </r>
  <r>
    <x v="0"/>
    <x v="1"/>
    <x v="1"/>
    <x v="5"/>
    <x v="10"/>
    <x v="5"/>
    <x v="12"/>
    <n v="4"/>
  </r>
  <r>
    <x v="0"/>
    <x v="1"/>
    <x v="1"/>
    <x v="6"/>
    <x v="8"/>
    <x v="17"/>
    <x v="14"/>
    <n v="3"/>
  </r>
  <r>
    <x v="0"/>
    <x v="1"/>
    <x v="1"/>
    <x v="6"/>
    <x v="8"/>
    <x v="17"/>
    <x v="17"/>
    <n v="1"/>
  </r>
  <r>
    <x v="0"/>
    <x v="1"/>
    <x v="1"/>
    <x v="6"/>
    <x v="8"/>
    <x v="19"/>
    <x v="1"/>
    <n v="1"/>
  </r>
  <r>
    <x v="0"/>
    <x v="1"/>
    <x v="1"/>
    <x v="6"/>
    <x v="8"/>
    <x v="16"/>
    <x v="1"/>
    <n v="3"/>
  </r>
  <r>
    <x v="0"/>
    <x v="1"/>
    <x v="1"/>
    <x v="6"/>
    <x v="8"/>
    <x v="16"/>
    <x v="5"/>
    <n v="7"/>
  </r>
  <r>
    <x v="0"/>
    <x v="1"/>
    <x v="1"/>
    <x v="6"/>
    <x v="8"/>
    <x v="16"/>
    <x v="2"/>
    <n v="1"/>
  </r>
  <r>
    <x v="0"/>
    <x v="1"/>
    <x v="1"/>
    <x v="6"/>
    <x v="8"/>
    <x v="15"/>
    <x v="3"/>
    <n v="7"/>
  </r>
  <r>
    <x v="0"/>
    <x v="1"/>
    <x v="1"/>
    <x v="6"/>
    <x v="8"/>
    <x v="15"/>
    <x v="4"/>
    <n v="1"/>
  </r>
  <r>
    <x v="0"/>
    <x v="1"/>
    <x v="1"/>
    <x v="6"/>
    <x v="8"/>
    <x v="14"/>
    <x v="12"/>
    <n v="3"/>
  </r>
  <r>
    <x v="0"/>
    <x v="1"/>
    <x v="1"/>
    <x v="6"/>
    <x v="8"/>
    <x v="14"/>
    <x v="9"/>
    <n v="5"/>
  </r>
  <r>
    <x v="0"/>
    <x v="1"/>
    <x v="1"/>
    <x v="6"/>
    <x v="8"/>
    <x v="2"/>
    <x v="4"/>
    <n v="2"/>
  </r>
  <r>
    <x v="0"/>
    <x v="1"/>
    <x v="1"/>
    <x v="6"/>
    <x v="8"/>
    <x v="2"/>
    <x v="5"/>
    <n v="2"/>
  </r>
  <r>
    <x v="0"/>
    <x v="1"/>
    <x v="1"/>
    <x v="6"/>
    <x v="8"/>
    <x v="10"/>
    <x v="4"/>
    <n v="1"/>
  </r>
  <r>
    <x v="0"/>
    <x v="1"/>
    <x v="1"/>
    <x v="6"/>
    <x v="8"/>
    <x v="10"/>
    <x v="13"/>
    <n v="1"/>
  </r>
  <r>
    <x v="0"/>
    <x v="1"/>
    <x v="1"/>
    <x v="6"/>
    <x v="8"/>
    <x v="3"/>
    <x v="3"/>
    <n v="1"/>
  </r>
  <r>
    <x v="0"/>
    <x v="1"/>
    <x v="1"/>
    <x v="6"/>
    <x v="8"/>
    <x v="3"/>
    <x v="5"/>
    <n v="1"/>
  </r>
  <r>
    <x v="0"/>
    <x v="1"/>
    <x v="1"/>
    <x v="6"/>
    <x v="3"/>
    <x v="19"/>
    <x v="1"/>
    <n v="1"/>
  </r>
  <r>
    <x v="0"/>
    <x v="1"/>
    <x v="1"/>
    <x v="6"/>
    <x v="3"/>
    <x v="16"/>
    <x v="10"/>
    <n v="4"/>
  </r>
  <r>
    <x v="0"/>
    <x v="1"/>
    <x v="1"/>
    <x v="6"/>
    <x v="3"/>
    <x v="15"/>
    <x v="9"/>
    <n v="1"/>
  </r>
  <r>
    <x v="0"/>
    <x v="1"/>
    <x v="1"/>
    <x v="6"/>
    <x v="3"/>
    <x v="14"/>
    <x v="12"/>
    <n v="1"/>
  </r>
  <r>
    <x v="0"/>
    <x v="1"/>
    <x v="1"/>
    <x v="6"/>
    <x v="3"/>
    <x v="2"/>
    <x v="10"/>
    <n v="3"/>
  </r>
  <r>
    <x v="0"/>
    <x v="1"/>
    <x v="1"/>
    <x v="6"/>
    <x v="3"/>
    <x v="2"/>
    <x v="3"/>
    <n v="1"/>
  </r>
  <r>
    <x v="0"/>
    <x v="1"/>
    <x v="1"/>
    <x v="6"/>
    <x v="3"/>
    <x v="10"/>
    <x v="6"/>
    <n v="1"/>
  </r>
  <r>
    <x v="0"/>
    <x v="1"/>
    <x v="1"/>
    <x v="6"/>
    <x v="3"/>
    <x v="10"/>
    <x v="12"/>
    <n v="2"/>
  </r>
  <r>
    <x v="0"/>
    <x v="1"/>
    <x v="1"/>
    <x v="6"/>
    <x v="3"/>
    <x v="4"/>
    <x v="12"/>
    <n v="1"/>
  </r>
  <r>
    <x v="0"/>
    <x v="1"/>
    <x v="1"/>
    <x v="9"/>
    <x v="10"/>
    <x v="16"/>
    <x v="4"/>
    <n v="3"/>
  </r>
  <r>
    <x v="0"/>
    <x v="1"/>
    <x v="1"/>
    <x v="9"/>
    <x v="10"/>
    <x v="16"/>
    <x v="5"/>
    <n v="1"/>
  </r>
  <r>
    <x v="0"/>
    <x v="1"/>
    <x v="1"/>
    <x v="9"/>
    <x v="10"/>
    <x v="16"/>
    <x v="14"/>
    <n v="1"/>
  </r>
  <r>
    <x v="0"/>
    <x v="1"/>
    <x v="1"/>
    <x v="9"/>
    <x v="10"/>
    <x v="15"/>
    <x v="9"/>
    <n v="3"/>
  </r>
  <r>
    <x v="0"/>
    <x v="1"/>
    <x v="1"/>
    <x v="9"/>
    <x v="10"/>
    <x v="15"/>
    <x v="3"/>
    <n v="3"/>
  </r>
  <r>
    <x v="0"/>
    <x v="1"/>
    <x v="1"/>
    <x v="9"/>
    <x v="10"/>
    <x v="15"/>
    <x v="4"/>
    <n v="5"/>
  </r>
  <r>
    <x v="0"/>
    <x v="1"/>
    <x v="1"/>
    <x v="9"/>
    <x v="10"/>
    <x v="15"/>
    <x v="5"/>
    <n v="3"/>
  </r>
  <r>
    <x v="0"/>
    <x v="1"/>
    <x v="1"/>
    <x v="9"/>
    <x v="10"/>
    <x v="15"/>
    <x v="2"/>
    <n v="2"/>
  </r>
  <r>
    <x v="0"/>
    <x v="1"/>
    <x v="1"/>
    <x v="9"/>
    <x v="10"/>
    <x v="14"/>
    <x v="12"/>
    <n v="2"/>
  </r>
  <r>
    <x v="0"/>
    <x v="1"/>
    <x v="1"/>
    <x v="9"/>
    <x v="10"/>
    <x v="14"/>
    <x v="9"/>
    <n v="4"/>
  </r>
  <r>
    <x v="0"/>
    <x v="1"/>
    <x v="1"/>
    <x v="9"/>
    <x v="10"/>
    <x v="14"/>
    <x v="3"/>
    <n v="8"/>
  </r>
  <r>
    <x v="0"/>
    <x v="1"/>
    <x v="1"/>
    <x v="9"/>
    <x v="10"/>
    <x v="14"/>
    <x v="4"/>
    <n v="3"/>
  </r>
  <r>
    <x v="0"/>
    <x v="1"/>
    <x v="1"/>
    <x v="9"/>
    <x v="10"/>
    <x v="14"/>
    <x v="5"/>
    <n v="2"/>
  </r>
  <r>
    <x v="0"/>
    <x v="1"/>
    <x v="1"/>
    <x v="9"/>
    <x v="10"/>
    <x v="13"/>
    <x v="12"/>
    <n v="1"/>
  </r>
  <r>
    <x v="0"/>
    <x v="1"/>
    <x v="1"/>
    <x v="9"/>
    <x v="10"/>
    <x v="13"/>
    <x v="9"/>
    <n v="3"/>
  </r>
  <r>
    <x v="0"/>
    <x v="1"/>
    <x v="1"/>
    <x v="9"/>
    <x v="10"/>
    <x v="13"/>
    <x v="3"/>
    <n v="3"/>
  </r>
  <r>
    <x v="0"/>
    <x v="1"/>
    <x v="1"/>
    <x v="9"/>
    <x v="19"/>
    <x v="16"/>
    <x v="9"/>
    <n v="1"/>
  </r>
  <r>
    <x v="0"/>
    <x v="1"/>
    <x v="1"/>
    <x v="9"/>
    <x v="19"/>
    <x v="16"/>
    <x v="3"/>
    <n v="3"/>
  </r>
  <r>
    <x v="0"/>
    <x v="1"/>
    <x v="1"/>
    <x v="9"/>
    <x v="19"/>
    <x v="15"/>
    <x v="3"/>
    <n v="1"/>
  </r>
  <r>
    <x v="0"/>
    <x v="1"/>
    <x v="1"/>
    <x v="9"/>
    <x v="19"/>
    <x v="15"/>
    <x v="4"/>
    <n v="1"/>
  </r>
  <r>
    <x v="0"/>
    <x v="1"/>
    <x v="1"/>
    <x v="7"/>
    <x v="3"/>
    <x v="7"/>
    <x v="14"/>
    <n v="1"/>
  </r>
  <r>
    <x v="0"/>
    <x v="1"/>
    <x v="1"/>
    <x v="8"/>
    <x v="4"/>
    <x v="9"/>
    <x v="4"/>
    <n v="1"/>
  </r>
  <r>
    <x v="0"/>
    <x v="1"/>
    <x v="1"/>
    <x v="8"/>
    <x v="13"/>
    <x v="14"/>
    <x v="2"/>
    <n v="1"/>
  </r>
  <r>
    <x v="0"/>
    <x v="1"/>
    <x v="1"/>
    <x v="8"/>
    <x v="13"/>
    <x v="14"/>
    <x v="11"/>
    <n v="2"/>
  </r>
  <r>
    <x v="0"/>
    <x v="1"/>
    <x v="1"/>
    <x v="8"/>
    <x v="13"/>
    <x v="13"/>
    <x v="13"/>
    <n v="1"/>
  </r>
  <r>
    <x v="0"/>
    <x v="1"/>
    <x v="1"/>
    <x v="8"/>
    <x v="7"/>
    <x v="19"/>
    <x v="14"/>
    <n v="7"/>
  </r>
  <r>
    <x v="0"/>
    <x v="1"/>
    <x v="1"/>
    <x v="8"/>
    <x v="7"/>
    <x v="19"/>
    <x v="17"/>
    <n v="8"/>
  </r>
  <r>
    <x v="0"/>
    <x v="1"/>
    <x v="1"/>
    <x v="8"/>
    <x v="7"/>
    <x v="19"/>
    <x v="19"/>
    <n v="2"/>
  </r>
  <r>
    <x v="0"/>
    <x v="1"/>
    <x v="1"/>
    <x v="8"/>
    <x v="7"/>
    <x v="16"/>
    <x v="2"/>
    <n v="1"/>
  </r>
  <r>
    <x v="0"/>
    <x v="1"/>
    <x v="1"/>
    <x v="8"/>
    <x v="7"/>
    <x v="16"/>
    <x v="13"/>
    <n v="3"/>
  </r>
  <r>
    <x v="0"/>
    <x v="1"/>
    <x v="1"/>
    <x v="8"/>
    <x v="7"/>
    <x v="16"/>
    <x v="11"/>
    <n v="1"/>
  </r>
  <r>
    <x v="0"/>
    <x v="1"/>
    <x v="3"/>
    <x v="19"/>
    <x v="10"/>
    <x v="0"/>
    <x v="11"/>
    <n v="1"/>
  </r>
  <r>
    <x v="0"/>
    <x v="1"/>
    <x v="3"/>
    <x v="19"/>
    <x v="17"/>
    <x v="0"/>
    <x v="1"/>
    <n v="1"/>
  </r>
  <r>
    <x v="0"/>
    <x v="1"/>
    <x v="3"/>
    <x v="19"/>
    <x v="18"/>
    <x v="0"/>
    <x v="0"/>
    <n v="1"/>
  </r>
  <r>
    <x v="0"/>
    <x v="1"/>
    <x v="4"/>
    <x v="0"/>
    <x v="1"/>
    <x v="12"/>
    <x v="1"/>
    <n v="1"/>
  </r>
  <r>
    <x v="0"/>
    <x v="1"/>
    <x v="4"/>
    <x v="0"/>
    <x v="1"/>
    <x v="7"/>
    <x v="7"/>
    <n v="62"/>
  </r>
  <r>
    <x v="0"/>
    <x v="1"/>
    <x v="4"/>
    <x v="0"/>
    <x v="1"/>
    <x v="7"/>
    <x v="12"/>
    <n v="1"/>
  </r>
  <r>
    <x v="0"/>
    <x v="1"/>
    <x v="4"/>
    <x v="0"/>
    <x v="1"/>
    <x v="1"/>
    <x v="10"/>
    <n v="3"/>
  </r>
  <r>
    <x v="0"/>
    <x v="1"/>
    <x v="4"/>
    <x v="0"/>
    <x v="1"/>
    <x v="1"/>
    <x v="1"/>
    <n v="1"/>
  </r>
  <r>
    <x v="0"/>
    <x v="1"/>
    <x v="4"/>
    <x v="0"/>
    <x v="1"/>
    <x v="8"/>
    <x v="12"/>
    <n v="1"/>
  </r>
  <r>
    <x v="0"/>
    <x v="1"/>
    <x v="4"/>
    <x v="0"/>
    <x v="1"/>
    <x v="0"/>
    <x v="10"/>
    <n v="133"/>
  </r>
  <r>
    <x v="0"/>
    <x v="1"/>
    <x v="4"/>
    <x v="0"/>
    <x v="1"/>
    <x v="0"/>
    <x v="1"/>
    <n v="84"/>
  </r>
  <r>
    <x v="0"/>
    <x v="1"/>
    <x v="4"/>
    <x v="0"/>
    <x v="10"/>
    <x v="0"/>
    <x v="4"/>
    <n v="1"/>
  </r>
  <r>
    <x v="0"/>
    <x v="1"/>
    <x v="4"/>
    <x v="0"/>
    <x v="10"/>
    <x v="0"/>
    <x v="5"/>
    <n v="1"/>
  </r>
  <r>
    <x v="0"/>
    <x v="1"/>
    <x v="4"/>
    <x v="0"/>
    <x v="19"/>
    <x v="3"/>
    <x v="14"/>
    <n v="1"/>
  </r>
  <r>
    <x v="0"/>
    <x v="1"/>
    <x v="4"/>
    <x v="0"/>
    <x v="19"/>
    <x v="3"/>
    <x v="17"/>
    <n v="1"/>
  </r>
  <r>
    <x v="0"/>
    <x v="1"/>
    <x v="4"/>
    <x v="0"/>
    <x v="19"/>
    <x v="5"/>
    <x v="5"/>
    <n v="1"/>
  </r>
  <r>
    <x v="0"/>
    <x v="1"/>
    <x v="4"/>
    <x v="0"/>
    <x v="19"/>
    <x v="5"/>
    <x v="2"/>
    <n v="1"/>
  </r>
  <r>
    <x v="0"/>
    <x v="1"/>
    <x v="4"/>
    <x v="0"/>
    <x v="19"/>
    <x v="5"/>
    <x v="13"/>
    <n v="1"/>
  </r>
  <r>
    <x v="0"/>
    <x v="1"/>
    <x v="4"/>
    <x v="0"/>
    <x v="19"/>
    <x v="5"/>
    <x v="11"/>
    <n v="1"/>
  </r>
  <r>
    <x v="0"/>
    <x v="1"/>
    <x v="4"/>
    <x v="0"/>
    <x v="19"/>
    <x v="5"/>
    <x v="14"/>
    <n v="1"/>
  </r>
  <r>
    <x v="0"/>
    <x v="1"/>
    <x v="4"/>
    <x v="0"/>
    <x v="19"/>
    <x v="6"/>
    <x v="3"/>
    <n v="1"/>
  </r>
  <r>
    <x v="0"/>
    <x v="1"/>
    <x v="4"/>
    <x v="0"/>
    <x v="19"/>
    <x v="6"/>
    <x v="4"/>
    <n v="3"/>
  </r>
  <r>
    <x v="0"/>
    <x v="1"/>
    <x v="4"/>
    <x v="0"/>
    <x v="19"/>
    <x v="6"/>
    <x v="5"/>
    <n v="1"/>
  </r>
  <r>
    <x v="0"/>
    <x v="1"/>
    <x v="4"/>
    <x v="0"/>
    <x v="19"/>
    <x v="6"/>
    <x v="13"/>
    <n v="1"/>
  </r>
  <r>
    <x v="0"/>
    <x v="1"/>
    <x v="4"/>
    <x v="0"/>
    <x v="19"/>
    <x v="6"/>
    <x v="11"/>
    <n v="1"/>
  </r>
  <r>
    <x v="0"/>
    <x v="1"/>
    <x v="4"/>
    <x v="0"/>
    <x v="19"/>
    <x v="9"/>
    <x v="9"/>
    <n v="1"/>
  </r>
  <r>
    <x v="0"/>
    <x v="1"/>
    <x v="4"/>
    <x v="0"/>
    <x v="19"/>
    <x v="9"/>
    <x v="5"/>
    <n v="1"/>
  </r>
  <r>
    <x v="0"/>
    <x v="1"/>
    <x v="4"/>
    <x v="0"/>
    <x v="19"/>
    <x v="9"/>
    <x v="2"/>
    <n v="1"/>
  </r>
  <r>
    <x v="0"/>
    <x v="1"/>
    <x v="4"/>
    <x v="0"/>
    <x v="19"/>
    <x v="12"/>
    <x v="12"/>
    <n v="1"/>
  </r>
  <r>
    <x v="0"/>
    <x v="1"/>
    <x v="4"/>
    <x v="0"/>
    <x v="19"/>
    <x v="12"/>
    <x v="3"/>
    <n v="1"/>
  </r>
  <r>
    <x v="0"/>
    <x v="1"/>
    <x v="4"/>
    <x v="0"/>
    <x v="19"/>
    <x v="12"/>
    <x v="13"/>
    <n v="2"/>
  </r>
  <r>
    <x v="0"/>
    <x v="1"/>
    <x v="4"/>
    <x v="0"/>
    <x v="19"/>
    <x v="0"/>
    <x v="3"/>
    <n v="1"/>
  </r>
  <r>
    <x v="0"/>
    <x v="1"/>
    <x v="4"/>
    <x v="0"/>
    <x v="19"/>
    <x v="0"/>
    <x v="5"/>
    <n v="1"/>
  </r>
  <r>
    <x v="0"/>
    <x v="1"/>
    <x v="4"/>
    <x v="1"/>
    <x v="0"/>
    <x v="12"/>
    <x v="7"/>
    <n v="2"/>
  </r>
  <r>
    <x v="0"/>
    <x v="1"/>
    <x v="4"/>
    <x v="1"/>
    <x v="0"/>
    <x v="12"/>
    <x v="6"/>
    <n v="1"/>
  </r>
  <r>
    <x v="0"/>
    <x v="1"/>
    <x v="4"/>
    <x v="1"/>
    <x v="0"/>
    <x v="0"/>
    <x v="12"/>
    <n v="4"/>
  </r>
  <r>
    <x v="0"/>
    <x v="1"/>
    <x v="4"/>
    <x v="1"/>
    <x v="0"/>
    <x v="0"/>
    <x v="9"/>
    <n v="2"/>
  </r>
  <r>
    <x v="0"/>
    <x v="1"/>
    <x v="4"/>
    <x v="1"/>
    <x v="1"/>
    <x v="7"/>
    <x v="8"/>
    <n v="1"/>
  </r>
  <r>
    <x v="0"/>
    <x v="1"/>
    <x v="4"/>
    <x v="1"/>
    <x v="1"/>
    <x v="7"/>
    <x v="7"/>
    <n v="1"/>
  </r>
  <r>
    <x v="0"/>
    <x v="1"/>
    <x v="4"/>
    <x v="1"/>
    <x v="1"/>
    <x v="1"/>
    <x v="13"/>
    <n v="1"/>
  </r>
  <r>
    <x v="0"/>
    <x v="1"/>
    <x v="4"/>
    <x v="1"/>
    <x v="1"/>
    <x v="8"/>
    <x v="7"/>
    <n v="6"/>
  </r>
  <r>
    <x v="0"/>
    <x v="1"/>
    <x v="4"/>
    <x v="1"/>
    <x v="1"/>
    <x v="0"/>
    <x v="2"/>
    <n v="1"/>
  </r>
  <r>
    <x v="0"/>
    <x v="1"/>
    <x v="4"/>
    <x v="1"/>
    <x v="1"/>
    <x v="0"/>
    <x v="13"/>
    <n v="1"/>
  </r>
  <r>
    <x v="0"/>
    <x v="1"/>
    <x v="4"/>
    <x v="1"/>
    <x v="10"/>
    <x v="0"/>
    <x v="10"/>
    <n v="2"/>
  </r>
  <r>
    <x v="0"/>
    <x v="1"/>
    <x v="4"/>
    <x v="1"/>
    <x v="10"/>
    <x v="0"/>
    <x v="1"/>
    <n v="2"/>
  </r>
  <r>
    <x v="0"/>
    <x v="1"/>
    <x v="4"/>
    <x v="1"/>
    <x v="18"/>
    <x v="8"/>
    <x v="6"/>
    <n v="1"/>
  </r>
  <r>
    <x v="0"/>
    <x v="1"/>
    <x v="4"/>
    <x v="1"/>
    <x v="18"/>
    <x v="8"/>
    <x v="10"/>
    <n v="2"/>
  </r>
  <r>
    <x v="0"/>
    <x v="1"/>
    <x v="4"/>
    <x v="2"/>
    <x v="15"/>
    <x v="0"/>
    <x v="6"/>
    <n v="29"/>
  </r>
  <r>
    <x v="0"/>
    <x v="1"/>
    <x v="4"/>
    <x v="2"/>
    <x v="15"/>
    <x v="0"/>
    <x v="10"/>
    <n v="23"/>
  </r>
  <r>
    <x v="0"/>
    <x v="1"/>
    <x v="4"/>
    <x v="2"/>
    <x v="15"/>
    <x v="0"/>
    <x v="1"/>
    <n v="9"/>
  </r>
  <r>
    <x v="0"/>
    <x v="1"/>
    <x v="4"/>
    <x v="2"/>
    <x v="7"/>
    <x v="9"/>
    <x v="1"/>
    <n v="2"/>
  </r>
  <r>
    <x v="0"/>
    <x v="1"/>
    <x v="4"/>
    <x v="2"/>
    <x v="7"/>
    <x v="1"/>
    <x v="1"/>
    <n v="1"/>
  </r>
  <r>
    <x v="0"/>
    <x v="1"/>
    <x v="4"/>
    <x v="2"/>
    <x v="7"/>
    <x v="0"/>
    <x v="3"/>
    <n v="2"/>
  </r>
  <r>
    <x v="0"/>
    <x v="1"/>
    <x v="4"/>
    <x v="2"/>
    <x v="6"/>
    <x v="6"/>
    <x v="10"/>
    <n v="1"/>
  </r>
  <r>
    <x v="0"/>
    <x v="1"/>
    <x v="4"/>
    <x v="2"/>
    <x v="6"/>
    <x v="6"/>
    <x v="1"/>
    <n v="1"/>
  </r>
  <r>
    <x v="0"/>
    <x v="1"/>
    <x v="4"/>
    <x v="2"/>
    <x v="6"/>
    <x v="9"/>
    <x v="10"/>
    <n v="9"/>
  </r>
  <r>
    <x v="0"/>
    <x v="1"/>
    <x v="4"/>
    <x v="2"/>
    <x v="6"/>
    <x v="9"/>
    <x v="1"/>
    <n v="1"/>
  </r>
  <r>
    <x v="0"/>
    <x v="1"/>
    <x v="4"/>
    <x v="2"/>
    <x v="6"/>
    <x v="12"/>
    <x v="7"/>
    <n v="4"/>
  </r>
  <r>
    <x v="0"/>
    <x v="1"/>
    <x v="4"/>
    <x v="2"/>
    <x v="6"/>
    <x v="12"/>
    <x v="6"/>
    <n v="31"/>
  </r>
  <r>
    <x v="0"/>
    <x v="1"/>
    <x v="4"/>
    <x v="2"/>
    <x v="6"/>
    <x v="12"/>
    <x v="10"/>
    <n v="2"/>
  </r>
  <r>
    <x v="0"/>
    <x v="1"/>
    <x v="4"/>
    <x v="2"/>
    <x v="6"/>
    <x v="12"/>
    <x v="1"/>
    <n v="3"/>
  </r>
  <r>
    <x v="0"/>
    <x v="1"/>
    <x v="4"/>
    <x v="2"/>
    <x v="6"/>
    <x v="1"/>
    <x v="6"/>
    <n v="42"/>
  </r>
  <r>
    <x v="0"/>
    <x v="1"/>
    <x v="4"/>
    <x v="2"/>
    <x v="6"/>
    <x v="1"/>
    <x v="10"/>
    <n v="24"/>
  </r>
  <r>
    <x v="0"/>
    <x v="1"/>
    <x v="4"/>
    <x v="2"/>
    <x v="6"/>
    <x v="0"/>
    <x v="6"/>
    <n v="20"/>
  </r>
  <r>
    <x v="0"/>
    <x v="1"/>
    <x v="4"/>
    <x v="2"/>
    <x v="6"/>
    <x v="0"/>
    <x v="10"/>
    <n v="118"/>
  </r>
  <r>
    <x v="0"/>
    <x v="1"/>
    <x v="4"/>
    <x v="2"/>
    <x v="6"/>
    <x v="0"/>
    <x v="9"/>
    <n v="14"/>
  </r>
  <r>
    <x v="0"/>
    <x v="1"/>
    <x v="4"/>
    <x v="2"/>
    <x v="9"/>
    <x v="0"/>
    <x v="12"/>
    <n v="6"/>
  </r>
  <r>
    <x v="0"/>
    <x v="1"/>
    <x v="4"/>
    <x v="3"/>
    <x v="15"/>
    <x v="0"/>
    <x v="9"/>
    <n v="1"/>
  </r>
  <r>
    <x v="0"/>
    <x v="1"/>
    <x v="4"/>
    <x v="3"/>
    <x v="19"/>
    <x v="0"/>
    <x v="17"/>
    <n v="1"/>
  </r>
  <r>
    <x v="0"/>
    <x v="1"/>
    <x v="4"/>
    <x v="4"/>
    <x v="1"/>
    <x v="1"/>
    <x v="12"/>
    <n v="1"/>
  </r>
  <r>
    <x v="0"/>
    <x v="1"/>
    <x v="4"/>
    <x v="4"/>
    <x v="1"/>
    <x v="1"/>
    <x v="9"/>
    <n v="1"/>
  </r>
  <r>
    <x v="0"/>
    <x v="1"/>
    <x v="4"/>
    <x v="4"/>
    <x v="1"/>
    <x v="8"/>
    <x v="10"/>
    <n v="7"/>
  </r>
  <r>
    <x v="0"/>
    <x v="1"/>
    <x v="1"/>
    <x v="8"/>
    <x v="7"/>
    <x v="16"/>
    <x v="14"/>
    <n v="4"/>
  </r>
  <r>
    <x v="0"/>
    <x v="1"/>
    <x v="1"/>
    <x v="8"/>
    <x v="7"/>
    <x v="16"/>
    <x v="17"/>
    <n v="5"/>
  </r>
  <r>
    <x v="0"/>
    <x v="1"/>
    <x v="1"/>
    <x v="8"/>
    <x v="7"/>
    <x v="14"/>
    <x v="2"/>
    <n v="1"/>
  </r>
  <r>
    <x v="0"/>
    <x v="1"/>
    <x v="1"/>
    <x v="8"/>
    <x v="6"/>
    <x v="15"/>
    <x v="9"/>
    <n v="2"/>
  </r>
  <r>
    <x v="0"/>
    <x v="1"/>
    <x v="1"/>
    <x v="8"/>
    <x v="6"/>
    <x v="15"/>
    <x v="5"/>
    <n v="1"/>
  </r>
  <r>
    <x v="0"/>
    <x v="1"/>
    <x v="1"/>
    <x v="8"/>
    <x v="6"/>
    <x v="14"/>
    <x v="12"/>
    <n v="2"/>
  </r>
  <r>
    <x v="0"/>
    <x v="1"/>
    <x v="1"/>
    <x v="8"/>
    <x v="6"/>
    <x v="14"/>
    <x v="9"/>
    <n v="1"/>
  </r>
  <r>
    <x v="0"/>
    <x v="1"/>
    <x v="1"/>
    <x v="8"/>
    <x v="6"/>
    <x v="14"/>
    <x v="3"/>
    <n v="1"/>
  </r>
  <r>
    <x v="0"/>
    <x v="1"/>
    <x v="1"/>
    <x v="8"/>
    <x v="6"/>
    <x v="14"/>
    <x v="5"/>
    <n v="2"/>
  </r>
  <r>
    <x v="0"/>
    <x v="1"/>
    <x v="1"/>
    <x v="8"/>
    <x v="6"/>
    <x v="13"/>
    <x v="12"/>
    <n v="1"/>
  </r>
  <r>
    <x v="0"/>
    <x v="1"/>
    <x v="1"/>
    <x v="8"/>
    <x v="6"/>
    <x v="13"/>
    <x v="9"/>
    <n v="1"/>
  </r>
  <r>
    <x v="0"/>
    <x v="1"/>
    <x v="1"/>
    <x v="8"/>
    <x v="6"/>
    <x v="2"/>
    <x v="1"/>
    <n v="1"/>
  </r>
  <r>
    <x v="0"/>
    <x v="1"/>
    <x v="1"/>
    <x v="8"/>
    <x v="6"/>
    <x v="10"/>
    <x v="10"/>
    <n v="1"/>
  </r>
  <r>
    <x v="0"/>
    <x v="1"/>
    <x v="1"/>
    <x v="8"/>
    <x v="6"/>
    <x v="10"/>
    <x v="1"/>
    <n v="3"/>
  </r>
  <r>
    <x v="0"/>
    <x v="1"/>
    <x v="1"/>
    <x v="8"/>
    <x v="6"/>
    <x v="3"/>
    <x v="10"/>
    <n v="2"/>
  </r>
  <r>
    <x v="0"/>
    <x v="1"/>
    <x v="1"/>
    <x v="8"/>
    <x v="6"/>
    <x v="3"/>
    <x v="1"/>
    <n v="1"/>
  </r>
  <r>
    <x v="0"/>
    <x v="1"/>
    <x v="1"/>
    <x v="8"/>
    <x v="6"/>
    <x v="4"/>
    <x v="10"/>
    <n v="1"/>
  </r>
  <r>
    <x v="0"/>
    <x v="1"/>
    <x v="1"/>
    <x v="8"/>
    <x v="11"/>
    <x v="11"/>
    <x v="13"/>
    <n v="1"/>
  </r>
  <r>
    <x v="0"/>
    <x v="1"/>
    <x v="1"/>
    <x v="8"/>
    <x v="11"/>
    <x v="12"/>
    <x v="5"/>
    <n v="1"/>
  </r>
  <r>
    <x v="0"/>
    <x v="1"/>
    <x v="1"/>
    <x v="8"/>
    <x v="11"/>
    <x v="12"/>
    <x v="2"/>
    <n v="1"/>
  </r>
  <r>
    <x v="0"/>
    <x v="1"/>
    <x v="1"/>
    <x v="8"/>
    <x v="11"/>
    <x v="1"/>
    <x v="5"/>
    <n v="1"/>
  </r>
  <r>
    <x v="0"/>
    <x v="1"/>
    <x v="1"/>
    <x v="10"/>
    <x v="16"/>
    <x v="15"/>
    <x v="1"/>
    <n v="2"/>
  </r>
  <r>
    <x v="0"/>
    <x v="1"/>
    <x v="1"/>
    <x v="10"/>
    <x v="16"/>
    <x v="14"/>
    <x v="10"/>
    <n v="1"/>
  </r>
  <r>
    <x v="0"/>
    <x v="1"/>
    <x v="1"/>
    <x v="10"/>
    <x v="16"/>
    <x v="14"/>
    <x v="1"/>
    <n v="1"/>
  </r>
  <r>
    <x v="0"/>
    <x v="1"/>
    <x v="1"/>
    <x v="10"/>
    <x v="16"/>
    <x v="14"/>
    <x v="5"/>
    <n v="1"/>
  </r>
  <r>
    <x v="0"/>
    <x v="1"/>
    <x v="1"/>
    <x v="10"/>
    <x v="16"/>
    <x v="13"/>
    <x v="6"/>
    <n v="1"/>
  </r>
  <r>
    <x v="0"/>
    <x v="1"/>
    <x v="1"/>
    <x v="10"/>
    <x v="16"/>
    <x v="13"/>
    <x v="10"/>
    <n v="6"/>
  </r>
  <r>
    <x v="0"/>
    <x v="1"/>
    <x v="1"/>
    <x v="10"/>
    <x v="16"/>
    <x v="13"/>
    <x v="3"/>
    <n v="2"/>
  </r>
  <r>
    <x v="0"/>
    <x v="1"/>
    <x v="1"/>
    <x v="10"/>
    <x v="16"/>
    <x v="10"/>
    <x v="13"/>
    <n v="2"/>
  </r>
  <r>
    <x v="0"/>
    <x v="1"/>
    <x v="1"/>
    <x v="10"/>
    <x v="16"/>
    <x v="3"/>
    <x v="1"/>
    <n v="24"/>
  </r>
  <r>
    <x v="0"/>
    <x v="1"/>
    <x v="1"/>
    <x v="10"/>
    <x v="16"/>
    <x v="3"/>
    <x v="5"/>
    <n v="4"/>
  </r>
  <r>
    <x v="0"/>
    <x v="1"/>
    <x v="1"/>
    <x v="10"/>
    <x v="16"/>
    <x v="3"/>
    <x v="2"/>
    <n v="1"/>
  </r>
  <r>
    <x v="0"/>
    <x v="1"/>
    <x v="1"/>
    <x v="10"/>
    <x v="16"/>
    <x v="4"/>
    <x v="1"/>
    <n v="12"/>
  </r>
  <r>
    <x v="0"/>
    <x v="1"/>
    <x v="1"/>
    <x v="10"/>
    <x v="16"/>
    <x v="4"/>
    <x v="4"/>
    <n v="2"/>
  </r>
  <r>
    <x v="0"/>
    <x v="1"/>
    <x v="1"/>
    <x v="10"/>
    <x v="16"/>
    <x v="4"/>
    <x v="11"/>
    <n v="1"/>
  </r>
  <r>
    <x v="0"/>
    <x v="1"/>
    <x v="1"/>
    <x v="10"/>
    <x v="16"/>
    <x v="5"/>
    <x v="2"/>
    <n v="1"/>
  </r>
  <r>
    <x v="0"/>
    <x v="1"/>
    <x v="1"/>
    <x v="10"/>
    <x v="16"/>
    <x v="11"/>
    <x v="9"/>
    <n v="3"/>
  </r>
  <r>
    <x v="0"/>
    <x v="1"/>
    <x v="1"/>
    <x v="10"/>
    <x v="16"/>
    <x v="11"/>
    <x v="3"/>
    <n v="2"/>
  </r>
  <r>
    <x v="0"/>
    <x v="1"/>
    <x v="1"/>
    <x v="10"/>
    <x v="16"/>
    <x v="6"/>
    <x v="12"/>
    <n v="5"/>
  </r>
  <r>
    <x v="0"/>
    <x v="1"/>
    <x v="1"/>
    <x v="10"/>
    <x v="16"/>
    <x v="6"/>
    <x v="9"/>
    <n v="3"/>
  </r>
  <r>
    <x v="0"/>
    <x v="1"/>
    <x v="1"/>
    <x v="10"/>
    <x v="16"/>
    <x v="6"/>
    <x v="3"/>
    <n v="3"/>
  </r>
  <r>
    <x v="0"/>
    <x v="1"/>
    <x v="1"/>
    <x v="10"/>
    <x v="16"/>
    <x v="6"/>
    <x v="4"/>
    <n v="1"/>
  </r>
  <r>
    <x v="0"/>
    <x v="1"/>
    <x v="1"/>
    <x v="10"/>
    <x v="16"/>
    <x v="9"/>
    <x v="12"/>
    <n v="3"/>
  </r>
  <r>
    <x v="0"/>
    <x v="1"/>
    <x v="1"/>
    <x v="10"/>
    <x v="16"/>
    <x v="9"/>
    <x v="9"/>
    <n v="2"/>
  </r>
  <r>
    <x v="0"/>
    <x v="1"/>
    <x v="1"/>
    <x v="10"/>
    <x v="16"/>
    <x v="9"/>
    <x v="3"/>
    <n v="2"/>
  </r>
  <r>
    <x v="0"/>
    <x v="1"/>
    <x v="1"/>
    <x v="10"/>
    <x v="16"/>
    <x v="12"/>
    <x v="12"/>
    <n v="2"/>
  </r>
  <r>
    <x v="0"/>
    <x v="1"/>
    <x v="1"/>
    <x v="10"/>
    <x v="16"/>
    <x v="12"/>
    <x v="9"/>
    <n v="2"/>
  </r>
  <r>
    <x v="0"/>
    <x v="1"/>
    <x v="1"/>
    <x v="10"/>
    <x v="16"/>
    <x v="1"/>
    <x v="3"/>
    <n v="1"/>
  </r>
  <r>
    <x v="0"/>
    <x v="1"/>
    <x v="1"/>
    <x v="11"/>
    <x v="0"/>
    <x v="9"/>
    <x v="1"/>
    <n v="1"/>
  </r>
  <r>
    <x v="0"/>
    <x v="1"/>
    <x v="1"/>
    <x v="11"/>
    <x v="0"/>
    <x v="1"/>
    <x v="1"/>
    <n v="1"/>
  </r>
  <r>
    <x v="0"/>
    <x v="1"/>
    <x v="1"/>
    <x v="11"/>
    <x v="0"/>
    <x v="8"/>
    <x v="12"/>
    <n v="1"/>
  </r>
  <r>
    <x v="0"/>
    <x v="1"/>
    <x v="1"/>
    <x v="11"/>
    <x v="14"/>
    <x v="15"/>
    <x v="2"/>
    <n v="1"/>
  </r>
  <r>
    <x v="0"/>
    <x v="1"/>
    <x v="1"/>
    <x v="11"/>
    <x v="14"/>
    <x v="14"/>
    <x v="4"/>
    <n v="1"/>
  </r>
  <r>
    <x v="0"/>
    <x v="1"/>
    <x v="1"/>
    <x v="11"/>
    <x v="14"/>
    <x v="13"/>
    <x v="5"/>
    <n v="2"/>
  </r>
  <r>
    <x v="0"/>
    <x v="1"/>
    <x v="1"/>
    <x v="11"/>
    <x v="8"/>
    <x v="2"/>
    <x v="10"/>
    <n v="1"/>
  </r>
  <r>
    <x v="0"/>
    <x v="1"/>
    <x v="1"/>
    <x v="11"/>
    <x v="8"/>
    <x v="10"/>
    <x v="1"/>
    <n v="1"/>
  </r>
  <r>
    <x v="0"/>
    <x v="1"/>
    <x v="1"/>
    <x v="11"/>
    <x v="7"/>
    <x v="7"/>
    <x v="2"/>
    <n v="1"/>
  </r>
  <r>
    <x v="0"/>
    <x v="1"/>
    <x v="1"/>
    <x v="11"/>
    <x v="7"/>
    <x v="8"/>
    <x v="5"/>
    <n v="1"/>
  </r>
  <r>
    <x v="0"/>
    <x v="1"/>
    <x v="1"/>
    <x v="11"/>
    <x v="7"/>
    <x v="0"/>
    <x v="0"/>
    <n v="1"/>
  </r>
  <r>
    <x v="0"/>
    <x v="1"/>
    <x v="1"/>
    <x v="12"/>
    <x v="6"/>
    <x v="19"/>
    <x v="1"/>
    <n v="11"/>
  </r>
  <r>
    <x v="0"/>
    <x v="1"/>
    <x v="1"/>
    <x v="12"/>
    <x v="6"/>
    <x v="16"/>
    <x v="12"/>
    <n v="4"/>
  </r>
  <r>
    <x v="0"/>
    <x v="1"/>
    <x v="1"/>
    <x v="12"/>
    <x v="6"/>
    <x v="16"/>
    <x v="9"/>
    <n v="4"/>
  </r>
  <r>
    <x v="0"/>
    <x v="1"/>
    <x v="1"/>
    <x v="12"/>
    <x v="6"/>
    <x v="16"/>
    <x v="3"/>
    <n v="3"/>
  </r>
  <r>
    <x v="0"/>
    <x v="1"/>
    <x v="1"/>
    <x v="12"/>
    <x v="6"/>
    <x v="16"/>
    <x v="4"/>
    <n v="4"/>
  </r>
  <r>
    <x v="0"/>
    <x v="1"/>
    <x v="1"/>
    <x v="12"/>
    <x v="6"/>
    <x v="16"/>
    <x v="2"/>
    <n v="2"/>
  </r>
  <r>
    <x v="0"/>
    <x v="1"/>
    <x v="1"/>
    <x v="12"/>
    <x v="6"/>
    <x v="15"/>
    <x v="12"/>
    <n v="4"/>
  </r>
  <r>
    <x v="0"/>
    <x v="1"/>
    <x v="1"/>
    <x v="12"/>
    <x v="6"/>
    <x v="15"/>
    <x v="9"/>
    <n v="1"/>
  </r>
  <r>
    <x v="0"/>
    <x v="1"/>
    <x v="1"/>
    <x v="12"/>
    <x v="6"/>
    <x v="15"/>
    <x v="3"/>
    <n v="3"/>
  </r>
  <r>
    <x v="0"/>
    <x v="1"/>
    <x v="1"/>
    <x v="12"/>
    <x v="6"/>
    <x v="15"/>
    <x v="4"/>
    <n v="1"/>
  </r>
  <r>
    <x v="0"/>
    <x v="1"/>
    <x v="1"/>
    <x v="12"/>
    <x v="6"/>
    <x v="14"/>
    <x v="12"/>
    <n v="1"/>
  </r>
  <r>
    <x v="0"/>
    <x v="1"/>
    <x v="1"/>
    <x v="12"/>
    <x v="6"/>
    <x v="14"/>
    <x v="9"/>
    <n v="1"/>
  </r>
  <r>
    <x v="0"/>
    <x v="1"/>
    <x v="1"/>
    <x v="12"/>
    <x v="6"/>
    <x v="2"/>
    <x v="6"/>
    <n v="1"/>
  </r>
  <r>
    <x v="0"/>
    <x v="1"/>
    <x v="7"/>
    <x v="6"/>
    <x v="2"/>
    <x v="19"/>
    <x v="19"/>
    <n v="95"/>
  </r>
  <r>
    <x v="0"/>
    <x v="1"/>
    <x v="7"/>
    <x v="6"/>
    <x v="2"/>
    <x v="16"/>
    <x v="2"/>
    <n v="2"/>
  </r>
  <r>
    <x v="0"/>
    <x v="1"/>
    <x v="7"/>
    <x v="6"/>
    <x v="2"/>
    <x v="16"/>
    <x v="13"/>
    <n v="5"/>
  </r>
  <r>
    <x v="0"/>
    <x v="1"/>
    <x v="7"/>
    <x v="6"/>
    <x v="2"/>
    <x v="16"/>
    <x v="11"/>
    <n v="4"/>
  </r>
  <r>
    <x v="0"/>
    <x v="1"/>
    <x v="7"/>
    <x v="6"/>
    <x v="2"/>
    <x v="16"/>
    <x v="14"/>
    <n v="21"/>
  </r>
  <r>
    <x v="0"/>
    <x v="1"/>
    <x v="7"/>
    <x v="6"/>
    <x v="2"/>
    <x v="16"/>
    <x v="17"/>
    <n v="34"/>
  </r>
  <r>
    <x v="0"/>
    <x v="1"/>
    <x v="7"/>
    <x v="6"/>
    <x v="2"/>
    <x v="15"/>
    <x v="5"/>
    <n v="8"/>
  </r>
  <r>
    <x v="0"/>
    <x v="1"/>
    <x v="7"/>
    <x v="6"/>
    <x v="2"/>
    <x v="15"/>
    <x v="2"/>
    <n v="4"/>
  </r>
  <r>
    <x v="0"/>
    <x v="1"/>
    <x v="7"/>
    <x v="6"/>
    <x v="2"/>
    <x v="15"/>
    <x v="13"/>
    <n v="7"/>
  </r>
  <r>
    <x v="0"/>
    <x v="1"/>
    <x v="7"/>
    <x v="6"/>
    <x v="2"/>
    <x v="15"/>
    <x v="11"/>
    <n v="8"/>
  </r>
  <r>
    <x v="0"/>
    <x v="1"/>
    <x v="7"/>
    <x v="6"/>
    <x v="2"/>
    <x v="14"/>
    <x v="4"/>
    <n v="2"/>
  </r>
  <r>
    <x v="0"/>
    <x v="1"/>
    <x v="7"/>
    <x v="6"/>
    <x v="2"/>
    <x v="14"/>
    <x v="5"/>
    <n v="5"/>
  </r>
  <r>
    <x v="0"/>
    <x v="1"/>
    <x v="7"/>
    <x v="6"/>
    <x v="2"/>
    <x v="14"/>
    <x v="2"/>
    <n v="3"/>
  </r>
  <r>
    <x v="0"/>
    <x v="1"/>
    <x v="7"/>
    <x v="6"/>
    <x v="2"/>
    <x v="2"/>
    <x v="0"/>
    <n v="2"/>
  </r>
  <r>
    <x v="0"/>
    <x v="1"/>
    <x v="7"/>
    <x v="6"/>
    <x v="2"/>
    <x v="2"/>
    <x v="18"/>
    <n v="2"/>
  </r>
  <r>
    <x v="0"/>
    <x v="1"/>
    <x v="7"/>
    <x v="6"/>
    <x v="2"/>
    <x v="10"/>
    <x v="0"/>
    <n v="1"/>
  </r>
  <r>
    <x v="0"/>
    <x v="1"/>
    <x v="7"/>
    <x v="6"/>
    <x v="2"/>
    <x v="3"/>
    <x v="0"/>
    <n v="1"/>
  </r>
  <r>
    <x v="0"/>
    <x v="1"/>
    <x v="7"/>
    <x v="6"/>
    <x v="2"/>
    <x v="4"/>
    <x v="0"/>
    <n v="1"/>
  </r>
  <r>
    <x v="0"/>
    <x v="1"/>
    <x v="7"/>
    <x v="6"/>
    <x v="2"/>
    <x v="5"/>
    <x v="0"/>
    <n v="1"/>
  </r>
  <r>
    <x v="0"/>
    <x v="1"/>
    <x v="7"/>
    <x v="6"/>
    <x v="2"/>
    <x v="5"/>
    <x v="19"/>
    <n v="1"/>
  </r>
  <r>
    <x v="0"/>
    <x v="1"/>
    <x v="7"/>
    <x v="6"/>
    <x v="15"/>
    <x v="1"/>
    <x v="19"/>
    <n v="1"/>
  </r>
  <r>
    <x v="0"/>
    <x v="1"/>
    <x v="7"/>
    <x v="9"/>
    <x v="13"/>
    <x v="3"/>
    <x v="0"/>
    <n v="1"/>
  </r>
  <r>
    <x v="0"/>
    <x v="1"/>
    <x v="7"/>
    <x v="9"/>
    <x v="13"/>
    <x v="4"/>
    <x v="18"/>
    <n v="1"/>
  </r>
  <r>
    <x v="0"/>
    <x v="1"/>
    <x v="7"/>
    <x v="9"/>
    <x v="13"/>
    <x v="11"/>
    <x v="0"/>
    <n v="1"/>
  </r>
  <r>
    <x v="0"/>
    <x v="1"/>
    <x v="7"/>
    <x v="7"/>
    <x v="0"/>
    <x v="13"/>
    <x v="14"/>
    <n v="1"/>
  </r>
  <r>
    <x v="0"/>
    <x v="1"/>
    <x v="7"/>
    <x v="7"/>
    <x v="0"/>
    <x v="2"/>
    <x v="14"/>
    <n v="1"/>
  </r>
  <r>
    <x v="0"/>
    <x v="1"/>
    <x v="7"/>
    <x v="7"/>
    <x v="0"/>
    <x v="10"/>
    <x v="13"/>
    <n v="1"/>
  </r>
  <r>
    <x v="0"/>
    <x v="1"/>
    <x v="7"/>
    <x v="7"/>
    <x v="0"/>
    <x v="10"/>
    <x v="14"/>
    <n v="1"/>
  </r>
  <r>
    <x v="0"/>
    <x v="1"/>
    <x v="7"/>
    <x v="7"/>
    <x v="0"/>
    <x v="5"/>
    <x v="2"/>
    <n v="1"/>
  </r>
  <r>
    <x v="0"/>
    <x v="1"/>
    <x v="7"/>
    <x v="8"/>
    <x v="13"/>
    <x v="15"/>
    <x v="17"/>
    <n v="1"/>
  </r>
  <r>
    <x v="0"/>
    <x v="1"/>
    <x v="7"/>
    <x v="8"/>
    <x v="13"/>
    <x v="14"/>
    <x v="11"/>
    <n v="1"/>
  </r>
  <r>
    <x v="0"/>
    <x v="1"/>
    <x v="7"/>
    <x v="8"/>
    <x v="13"/>
    <x v="3"/>
    <x v="18"/>
    <n v="1"/>
  </r>
  <r>
    <x v="0"/>
    <x v="1"/>
    <x v="7"/>
    <x v="8"/>
    <x v="7"/>
    <x v="18"/>
    <x v="19"/>
    <n v="1"/>
  </r>
  <r>
    <x v="0"/>
    <x v="1"/>
    <x v="7"/>
    <x v="8"/>
    <x v="10"/>
    <x v="5"/>
    <x v="17"/>
    <n v="1"/>
  </r>
  <r>
    <x v="0"/>
    <x v="1"/>
    <x v="7"/>
    <x v="10"/>
    <x v="16"/>
    <x v="13"/>
    <x v="14"/>
    <n v="1"/>
  </r>
  <r>
    <x v="0"/>
    <x v="1"/>
    <x v="7"/>
    <x v="10"/>
    <x v="16"/>
    <x v="2"/>
    <x v="14"/>
    <n v="1"/>
  </r>
  <r>
    <x v="0"/>
    <x v="1"/>
    <x v="7"/>
    <x v="10"/>
    <x v="16"/>
    <x v="10"/>
    <x v="5"/>
    <n v="2"/>
  </r>
  <r>
    <x v="0"/>
    <x v="1"/>
    <x v="7"/>
    <x v="10"/>
    <x v="16"/>
    <x v="10"/>
    <x v="13"/>
    <n v="1"/>
  </r>
  <r>
    <x v="0"/>
    <x v="1"/>
    <x v="7"/>
    <x v="10"/>
    <x v="16"/>
    <x v="3"/>
    <x v="5"/>
    <n v="1"/>
  </r>
  <r>
    <x v="0"/>
    <x v="1"/>
    <x v="7"/>
    <x v="10"/>
    <x v="16"/>
    <x v="3"/>
    <x v="2"/>
    <n v="1"/>
  </r>
  <r>
    <x v="0"/>
    <x v="1"/>
    <x v="7"/>
    <x v="10"/>
    <x v="16"/>
    <x v="3"/>
    <x v="13"/>
    <n v="1"/>
  </r>
  <r>
    <x v="0"/>
    <x v="1"/>
    <x v="7"/>
    <x v="10"/>
    <x v="16"/>
    <x v="4"/>
    <x v="2"/>
    <n v="1"/>
  </r>
  <r>
    <x v="0"/>
    <x v="1"/>
    <x v="7"/>
    <x v="11"/>
    <x v="8"/>
    <x v="15"/>
    <x v="4"/>
    <n v="2"/>
  </r>
  <r>
    <x v="0"/>
    <x v="1"/>
    <x v="7"/>
    <x v="11"/>
    <x v="8"/>
    <x v="15"/>
    <x v="5"/>
    <n v="1"/>
  </r>
  <r>
    <x v="0"/>
    <x v="1"/>
    <x v="7"/>
    <x v="11"/>
    <x v="8"/>
    <x v="5"/>
    <x v="11"/>
    <n v="1"/>
  </r>
  <r>
    <x v="0"/>
    <x v="1"/>
    <x v="7"/>
    <x v="12"/>
    <x v="1"/>
    <x v="16"/>
    <x v="19"/>
    <n v="2"/>
  </r>
  <r>
    <x v="0"/>
    <x v="1"/>
    <x v="7"/>
    <x v="12"/>
    <x v="1"/>
    <x v="15"/>
    <x v="19"/>
    <n v="1"/>
  </r>
  <r>
    <x v="0"/>
    <x v="1"/>
    <x v="7"/>
    <x v="12"/>
    <x v="1"/>
    <x v="14"/>
    <x v="14"/>
    <n v="1"/>
  </r>
  <r>
    <x v="0"/>
    <x v="1"/>
    <x v="7"/>
    <x v="12"/>
    <x v="1"/>
    <x v="14"/>
    <x v="17"/>
    <n v="2"/>
  </r>
  <r>
    <x v="0"/>
    <x v="1"/>
    <x v="7"/>
    <x v="12"/>
    <x v="1"/>
    <x v="13"/>
    <x v="5"/>
    <n v="1"/>
  </r>
  <r>
    <x v="0"/>
    <x v="1"/>
    <x v="7"/>
    <x v="12"/>
    <x v="1"/>
    <x v="13"/>
    <x v="2"/>
    <n v="1"/>
  </r>
  <r>
    <x v="0"/>
    <x v="1"/>
    <x v="7"/>
    <x v="12"/>
    <x v="1"/>
    <x v="13"/>
    <x v="13"/>
    <n v="2"/>
  </r>
  <r>
    <x v="0"/>
    <x v="1"/>
    <x v="7"/>
    <x v="12"/>
    <x v="1"/>
    <x v="13"/>
    <x v="11"/>
    <n v="2"/>
  </r>
  <r>
    <x v="0"/>
    <x v="1"/>
    <x v="7"/>
    <x v="12"/>
    <x v="1"/>
    <x v="5"/>
    <x v="18"/>
    <n v="1"/>
  </r>
  <r>
    <x v="0"/>
    <x v="1"/>
    <x v="7"/>
    <x v="12"/>
    <x v="1"/>
    <x v="11"/>
    <x v="0"/>
    <n v="1"/>
  </r>
  <r>
    <x v="0"/>
    <x v="1"/>
    <x v="7"/>
    <x v="12"/>
    <x v="1"/>
    <x v="12"/>
    <x v="19"/>
    <n v="1"/>
  </r>
  <r>
    <x v="0"/>
    <x v="1"/>
    <x v="7"/>
    <x v="12"/>
    <x v="6"/>
    <x v="13"/>
    <x v="19"/>
    <n v="1"/>
  </r>
  <r>
    <x v="0"/>
    <x v="1"/>
    <x v="7"/>
    <x v="12"/>
    <x v="6"/>
    <x v="10"/>
    <x v="14"/>
    <n v="1"/>
  </r>
  <r>
    <x v="0"/>
    <x v="1"/>
    <x v="7"/>
    <x v="12"/>
    <x v="6"/>
    <x v="4"/>
    <x v="5"/>
    <n v="1"/>
  </r>
  <r>
    <x v="0"/>
    <x v="1"/>
    <x v="7"/>
    <x v="12"/>
    <x v="6"/>
    <x v="5"/>
    <x v="5"/>
    <n v="1"/>
  </r>
  <r>
    <x v="0"/>
    <x v="1"/>
    <x v="7"/>
    <x v="12"/>
    <x v="6"/>
    <x v="5"/>
    <x v="13"/>
    <n v="1"/>
  </r>
  <r>
    <x v="0"/>
    <x v="1"/>
    <x v="7"/>
    <x v="12"/>
    <x v="6"/>
    <x v="5"/>
    <x v="11"/>
    <n v="1"/>
  </r>
  <r>
    <x v="0"/>
    <x v="1"/>
    <x v="7"/>
    <x v="12"/>
    <x v="6"/>
    <x v="11"/>
    <x v="11"/>
    <n v="1"/>
  </r>
  <r>
    <x v="0"/>
    <x v="1"/>
    <x v="7"/>
    <x v="13"/>
    <x v="6"/>
    <x v="13"/>
    <x v="17"/>
    <n v="2"/>
  </r>
  <r>
    <x v="0"/>
    <x v="1"/>
    <x v="7"/>
    <x v="13"/>
    <x v="6"/>
    <x v="13"/>
    <x v="19"/>
    <n v="1"/>
  </r>
  <r>
    <x v="0"/>
    <x v="1"/>
    <x v="7"/>
    <x v="13"/>
    <x v="6"/>
    <x v="2"/>
    <x v="13"/>
    <n v="1"/>
  </r>
  <r>
    <x v="0"/>
    <x v="1"/>
    <x v="7"/>
    <x v="13"/>
    <x v="6"/>
    <x v="2"/>
    <x v="17"/>
    <n v="1"/>
  </r>
  <r>
    <x v="0"/>
    <x v="1"/>
    <x v="7"/>
    <x v="13"/>
    <x v="6"/>
    <x v="10"/>
    <x v="2"/>
    <n v="1"/>
  </r>
  <r>
    <x v="0"/>
    <x v="1"/>
    <x v="7"/>
    <x v="13"/>
    <x v="6"/>
    <x v="10"/>
    <x v="17"/>
    <n v="1"/>
  </r>
  <r>
    <x v="0"/>
    <x v="1"/>
    <x v="7"/>
    <x v="13"/>
    <x v="6"/>
    <x v="3"/>
    <x v="19"/>
    <n v="2"/>
  </r>
  <r>
    <x v="0"/>
    <x v="1"/>
    <x v="7"/>
    <x v="13"/>
    <x v="17"/>
    <x v="17"/>
    <x v="19"/>
    <n v="1"/>
  </r>
  <r>
    <x v="0"/>
    <x v="1"/>
    <x v="7"/>
    <x v="13"/>
    <x v="17"/>
    <x v="19"/>
    <x v="18"/>
    <n v="9"/>
  </r>
  <r>
    <x v="0"/>
    <x v="1"/>
    <x v="4"/>
    <x v="4"/>
    <x v="1"/>
    <x v="8"/>
    <x v="1"/>
    <n v="2"/>
  </r>
  <r>
    <x v="0"/>
    <x v="1"/>
    <x v="4"/>
    <x v="4"/>
    <x v="1"/>
    <x v="0"/>
    <x v="12"/>
    <n v="33"/>
  </r>
  <r>
    <x v="0"/>
    <x v="1"/>
    <x v="4"/>
    <x v="4"/>
    <x v="8"/>
    <x v="12"/>
    <x v="6"/>
    <n v="1"/>
  </r>
  <r>
    <x v="0"/>
    <x v="1"/>
    <x v="4"/>
    <x v="4"/>
    <x v="7"/>
    <x v="8"/>
    <x v="1"/>
    <n v="3"/>
  </r>
  <r>
    <x v="0"/>
    <x v="1"/>
    <x v="4"/>
    <x v="4"/>
    <x v="19"/>
    <x v="7"/>
    <x v="3"/>
    <n v="2"/>
  </r>
  <r>
    <x v="0"/>
    <x v="1"/>
    <x v="4"/>
    <x v="4"/>
    <x v="19"/>
    <x v="8"/>
    <x v="3"/>
    <n v="1"/>
  </r>
  <r>
    <x v="0"/>
    <x v="1"/>
    <x v="4"/>
    <x v="5"/>
    <x v="5"/>
    <x v="11"/>
    <x v="12"/>
    <n v="1"/>
  </r>
  <r>
    <x v="0"/>
    <x v="1"/>
    <x v="4"/>
    <x v="5"/>
    <x v="5"/>
    <x v="7"/>
    <x v="10"/>
    <n v="3"/>
  </r>
  <r>
    <x v="0"/>
    <x v="1"/>
    <x v="4"/>
    <x v="5"/>
    <x v="5"/>
    <x v="7"/>
    <x v="1"/>
    <n v="3"/>
  </r>
  <r>
    <x v="0"/>
    <x v="1"/>
    <x v="4"/>
    <x v="5"/>
    <x v="5"/>
    <x v="8"/>
    <x v="10"/>
    <n v="2"/>
  </r>
  <r>
    <x v="0"/>
    <x v="1"/>
    <x v="4"/>
    <x v="5"/>
    <x v="5"/>
    <x v="8"/>
    <x v="1"/>
    <n v="2"/>
  </r>
  <r>
    <x v="0"/>
    <x v="1"/>
    <x v="4"/>
    <x v="5"/>
    <x v="9"/>
    <x v="7"/>
    <x v="3"/>
    <n v="1"/>
  </r>
  <r>
    <x v="0"/>
    <x v="1"/>
    <x v="4"/>
    <x v="5"/>
    <x v="9"/>
    <x v="0"/>
    <x v="17"/>
    <n v="1"/>
  </r>
  <r>
    <x v="0"/>
    <x v="1"/>
    <x v="4"/>
    <x v="6"/>
    <x v="16"/>
    <x v="12"/>
    <x v="12"/>
    <n v="1"/>
  </r>
  <r>
    <x v="0"/>
    <x v="1"/>
    <x v="4"/>
    <x v="6"/>
    <x v="3"/>
    <x v="3"/>
    <x v="9"/>
    <n v="1"/>
  </r>
  <r>
    <x v="0"/>
    <x v="1"/>
    <x v="4"/>
    <x v="6"/>
    <x v="3"/>
    <x v="4"/>
    <x v="7"/>
    <n v="1"/>
  </r>
  <r>
    <x v="0"/>
    <x v="1"/>
    <x v="4"/>
    <x v="6"/>
    <x v="3"/>
    <x v="4"/>
    <x v="6"/>
    <n v="1"/>
  </r>
  <r>
    <x v="0"/>
    <x v="1"/>
    <x v="4"/>
    <x v="6"/>
    <x v="3"/>
    <x v="5"/>
    <x v="8"/>
    <n v="1"/>
  </r>
  <r>
    <x v="0"/>
    <x v="1"/>
    <x v="4"/>
    <x v="6"/>
    <x v="3"/>
    <x v="5"/>
    <x v="7"/>
    <n v="1"/>
  </r>
  <r>
    <x v="0"/>
    <x v="1"/>
    <x v="4"/>
    <x v="6"/>
    <x v="3"/>
    <x v="5"/>
    <x v="6"/>
    <n v="2"/>
  </r>
  <r>
    <x v="0"/>
    <x v="1"/>
    <x v="4"/>
    <x v="6"/>
    <x v="3"/>
    <x v="11"/>
    <x v="7"/>
    <n v="3"/>
  </r>
  <r>
    <x v="0"/>
    <x v="1"/>
    <x v="4"/>
    <x v="6"/>
    <x v="3"/>
    <x v="6"/>
    <x v="7"/>
    <n v="2"/>
  </r>
  <r>
    <x v="0"/>
    <x v="1"/>
    <x v="4"/>
    <x v="6"/>
    <x v="9"/>
    <x v="0"/>
    <x v="11"/>
    <n v="1"/>
  </r>
  <r>
    <x v="0"/>
    <x v="1"/>
    <x v="4"/>
    <x v="6"/>
    <x v="9"/>
    <x v="0"/>
    <x v="14"/>
    <n v="1"/>
  </r>
  <r>
    <x v="0"/>
    <x v="1"/>
    <x v="4"/>
    <x v="6"/>
    <x v="10"/>
    <x v="0"/>
    <x v="11"/>
    <n v="1"/>
  </r>
  <r>
    <x v="0"/>
    <x v="1"/>
    <x v="4"/>
    <x v="6"/>
    <x v="17"/>
    <x v="0"/>
    <x v="1"/>
    <n v="1"/>
  </r>
  <r>
    <x v="0"/>
    <x v="1"/>
    <x v="4"/>
    <x v="6"/>
    <x v="19"/>
    <x v="0"/>
    <x v="4"/>
    <n v="14"/>
  </r>
  <r>
    <x v="0"/>
    <x v="1"/>
    <x v="4"/>
    <x v="6"/>
    <x v="19"/>
    <x v="0"/>
    <x v="5"/>
    <n v="6"/>
  </r>
  <r>
    <x v="0"/>
    <x v="1"/>
    <x v="4"/>
    <x v="6"/>
    <x v="19"/>
    <x v="0"/>
    <x v="2"/>
    <n v="4"/>
  </r>
  <r>
    <x v="0"/>
    <x v="1"/>
    <x v="4"/>
    <x v="9"/>
    <x v="10"/>
    <x v="3"/>
    <x v="3"/>
    <n v="1"/>
  </r>
  <r>
    <x v="0"/>
    <x v="1"/>
    <x v="4"/>
    <x v="9"/>
    <x v="10"/>
    <x v="3"/>
    <x v="5"/>
    <n v="1"/>
  </r>
  <r>
    <x v="0"/>
    <x v="1"/>
    <x v="4"/>
    <x v="9"/>
    <x v="10"/>
    <x v="3"/>
    <x v="2"/>
    <n v="1"/>
  </r>
  <r>
    <x v="0"/>
    <x v="1"/>
    <x v="4"/>
    <x v="9"/>
    <x v="10"/>
    <x v="4"/>
    <x v="9"/>
    <n v="2"/>
  </r>
  <r>
    <x v="0"/>
    <x v="1"/>
    <x v="4"/>
    <x v="9"/>
    <x v="10"/>
    <x v="5"/>
    <x v="3"/>
    <n v="2"/>
  </r>
  <r>
    <x v="0"/>
    <x v="1"/>
    <x v="4"/>
    <x v="9"/>
    <x v="10"/>
    <x v="6"/>
    <x v="4"/>
    <n v="1"/>
  </r>
  <r>
    <x v="0"/>
    <x v="1"/>
    <x v="4"/>
    <x v="7"/>
    <x v="0"/>
    <x v="7"/>
    <x v="4"/>
    <n v="1"/>
  </r>
  <r>
    <x v="0"/>
    <x v="1"/>
    <x v="4"/>
    <x v="7"/>
    <x v="16"/>
    <x v="0"/>
    <x v="12"/>
    <n v="4"/>
  </r>
  <r>
    <x v="0"/>
    <x v="1"/>
    <x v="4"/>
    <x v="7"/>
    <x v="6"/>
    <x v="7"/>
    <x v="1"/>
    <n v="1"/>
  </r>
  <r>
    <x v="0"/>
    <x v="1"/>
    <x v="4"/>
    <x v="7"/>
    <x v="6"/>
    <x v="7"/>
    <x v="14"/>
    <n v="1"/>
  </r>
  <r>
    <x v="0"/>
    <x v="1"/>
    <x v="4"/>
    <x v="7"/>
    <x v="6"/>
    <x v="1"/>
    <x v="12"/>
    <n v="1"/>
  </r>
  <r>
    <x v="0"/>
    <x v="1"/>
    <x v="4"/>
    <x v="7"/>
    <x v="6"/>
    <x v="8"/>
    <x v="1"/>
    <n v="5"/>
  </r>
  <r>
    <x v="0"/>
    <x v="1"/>
    <x v="4"/>
    <x v="7"/>
    <x v="6"/>
    <x v="0"/>
    <x v="12"/>
    <n v="9"/>
  </r>
  <r>
    <x v="0"/>
    <x v="1"/>
    <x v="4"/>
    <x v="8"/>
    <x v="12"/>
    <x v="0"/>
    <x v="17"/>
    <n v="1"/>
  </r>
  <r>
    <x v="0"/>
    <x v="1"/>
    <x v="4"/>
    <x v="8"/>
    <x v="14"/>
    <x v="0"/>
    <x v="7"/>
    <n v="7"/>
  </r>
  <r>
    <x v="0"/>
    <x v="1"/>
    <x v="4"/>
    <x v="8"/>
    <x v="14"/>
    <x v="0"/>
    <x v="12"/>
    <n v="2"/>
  </r>
  <r>
    <x v="0"/>
    <x v="1"/>
    <x v="4"/>
    <x v="10"/>
    <x v="16"/>
    <x v="9"/>
    <x v="10"/>
    <n v="1"/>
  </r>
  <r>
    <x v="0"/>
    <x v="1"/>
    <x v="4"/>
    <x v="11"/>
    <x v="11"/>
    <x v="0"/>
    <x v="10"/>
    <n v="2"/>
  </r>
  <r>
    <x v="0"/>
    <x v="1"/>
    <x v="4"/>
    <x v="11"/>
    <x v="11"/>
    <x v="0"/>
    <x v="12"/>
    <n v="1"/>
  </r>
  <r>
    <x v="0"/>
    <x v="1"/>
    <x v="4"/>
    <x v="11"/>
    <x v="18"/>
    <x v="0"/>
    <x v="10"/>
    <n v="1"/>
  </r>
  <r>
    <x v="0"/>
    <x v="1"/>
    <x v="4"/>
    <x v="11"/>
    <x v="18"/>
    <x v="0"/>
    <x v="12"/>
    <n v="1"/>
  </r>
  <r>
    <x v="0"/>
    <x v="1"/>
    <x v="4"/>
    <x v="11"/>
    <x v="18"/>
    <x v="0"/>
    <x v="9"/>
    <n v="1"/>
  </r>
  <r>
    <x v="0"/>
    <x v="1"/>
    <x v="4"/>
    <x v="12"/>
    <x v="12"/>
    <x v="9"/>
    <x v="1"/>
    <n v="3"/>
  </r>
  <r>
    <x v="0"/>
    <x v="1"/>
    <x v="4"/>
    <x v="12"/>
    <x v="12"/>
    <x v="12"/>
    <x v="1"/>
    <n v="1"/>
  </r>
  <r>
    <x v="0"/>
    <x v="1"/>
    <x v="4"/>
    <x v="12"/>
    <x v="12"/>
    <x v="1"/>
    <x v="10"/>
    <n v="1"/>
  </r>
  <r>
    <x v="0"/>
    <x v="1"/>
    <x v="4"/>
    <x v="12"/>
    <x v="12"/>
    <x v="8"/>
    <x v="12"/>
    <n v="1"/>
  </r>
  <r>
    <x v="0"/>
    <x v="1"/>
    <x v="4"/>
    <x v="12"/>
    <x v="12"/>
    <x v="0"/>
    <x v="10"/>
    <n v="14"/>
  </r>
  <r>
    <x v="0"/>
    <x v="1"/>
    <x v="4"/>
    <x v="12"/>
    <x v="12"/>
    <x v="0"/>
    <x v="1"/>
    <n v="5"/>
  </r>
  <r>
    <x v="0"/>
    <x v="1"/>
    <x v="4"/>
    <x v="12"/>
    <x v="4"/>
    <x v="1"/>
    <x v="7"/>
    <n v="2"/>
  </r>
  <r>
    <x v="0"/>
    <x v="1"/>
    <x v="4"/>
    <x v="12"/>
    <x v="4"/>
    <x v="1"/>
    <x v="6"/>
    <n v="1"/>
  </r>
  <r>
    <x v="0"/>
    <x v="1"/>
    <x v="4"/>
    <x v="13"/>
    <x v="16"/>
    <x v="8"/>
    <x v="10"/>
    <n v="1"/>
  </r>
  <r>
    <x v="0"/>
    <x v="1"/>
    <x v="4"/>
    <x v="13"/>
    <x v="13"/>
    <x v="8"/>
    <x v="1"/>
    <n v="1"/>
  </r>
  <r>
    <x v="0"/>
    <x v="1"/>
    <x v="4"/>
    <x v="13"/>
    <x v="13"/>
    <x v="0"/>
    <x v="12"/>
    <n v="8"/>
  </r>
  <r>
    <x v="0"/>
    <x v="1"/>
    <x v="4"/>
    <x v="13"/>
    <x v="13"/>
    <x v="0"/>
    <x v="9"/>
    <n v="4"/>
  </r>
  <r>
    <x v="0"/>
    <x v="1"/>
    <x v="4"/>
    <x v="13"/>
    <x v="9"/>
    <x v="0"/>
    <x v="1"/>
    <n v="1"/>
  </r>
  <r>
    <x v="0"/>
    <x v="1"/>
    <x v="4"/>
    <x v="13"/>
    <x v="17"/>
    <x v="0"/>
    <x v="19"/>
    <n v="1"/>
  </r>
  <r>
    <x v="0"/>
    <x v="1"/>
    <x v="4"/>
    <x v="14"/>
    <x v="16"/>
    <x v="2"/>
    <x v="5"/>
    <n v="2"/>
  </r>
  <r>
    <x v="0"/>
    <x v="1"/>
    <x v="4"/>
    <x v="14"/>
    <x v="16"/>
    <x v="10"/>
    <x v="7"/>
    <n v="1"/>
  </r>
  <r>
    <x v="0"/>
    <x v="1"/>
    <x v="4"/>
    <x v="14"/>
    <x v="16"/>
    <x v="10"/>
    <x v="6"/>
    <n v="7"/>
  </r>
  <r>
    <x v="0"/>
    <x v="1"/>
    <x v="4"/>
    <x v="14"/>
    <x v="16"/>
    <x v="10"/>
    <x v="10"/>
    <n v="15"/>
  </r>
  <r>
    <x v="0"/>
    <x v="1"/>
    <x v="4"/>
    <x v="14"/>
    <x v="16"/>
    <x v="10"/>
    <x v="1"/>
    <n v="10"/>
  </r>
  <r>
    <x v="0"/>
    <x v="1"/>
    <x v="4"/>
    <x v="14"/>
    <x v="16"/>
    <x v="10"/>
    <x v="4"/>
    <n v="1"/>
  </r>
  <r>
    <x v="0"/>
    <x v="1"/>
    <x v="4"/>
    <x v="14"/>
    <x v="16"/>
    <x v="3"/>
    <x v="7"/>
    <n v="17"/>
  </r>
  <r>
    <x v="0"/>
    <x v="1"/>
    <x v="7"/>
    <x v="13"/>
    <x v="17"/>
    <x v="15"/>
    <x v="19"/>
    <n v="111"/>
  </r>
  <r>
    <x v="0"/>
    <x v="1"/>
    <x v="7"/>
    <x v="13"/>
    <x v="17"/>
    <x v="14"/>
    <x v="14"/>
    <n v="9"/>
  </r>
  <r>
    <x v="0"/>
    <x v="1"/>
    <x v="7"/>
    <x v="13"/>
    <x v="17"/>
    <x v="14"/>
    <x v="17"/>
    <n v="5"/>
  </r>
  <r>
    <x v="0"/>
    <x v="1"/>
    <x v="7"/>
    <x v="13"/>
    <x v="17"/>
    <x v="14"/>
    <x v="19"/>
    <n v="63"/>
  </r>
  <r>
    <x v="0"/>
    <x v="1"/>
    <x v="7"/>
    <x v="13"/>
    <x v="17"/>
    <x v="13"/>
    <x v="13"/>
    <n v="3"/>
  </r>
  <r>
    <x v="0"/>
    <x v="1"/>
    <x v="7"/>
    <x v="13"/>
    <x v="17"/>
    <x v="13"/>
    <x v="11"/>
    <n v="5"/>
  </r>
  <r>
    <x v="0"/>
    <x v="1"/>
    <x v="7"/>
    <x v="13"/>
    <x v="17"/>
    <x v="13"/>
    <x v="14"/>
    <n v="5"/>
  </r>
  <r>
    <x v="0"/>
    <x v="1"/>
    <x v="7"/>
    <x v="13"/>
    <x v="17"/>
    <x v="13"/>
    <x v="17"/>
    <n v="5"/>
  </r>
  <r>
    <x v="0"/>
    <x v="1"/>
    <x v="7"/>
    <x v="13"/>
    <x v="17"/>
    <x v="13"/>
    <x v="19"/>
    <n v="34"/>
  </r>
  <r>
    <x v="0"/>
    <x v="1"/>
    <x v="7"/>
    <x v="13"/>
    <x v="17"/>
    <x v="2"/>
    <x v="5"/>
    <n v="1"/>
  </r>
  <r>
    <x v="0"/>
    <x v="1"/>
    <x v="7"/>
    <x v="13"/>
    <x v="17"/>
    <x v="2"/>
    <x v="2"/>
    <n v="4"/>
  </r>
  <r>
    <x v="0"/>
    <x v="1"/>
    <x v="7"/>
    <x v="13"/>
    <x v="17"/>
    <x v="2"/>
    <x v="13"/>
    <n v="7"/>
  </r>
  <r>
    <x v="0"/>
    <x v="1"/>
    <x v="7"/>
    <x v="13"/>
    <x v="17"/>
    <x v="2"/>
    <x v="11"/>
    <n v="1"/>
  </r>
  <r>
    <x v="0"/>
    <x v="1"/>
    <x v="7"/>
    <x v="13"/>
    <x v="17"/>
    <x v="2"/>
    <x v="14"/>
    <n v="1"/>
  </r>
  <r>
    <x v="0"/>
    <x v="1"/>
    <x v="7"/>
    <x v="13"/>
    <x v="17"/>
    <x v="2"/>
    <x v="17"/>
    <n v="2"/>
  </r>
  <r>
    <x v="0"/>
    <x v="1"/>
    <x v="7"/>
    <x v="13"/>
    <x v="17"/>
    <x v="10"/>
    <x v="13"/>
    <n v="3"/>
  </r>
  <r>
    <x v="0"/>
    <x v="1"/>
    <x v="7"/>
    <x v="13"/>
    <x v="17"/>
    <x v="10"/>
    <x v="11"/>
    <n v="8"/>
  </r>
  <r>
    <x v="0"/>
    <x v="1"/>
    <x v="7"/>
    <x v="13"/>
    <x v="17"/>
    <x v="10"/>
    <x v="14"/>
    <n v="4"/>
  </r>
  <r>
    <x v="0"/>
    <x v="1"/>
    <x v="7"/>
    <x v="13"/>
    <x v="17"/>
    <x v="3"/>
    <x v="2"/>
    <n v="2"/>
  </r>
  <r>
    <x v="0"/>
    <x v="1"/>
    <x v="7"/>
    <x v="13"/>
    <x v="17"/>
    <x v="3"/>
    <x v="11"/>
    <n v="1"/>
  </r>
  <r>
    <x v="0"/>
    <x v="1"/>
    <x v="7"/>
    <x v="13"/>
    <x v="17"/>
    <x v="4"/>
    <x v="2"/>
    <n v="1"/>
  </r>
  <r>
    <x v="0"/>
    <x v="1"/>
    <x v="7"/>
    <x v="13"/>
    <x v="17"/>
    <x v="5"/>
    <x v="2"/>
    <n v="1"/>
  </r>
  <r>
    <x v="0"/>
    <x v="1"/>
    <x v="7"/>
    <x v="14"/>
    <x v="16"/>
    <x v="13"/>
    <x v="13"/>
    <n v="1"/>
  </r>
  <r>
    <x v="0"/>
    <x v="1"/>
    <x v="7"/>
    <x v="18"/>
    <x v="8"/>
    <x v="9"/>
    <x v="13"/>
    <n v="1"/>
  </r>
  <r>
    <x v="0"/>
    <x v="1"/>
    <x v="7"/>
    <x v="17"/>
    <x v="9"/>
    <x v="19"/>
    <x v="19"/>
    <n v="19"/>
  </r>
  <r>
    <x v="0"/>
    <x v="1"/>
    <x v="7"/>
    <x v="17"/>
    <x v="9"/>
    <x v="13"/>
    <x v="18"/>
    <n v="1"/>
  </r>
  <r>
    <x v="0"/>
    <x v="1"/>
    <x v="7"/>
    <x v="19"/>
    <x v="7"/>
    <x v="17"/>
    <x v="19"/>
    <n v="2"/>
  </r>
  <r>
    <x v="0"/>
    <x v="1"/>
    <x v="7"/>
    <x v="19"/>
    <x v="7"/>
    <x v="18"/>
    <x v="5"/>
    <n v="1"/>
  </r>
  <r>
    <x v="0"/>
    <x v="1"/>
    <x v="7"/>
    <x v="19"/>
    <x v="7"/>
    <x v="18"/>
    <x v="2"/>
    <n v="2"/>
  </r>
  <r>
    <x v="0"/>
    <x v="1"/>
    <x v="7"/>
    <x v="19"/>
    <x v="7"/>
    <x v="18"/>
    <x v="13"/>
    <n v="6"/>
  </r>
  <r>
    <x v="0"/>
    <x v="1"/>
    <x v="7"/>
    <x v="19"/>
    <x v="7"/>
    <x v="19"/>
    <x v="18"/>
    <n v="3"/>
  </r>
  <r>
    <x v="0"/>
    <x v="1"/>
    <x v="7"/>
    <x v="19"/>
    <x v="7"/>
    <x v="14"/>
    <x v="14"/>
    <n v="3"/>
  </r>
  <r>
    <x v="0"/>
    <x v="1"/>
    <x v="7"/>
    <x v="19"/>
    <x v="7"/>
    <x v="13"/>
    <x v="13"/>
    <n v="2"/>
  </r>
  <r>
    <x v="0"/>
    <x v="1"/>
    <x v="7"/>
    <x v="19"/>
    <x v="7"/>
    <x v="13"/>
    <x v="11"/>
    <n v="1"/>
  </r>
  <r>
    <x v="0"/>
    <x v="1"/>
    <x v="7"/>
    <x v="19"/>
    <x v="7"/>
    <x v="13"/>
    <x v="14"/>
    <n v="5"/>
  </r>
  <r>
    <x v="0"/>
    <x v="1"/>
    <x v="7"/>
    <x v="19"/>
    <x v="7"/>
    <x v="2"/>
    <x v="5"/>
    <n v="2"/>
  </r>
  <r>
    <x v="0"/>
    <x v="1"/>
    <x v="7"/>
    <x v="19"/>
    <x v="7"/>
    <x v="2"/>
    <x v="2"/>
    <n v="4"/>
  </r>
  <r>
    <x v="0"/>
    <x v="1"/>
    <x v="7"/>
    <x v="19"/>
    <x v="7"/>
    <x v="2"/>
    <x v="13"/>
    <n v="2"/>
  </r>
  <r>
    <x v="0"/>
    <x v="1"/>
    <x v="7"/>
    <x v="19"/>
    <x v="7"/>
    <x v="2"/>
    <x v="11"/>
    <n v="1"/>
  </r>
  <r>
    <x v="0"/>
    <x v="1"/>
    <x v="7"/>
    <x v="19"/>
    <x v="7"/>
    <x v="10"/>
    <x v="2"/>
    <n v="1"/>
  </r>
  <r>
    <x v="0"/>
    <x v="1"/>
    <x v="7"/>
    <x v="19"/>
    <x v="7"/>
    <x v="10"/>
    <x v="11"/>
    <n v="1"/>
  </r>
  <r>
    <x v="0"/>
    <x v="1"/>
    <x v="7"/>
    <x v="19"/>
    <x v="7"/>
    <x v="3"/>
    <x v="5"/>
    <n v="1"/>
  </r>
  <r>
    <x v="0"/>
    <x v="1"/>
    <x v="7"/>
    <x v="19"/>
    <x v="7"/>
    <x v="3"/>
    <x v="2"/>
    <n v="2"/>
  </r>
  <r>
    <x v="0"/>
    <x v="2"/>
    <x v="0"/>
    <x v="0"/>
    <x v="1"/>
    <x v="0"/>
    <x v="12"/>
    <n v="1"/>
  </r>
  <r>
    <x v="0"/>
    <x v="2"/>
    <x v="0"/>
    <x v="2"/>
    <x v="6"/>
    <x v="12"/>
    <x v="6"/>
    <n v="1"/>
  </r>
  <r>
    <x v="0"/>
    <x v="2"/>
    <x v="0"/>
    <x v="8"/>
    <x v="10"/>
    <x v="2"/>
    <x v="15"/>
    <n v="1"/>
  </r>
  <r>
    <x v="0"/>
    <x v="2"/>
    <x v="0"/>
    <x v="8"/>
    <x v="10"/>
    <x v="8"/>
    <x v="9"/>
    <n v="2"/>
  </r>
  <r>
    <x v="0"/>
    <x v="2"/>
    <x v="0"/>
    <x v="11"/>
    <x v="8"/>
    <x v="10"/>
    <x v="8"/>
    <n v="1"/>
  </r>
  <r>
    <x v="0"/>
    <x v="2"/>
    <x v="0"/>
    <x v="11"/>
    <x v="8"/>
    <x v="4"/>
    <x v="8"/>
    <n v="4"/>
  </r>
  <r>
    <x v="0"/>
    <x v="2"/>
    <x v="0"/>
    <x v="19"/>
    <x v="7"/>
    <x v="13"/>
    <x v="15"/>
    <n v="1"/>
  </r>
  <r>
    <x v="0"/>
    <x v="2"/>
    <x v="0"/>
    <x v="19"/>
    <x v="10"/>
    <x v="8"/>
    <x v="6"/>
    <n v="1"/>
  </r>
  <r>
    <x v="0"/>
    <x v="2"/>
    <x v="1"/>
    <x v="5"/>
    <x v="9"/>
    <x v="0"/>
    <x v="19"/>
    <n v="1"/>
  </r>
  <r>
    <x v="0"/>
    <x v="2"/>
    <x v="1"/>
    <x v="13"/>
    <x v="0"/>
    <x v="2"/>
    <x v="2"/>
    <n v="1"/>
  </r>
  <r>
    <x v="0"/>
    <x v="2"/>
    <x v="1"/>
    <x v="13"/>
    <x v="0"/>
    <x v="6"/>
    <x v="0"/>
    <n v="1"/>
  </r>
  <r>
    <x v="0"/>
    <x v="2"/>
    <x v="2"/>
    <x v="5"/>
    <x v="9"/>
    <x v="0"/>
    <x v="14"/>
    <n v="1"/>
  </r>
  <r>
    <x v="0"/>
    <x v="2"/>
    <x v="2"/>
    <x v="8"/>
    <x v="18"/>
    <x v="0"/>
    <x v="19"/>
    <n v="3"/>
  </r>
  <r>
    <x v="0"/>
    <x v="2"/>
    <x v="2"/>
    <x v="10"/>
    <x v="11"/>
    <x v="0"/>
    <x v="19"/>
    <n v="1"/>
  </r>
  <r>
    <x v="0"/>
    <x v="2"/>
    <x v="2"/>
    <x v="17"/>
    <x v="14"/>
    <x v="0"/>
    <x v="11"/>
    <n v="1"/>
  </r>
  <r>
    <x v="0"/>
    <x v="2"/>
    <x v="2"/>
    <x v="19"/>
    <x v="13"/>
    <x v="0"/>
    <x v="0"/>
    <n v="1"/>
  </r>
  <r>
    <x v="0"/>
    <x v="2"/>
    <x v="3"/>
    <x v="16"/>
    <x v="1"/>
    <x v="3"/>
    <x v="17"/>
    <n v="1"/>
  </r>
  <r>
    <x v="0"/>
    <x v="2"/>
    <x v="3"/>
    <x v="19"/>
    <x v="3"/>
    <x v="0"/>
    <x v="11"/>
    <n v="1"/>
  </r>
  <r>
    <x v="0"/>
    <x v="2"/>
    <x v="4"/>
    <x v="1"/>
    <x v="0"/>
    <x v="7"/>
    <x v="1"/>
    <n v="1"/>
  </r>
  <r>
    <x v="0"/>
    <x v="2"/>
    <x v="4"/>
    <x v="2"/>
    <x v="6"/>
    <x v="7"/>
    <x v="5"/>
    <n v="1"/>
  </r>
  <r>
    <x v="0"/>
    <x v="2"/>
    <x v="4"/>
    <x v="2"/>
    <x v="6"/>
    <x v="8"/>
    <x v="12"/>
    <n v="1"/>
  </r>
  <r>
    <x v="0"/>
    <x v="2"/>
    <x v="4"/>
    <x v="3"/>
    <x v="19"/>
    <x v="0"/>
    <x v="4"/>
    <n v="3"/>
  </r>
  <r>
    <x v="0"/>
    <x v="2"/>
    <x v="4"/>
    <x v="5"/>
    <x v="13"/>
    <x v="0"/>
    <x v="17"/>
    <n v="1"/>
  </r>
  <r>
    <x v="0"/>
    <x v="2"/>
    <x v="4"/>
    <x v="5"/>
    <x v="9"/>
    <x v="0"/>
    <x v="18"/>
    <n v="1"/>
  </r>
  <r>
    <x v="0"/>
    <x v="2"/>
    <x v="4"/>
    <x v="13"/>
    <x v="1"/>
    <x v="0"/>
    <x v="3"/>
    <n v="1"/>
  </r>
  <r>
    <x v="0"/>
    <x v="2"/>
    <x v="4"/>
    <x v="13"/>
    <x v="1"/>
    <x v="0"/>
    <x v="4"/>
    <n v="2"/>
  </r>
  <r>
    <x v="0"/>
    <x v="2"/>
    <x v="4"/>
    <x v="18"/>
    <x v="14"/>
    <x v="0"/>
    <x v="19"/>
    <n v="1"/>
  </r>
  <r>
    <x v="0"/>
    <x v="2"/>
    <x v="4"/>
    <x v="15"/>
    <x v="8"/>
    <x v="0"/>
    <x v="3"/>
    <n v="2"/>
  </r>
  <r>
    <x v="0"/>
    <x v="2"/>
    <x v="4"/>
    <x v="15"/>
    <x v="8"/>
    <x v="0"/>
    <x v="4"/>
    <n v="3"/>
  </r>
  <r>
    <x v="0"/>
    <x v="2"/>
    <x v="4"/>
    <x v="17"/>
    <x v="6"/>
    <x v="0"/>
    <x v="12"/>
    <n v="1"/>
  </r>
  <r>
    <x v="0"/>
    <x v="2"/>
    <x v="4"/>
    <x v="19"/>
    <x v="14"/>
    <x v="7"/>
    <x v="14"/>
    <n v="1"/>
  </r>
  <r>
    <x v="0"/>
    <x v="2"/>
    <x v="5"/>
    <x v="5"/>
    <x v="6"/>
    <x v="10"/>
    <x v="19"/>
    <n v="2"/>
  </r>
  <r>
    <x v="0"/>
    <x v="1"/>
    <x v="1"/>
    <x v="15"/>
    <x v="11"/>
    <x v="14"/>
    <x v="12"/>
    <n v="1"/>
  </r>
  <r>
    <x v="0"/>
    <x v="1"/>
    <x v="1"/>
    <x v="15"/>
    <x v="11"/>
    <x v="14"/>
    <x v="9"/>
    <n v="2"/>
  </r>
  <r>
    <x v="0"/>
    <x v="1"/>
    <x v="1"/>
    <x v="15"/>
    <x v="11"/>
    <x v="5"/>
    <x v="14"/>
    <n v="1"/>
  </r>
  <r>
    <x v="0"/>
    <x v="1"/>
    <x v="1"/>
    <x v="15"/>
    <x v="11"/>
    <x v="9"/>
    <x v="5"/>
    <n v="1"/>
  </r>
  <r>
    <x v="0"/>
    <x v="1"/>
    <x v="1"/>
    <x v="15"/>
    <x v="11"/>
    <x v="9"/>
    <x v="2"/>
    <n v="1"/>
  </r>
  <r>
    <x v="0"/>
    <x v="1"/>
    <x v="1"/>
    <x v="15"/>
    <x v="11"/>
    <x v="12"/>
    <x v="4"/>
    <n v="1"/>
  </r>
  <r>
    <x v="0"/>
    <x v="1"/>
    <x v="1"/>
    <x v="19"/>
    <x v="7"/>
    <x v="17"/>
    <x v="12"/>
    <n v="285"/>
  </r>
  <r>
    <x v="0"/>
    <x v="1"/>
    <x v="1"/>
    <x v="19"/>
    <x v="7"/>
    <x v="17"/>
    <x v="9"/>
    <n v="42"/>
  </r>
  <r>
    <x v="0"/>
    <x v="1"/>
    <x v="1"/>
    <x v="19"/>
    <x v="7"/>
    <x v="17"/>
    <x v="3"/>
    <n v="21"/>
  </r>
  <r>
    <x v="0"/>
    <x v="1"/>
    <x v="1"/>
    <x v="19"/>
    <x v="7"/>
    <x v="17"/>
    <x v="4"/>
    <n v="25"/>
  </r>
  <r>
    <x v="0"/>
    <x v="1"/>
    <x v="1"/>
    <x v="19"/>
    <x v="7"/>
    <x v="17"/>
    <x v="5"/>
    <n v="22"/>
  </r>
  <r>
    <x v="0"/>
    <x v="1"/>
    <x v="1"/>
    <x v="19"/>
    <x v="7"/>
    <x v="17"/>
    <x v="2"/>
    <n v="16"/>
  </r>
  <r>
    <x v="0"/>
    <x v="1"/>
    <x v="1"/>
    <x v="19"/>
    <x v="7"/>
    <x v="17"/>
    <x v="0"/>
    <n v="9"/>
  </r>
  <r>
    <x v="0"/>
    <x v="1"/>
    <x v="1"/>
    <x v="19"/>
    <x v="7"/>
    <x v="18"/>
    <x v="10"/>
    <n v="406"/>
  </r>
  <r>
    <x v="0"/>
    <x v="1"/>
    <x v="1"/>
    <x v="19"/>
    <x v="7"/>
    <x v="18"/>
    <x v="19"/>
    <n v="1"/>
  </r>
  <r>
    <x v="0"/>
    <x v="1"/>
    <x v="1"/>
    <x v="19"/>
    <x v="7"/>
    <x v="19"/>
    <x v="7"/>
    <n v="10"/>
  </r>
  <r>
    <x v="0"/>
    <x v="1"/>
    <x v="1"/>
    <x v="19"/>
    <x v="7"/>
    <x v="19"/>
    <x v="13"/>
    <n v="32"/>
  </r>
  <r>
    <x v="0"/>
    <x v="1"/>
    <x v="1"/>
    <x v="19"/>
    <x v="7"/>
    <x v="19"/>
    <x v="11"/>
    <n v="25"/>
  </r>
  <r>
    <x v="0"/>
    <x v="1"/>
    <x v="1"/>
    <x v="19"/>
    <x v="7"/>
    <x v="19"/>
    <x v="14"/>
    <n v="15"/>
  </r>
  <r>
    <x v="0"/>
    <x v="1"/>
    <x v="1"/>
    <x v="19"/>
    <x v="7"/>
    <x v="19"/>
    <x v="17"/>
    <n v="2"/>
  </r>
  <r>
    <x v="0"/>
    <x v="1"/>
    <x v="1"/>
    <x v="19"/>
    <x v="7"/>
    <x v="16"/>
    <x v="3"/>
    <n v="37"/>
  </r>
  <r>
    <x v="0"/>
    <x v="1"/>
    <x v="1"/>
    <x v="19"/>
    <x v="7"/>
    <x v="16"/>
    <x v="4"/>
    <n v="39"/>
  </r>
  <r>
    <x v="0"/>
    <x v="1"/>
    <x v="1"/>
    <x v="19"/>
    <x v="7"/>
    <x v="16"/>
    <x v="5"/>
    <n v="37"/>
  </r>
  <r>
    <x v="0"/>
    <x v="1"/>
    <x v="1"/>
    <x v="19"/>
    <x v="7"/>
    <x v="16"/>
    <x v="2"/>
    <n v="35"/>
  </r>
  <r>
    <x v="0"/>
    <x v="1"/>
    <x v="1"/>
    <x v="19"/>
    <x v="7"/>
    <x v="16"/>
    <x v="13"/>
    <n v="36"/>
  </r>
  <r>
    <x v="0"/>
    <x v="1"/>
    <x v="1"/>
    <x v="19"/>
    <x v="7"/>
    <x v="16"/>
    <x v="11"/>
    <n v="13"/>
  </r>
  <r>
    <x v="0"/>
    <x v="1"/>
    <x v="1"/>
    <x v="19"/>
    <x v="7"/>
    <x v="15"/>
    <x v="12"/>
    <n v="87"/>
  </r>
  <r>
    <x v="0"/>
    <x v="1"/>
    <x v="1"/>
    <x v="19"/>
    <x v="7"/>
    <x v="15"/>
    <x v="9"/>
    <n v="53"/>
  </r>
  <r>
    <x v="0"/>
    <x v="1"/>
    <x v="1"/>
    <x v="19"/>
    <x v="7"/>
    <x v="15"/>
    <x v="3"/>
    <n v="43"/>
  </r>
  <r>
    <x v="0"/>
    <x v="1"/>
    <x v="1"/>
    <x v="19"/>
    <x v="7"/>
    <x v="15"/>
    <x v="4"/>
    <n v="38"/>
  </r>
  <r>
    <x v="0"/>
    <x v="1"/>
    <x v="1"/>
    <x v="19"/>
    <x v="7"/>
    <x v="15"/>
    <x v="5"/>
    <n v="26"/>
  </r>
  <r>
    <x v="0"/>
    <x v="1"/>
    <x v="1"/>
    <x v="19"/>
    <x v="7"/>
    <x v="15"/>
    <x v="2"/>
    <n v="23"/>
  </r>
  <r>
    <x v="0"/>
    <x v="1"/>
    <x v="1"/>
    <x v="19"/>
    <x v="7"/>
    <x v="15"/>
    <x v="0"/>
    <n v="3"/>
  </r>
  <r>
    <x v="0"/>
    <x v="1"/>
    <x v="1"/>
    <x v="19"/>
    <x v="7"/>
    <x v="15"/>
    <x v="18"/>
    <n v="1"/>
  </r>
  <r>
    <x v="0"/>
    <x v="1"/>
    <x v="1"/>
    <x v="19"/>
    <x v="7"/>
    <x v="14"/>
    <x v="12"/>
    <n v="62"/>
  </r>
  <r>
    <x v="0"/>
    <x v="1"/>
    <x v="1"/>
    <x v="19"/>
    <x v="7"/>
    <x v="14"/>
    <x v="9"/>
    <n v="46"/>
  </r>
  <r>
    <x v="0"/>
    <x v="1"/>
    <x v="1"/>
    <x v="19"/>
    <x v="7"/>
    <x v="14"/>
    <x v="3"/>
    <n v="28"/>
  </r>
  <r>
    <x v="0"/>
    <x v="1"/>
    <x v="1"/>
    <x v="19"/>
    <x v="7"/>
    <x v="14"/>
    <x v="4"/>
    <n v="20"/>
  </r>
  <r>
    <x v="0"/>
    <x v="1"/>
    <x v="1"/>
    <x v="19"/>
    <x v="7"/>
    <x v="14"/>
    <x v="0"/>
    <n v="2"/>
  </r>
  <r>
    <x v="0"/>
    <x v="1"/>
    <x v="1"/>
    <x v="19"/>
    <x v="7"/>
    <x v="13"/>
    <x v="1"/>
    <n v="90"/>
  </r>
  <r>
    <x v="0"/>
    <x v="1"/>
    <x v="1"/>
    <x v="19"/>
    <x v="7"/>
    <x v="13"/>
    <x v="12"/>
    <n v="53"/>
  </r>
  <r>
    <x v="0"/>
    <x v="1"/>
    <x v="1"/>
    <x v="19"/>
    <x v="7"/>
    <x v="13"/>
    <x v="9"/>
    <n v="22"/>
  </r>
  <r>
    <x v="0"/>
    <x v="1"/>
    <x v="1"/>
    <x v="19"/>
    <x v="7"/>
    <x v="13"/>
    <x v="0"/>
    <n v="3"/>
  </r>
  <r>
    <x v="0"/>
    <x v="1"/>
    <x v="1"/>
    <x v="19"/>
    <x v="7"/>
    <x v="2"/>
    <x v="6"/>
    <n v="36"/>
  </r>
  <r>
    <x v="0"/>
    <x v="1"/>
    <x v="1"/>
    <x v="19"/>
    <x v="7"/>
    <x v="2"/>
    <x v="10"/>
    <n v="98"/>
  </r>
  <r>
    <x v="0"/>
    <x v="1"/>
    <x v="1"/>
    <x v="19"/>
    <x v="7"/>
    <x v="2"/>
    <x v="1"/>
    <n v="84"/>
  </r>
  <r>
    <x v="0"/>
    <x v="1"/>
    <x v="1"/>
    <x v="19"/>
    <x v="7"/>
    <x v="10"/>
    <x v="6"/>
    <n v="12"/>
  </r>
  <r>
    <x v="0"/>
    <x v="1"/>
    <x v="1"/>
    <x v="19"/>
    <x v="7"/>
    <x v="10"/>
    <x v="10"/>
    <n v="88"/>
  </r>
  <r>
    <x v="0"/>
    <x v="1"/>
    <x v="1"/>
    <x v="19"/>
    <x v="7"/>
    <x v="10"/>
    <x v="1"/>
    <n v="58"/>
  </r>
  <r>
    <x v="0"/>
    <x v="1"/>
    <x v="1"/>
    <x v="19"/>
    <x v="7"/>
    <x v="3"/>
    <x v="6"/>
    <n v="2"/>
  </r>
  <r>
    <x v="0"/>
    <x v="1"/>
    <x v="1"/>
    <x v="19"/>
    <x v="7"/>
    <x v="3"/>
    <x v="10"/>
    <n v="48"/>
  </r>
  <r>
    <x v="0"/>
    <x v="1"/>
    <x v="1"/>
    <x v="19"/>
    <x v="7"/>
    <x v="4"/>
    <x v="6"/>
    <n v="1"/>
  </r>
  <r>
    <x v="0"/>
    <x v="1"/>
    <x v="1"/>
    <x v="19"/>
    <x v="7"/>
    <x v="4"/>
    <x v="10"/>
    <n v="15"/>
  </r>
  <r>
    <x v="0"/>
    <x v="1"/>
    <x v="1"/>
    <x v="19"/>
    <x v="10"/>
    <x v="12"/>
    <x v="3"/>
    <n v="2"/>
  </r>
  <r>
    <x v="0"/>
    <x v="1"/>
    <x v="1"/>
    <x v="19"/>
    <x v="10"/>
    <x v="12"/>
    <x v="4"/>
    <n v="1"/>
  </r>
  <r>
    <x v="0"/>
    <x v="1"/>
    <x v="2"/>
    <x v="0"/>
    <x v="4"/>
    <x v="0"/>
    <x v="19"/>
    <n v="1"/>
  </r>
  <r>
    <x v="0"/>
    <x v="1"/>
    <x v="2"/>
    <x v="1"/>
    <x v="8"/>
    <x v="0"/>
    <x v="14"/>
    <n v="1"/>
  </r>
  <r>
    <x v="0"/>
    <x v="1"/>
    <x v="2"/>
    <x v="1"/>
    <x v="6"/>
    <x v="0"/>
    <x v="11"/>
    <n v="2"/>
  </r>
  <r>
    <x v="0"/>
    <x v="1"/>
    <x v="2"/>
    <x v="1"/>
    <x v="6"/>
    <x v="0"/>
    <x v="14"/>
    <n v="1"/>
  </r>
  <r>
    <x v="0"/>
    <x v="1"/>
    <x v="2"/>
    <x v="2"/>
    <x v="0"/>
    <x v="8"/>
    <x v="11"/>
    <n v="1"/>
  </r>
  <r>
    <x v="0"/>
    <x v="1"/>
    <x v="2"/>
    <x v="2"/>
    <x v="0"/>
    <x v="0"/>
    <x v="1"/>
    <n v="2"/>
  </r>
  <r>
    <x v="0"/>
    <x v="1"/>
    <x v="2"/>
    <x v="2"/>
    <x v="12"/>
    <x v="0"/>
    <x v="19"/>
    <n v="29"/>
  </r>
  <r>
    <x v="0"/>
    <x v="1"/>
    <x v="2"/>
    <x v="2"/>
    <x v="2"/>
    <x v="0"/>
    <x v="3"/>
    <n v="1"/>
  </r>
  <r>
    <x v="0"/>
    <x v="1"/>
    <x v="2"/>
    <x v="2"/>
    <x v="2"/>
    <x v="0"/>
    <x v="4"/>
    <n v="11"/>
  </r>
  <r>
    <x v="0"/>
    <x v="1"/>
    <x v="2"/>
    <x v="2"/>
    <x v="2"/>
    <x v="0"/>
    <x v="5"/>
    <n v="19"/>
  </r>
  <r>
    <x v="0"/>
    <x v="1"/>
    <x v="2"/>
    <x v="2"/>
    <x v="2"/>
    <x v="0"/>
    <x v="2"/>
    <n v="16"/>
  </r>
  <r>
    <x v="0"/>
    <x v="1"/>
    <x v="2"/>
    <x v="2"/>
    <x v="2"/>
    <x v="0"/>
    <x v="13"/>
    <n v="17"/>
  </r>
  <r>
    <x v="0"/>
    <x v="1"/>
    <x v="2"/>
    <x v="2"/>
    <x v="2"/>
    <x v="0"/>
    <x v="18"/>
    <n v="3"/>
  </r>
  <r>
    <x v="0"/>
    <x v="1"/>
    <x v="2"/>
    <x v="2"/>
    <x v="4"/>
    <x v="0"/>
    <x v="1"/>
    <n v="1"/>
  </r>
  <r>
    <x v="0"/>
    <x v="1"/>
    <x v="2"/>
    <x v="2"/>
    <x v="10"/>
    <x v="8"/>
    <x v="17"/>
    <n v="3"/>
  </r>
  <r>
    <x v="0"/>
    <x v="1"/>
    <x v="2"/>
    <x v="2"/>
    <x v="10"/>
    <x v="0"/>
    <x v="0"/>
    <n v="5"/>
  </r>
  <r>
    <x v="0"/>
    <x v="1"/>
    <x v="2"/>
    <x v="2"/>
    <x v="10"/>
    <x v="0"/>
    <x v="18"/>
    <n v="8"/>
  </r>
  <r>
    <x v="0"/>
    <x v="2"/>
    <x v="5"/>
    <x v="8"/>
    <x v="7"/>
    <x v="15"/>
    <x v="19"/>
    <n v="1"/>
  </r>
  <r>
    <x v="0"/>
    <x v="2"/>
    <x v="5"/>
    <x v="8"/>
    <x v="18"/>
    <x v="2"/>
    <x v="19"/>
    <n v="6"/>
  </r>
  <r>
    <x v="0"/>
    <x v="2"/>
    <x v="5"/>
    <x v="8"/>
    <x v="18"/>
    <x v="10"/>
    <x v="19"/>
    <n v="4"/>
  </r>
  <r>
    <x v="0"/>
    <x v="2"/>
    <x v="5"/>
    <x v="8"/>
    <x v="18"/>
    <x v="3"/>
    <x v="19"/>
    <n v="2"/>
  </r>
  <r>
    <x v="0"/>
    <x v="2"/>
    <x v="5"/>
    <x v="8"/>
    <x v="18"/>
    <x v="4"/>
    <x v="19"/>
    <n v="4"/>
  </r>
  <r>
    <x v="0"/>
    <x v="2"/>
    <x v="5"/>
    <x v="8"/>
    <x v="18"/>
    <x v="5"/>
    <x v="19"/>
    <n v="5"/>
  </r>
  <r>
    <x v="0"/>
    <x v="2"/>
    <x v="5"/>
    <x v="8"/>
    <x v="18"/>
    <x v="7"/>
    <x v="19"/>
    <n v="2"/>
  </r>
  <r>
    <x v="0"/>
    <x v="2"/>
    <x v="5"/>
    <x v="8"/>
    <x v="18"/>
    <x v="8"/>
    <x v="19"/>
    <n v="3"/>
  </r>
  <r>
    <x v="0"/>
    <x v="2"/>
    <x v="5"/>
    <x v="11"/>
    <x v="9"/>
    <x v="0"/>
    <x v="17"/>
    <n v="1"/>
  </r>
  <r>
    <x v="0"/>
    <x v="2"/>
    <x v="5"/>
    <x v="11"/>
    <x v="9"/>
    <x v="0"/>
    <x v="19"/>
    <n v="3"/>
  </r>
  <r>
    <x v="0"/>
    <x v="2"/>
    <x v="5"/>
    <x v="13"/>
    <x v="17"/>
    <x v="19"/>
    <x v="19"/>
    <n v="5"/>
  </r>
  <r>
    <x v="0"/>
    <x v="2"/>
    <x v="5"/>
    <x v="13"/>
    <x v="17"/>
    <x v="3"/>
    <x v="19"/>
    <n v="1"/>
  </r>
  <r>
    <x v="0"/>
    <x v="2"/>
    <x v="5"/>
    <x v="13"/>
    <x v="17"/>
    <x v="4"/>
    <x v="17"/>
    <n v="1"/>
  </r>
  <r>
    <x v="0"/>
    <x v="2"/>
    <x v="5"/>
    <x v="13"/>
    <x v="17"/>
    <x v="4"/>
    <x v="19"/>
    <n v="4"/>
  </r>
  <r>
    <x v="0"/>
    <x v="2"/>
    <x v="5"/>
    <x v="13"/>
    <x v="17"/>
    <x v="5"/>
    <x v="19"/>
    <n v="1"/>
  </r>
  <r>
    <x v="0"/>
    <x v="2"/>
    <x v="5"/>
    <x v="13"/>
    <x v="17"/>
    <x v="6"/>
    <x v="19"/>
    <n v="1"/>
  </r>
  <r>
    <x v="0"/>
    <x v="2"/>
    <x v="6"/>
    <x v="0"/>
    <x v="12"/>
    <x v="19"/>
    <x v="19"/>
    <n v="3"/>
  </r>
  <r>
    <x v="0"/>
    <x v="2"/>
    <x v="6"/>
    <x v="13"/>
    <x v="6"/>
    <x v="11"/>
    <x v="19"/>
    <n v="1"/>
  </r>
  <r>
    <x v="0"/>
    <x v="2"/>
    <x v="6"/>
    <x v="13"/>
    <x v="6"/>
    <x v="9"/>
    <x v="19"/>
    <n v="1"/>
  </r>
  <r>
    <x v="0"/>
    <x v="2"/>
    <x v="7"/>
    <x v="3"/>
    <x v="8"/>
    <x v="18"/>
    <x v="19"/>
    <n v="1"/>
  </r>
  <r>
    <x v="0"/>
    <x v="2"/>
    <x v="7"/>
    <x v="13"/>
    <x v="17"/>
    <x v="2"/>
    <x v="19"/>
    <n v="1"/>
  </r>
  <r>
    <x v="0"/>
    <x v="3"/>
    <x v="0"/>
    <x v="1"/>
    <x v="2"/>
    <x v="6"/>
    <x v="6"/>
    <n v="1"/>
  </r>
  <r>
    <x v="0"/>
    <x v="3"/>
    <x v="0"/>
    <x v="2"/>
    <x v="6"/>
    <x v="9"/>
    <x v="8"/>
    <n v="1"/>
  </r>
  <r>
    <x v="0"/>
    <x v="3"/>
    <x v="0"/>
    <x v="2"/>
    <x v="6"/>
    <x v="7"/>
    <x v="10"/>
    <n v="2"/>
  </r>
  <r>
    <x v="0"/>
    <x v="3"/>
    <x v="0"/>
    <x v="2"/>
    <x v="6"/>
    <x v="7"/>
    <x v="1"/>
    <n v="1"/>
  </r>
  <r>
    <x v="0"/>
    <x v="3"/>
    <x v="0"/>
    <x v="2"/>
    <x v="6"/>
    <x v="8"/>
    <x v="6"/>
    <n v="4"/>
  </r>
  <r>
    <x v="0"/>
    <x v="3"/>
    <x v="0"/>
    <x v="2"/>
    <x v="6"/>
    <x v="8"/>
    <x v="1"/>
    <n v="1"/>
  </r>
  <r>
    <x v="0"/>
    <x v="3"/>
    <x v="0"/>
    <x v="2"/>
    <x v="6"/>
    <x v="0"/>
    <x v="9"/>
    <n v="2"/>
  </r>
  <r>
    <x v="0"/>
    <x v="3"/>
    <x v="0"/>
    <x v="4"/>
    <x v="8"/>
    <x v="5"/>
    <x v="8"/>
    <n v="1"/>
  </r>
  <r>
    <x v="0"/>
    <x v="3"/>
    <x v="0"/>
    <x v="4"/>
    <x v="8"/>
    <x v="7"/>
    <x v="6"/>
    <n v="1"/>
  </r>
  <r>
    <x v="0"/>
    <x v="3"/>
    <x v="0"/>
    <x v="4"/>
    <x v="8"/>
    <x v="8"/>
    <x v="10"/>
    <n v="2"/>
  </r>
  <r>
    <x v="0"/>
    <x v="3"/>
    <x v="0"/>
    <x v="5"/>
    <x v="10"/>
    <x v="6"/>
    <x v="10"/>
    <n v="1"/>
  </r>
  <r>
    <x v="0"/>
    <x v="3"/>
    <x v="0"/>
    <x v="7"/>
    <x v="13"/>
    <x v="12"/>
    <x v="10"/>
    <n v="1"/>
  </r>
  <r>
    <x v="0"/>
    <x v="3"/>
    <x v="0"/>
    <x v="8"/>
    <x v="10"/>
    <x v="3"/>
    <x v="6"/>
    <n v="1"/>
  </r>
  <r>
    <x v="0"/>
    <x v="3"/>
    <x v="0"/>
    <x v="8"/>
    <x v="10"/>
    <x v="3"/>
    <x v="10"/>
    <n v="1"/>
  </r>
  <r>
    <x v="0"/>
    <x v="3"/>
    <x v="0"/>
    <x v="8"/>
    <x v="10"/>
    <x v="4"/>
    <x v="7"/>
    <n v="2"/>
  </r>
  <r>
    <x v="0"/>
    <x v="3"/>
    <x v="0"/>
    <x v="8"/>
    <x v="10"/>
    <x v="4"/>
    <x v="6"/>
    <n v="2"/>
  </r>
  <r>
    <x v="0"/>
    <x v="3"/>
    <x v="0"/>
    <x v="8"/>
    <x v="10"/>
    <x v="5"/>
    <x v="7"/>
    <n v="2"/>
  </r>
  <r>
    <x v="0"/>
    <x v="3"/>
    <x v="0"/>
    <x v="8"/>
    <x v="10"/>
    <x v="5"/>
    <x v="6"/>
    <n v="2"/>
  </r>
  <r>
    <x v="0"/>
    <x v="3"/>
    <x v="0"/>
    <x v="8"/>
    <x v="10"/>
    <x v="11"/>
    <x v="7"/>
    <n v="1"/>
  </r>
  <r>
    <x v="0"/>
    <x v="3"/>
    <x v="0"/>
    <x v="8"/>
    <x v="10"/>
    <x v="6"/>
    <x v="7"/>
    <n v="2"/>
  </r>
  <r>
    <x v="0"/>
    <x v="3"/>
    <x v="0"/>
    <x v="8"/>
    <x v="10"/>
    <x v="9"/>
    <x v="2"/>
    <n v="1"/>
  </r>
  <r>
    <x v="0"/>
    <x v="3"/>
    <x v="0"/>
    <x v="8"/>
    <x v="10"/>
    <x v="12"/>
    <x v="2"/>
    <n v="1"/>
  </r>
  <r>
    <x v="0"/>
    <x v="3"/>
    <x v="0"/>
    <x v="8"/>
    <x v="10"/>
    <x v="12"/>
    <x v="11"/>
    <n v="1"/>
  </r>
  <r>
    <x v="0"/>
    <x v="3"/>
    <x v="0"/>
    <x v="8"/>
    <x v="10"/>
    <x v="12"/>
    <x v="14"/>
    <n v="1"/>
  </r>
  <r>
    <x v="0"/>
    <x v="3"/>
    <x v="0"/>
    <x v="8"/>
    <x v="10"/>
    <x v="7"/>
    <x v="1"/>
    <n v="3"/>
  </r>
  <r>
    <x v="0"/>
    <x v="3"/>
    <x v="0"/>
    <x v="8"/>
    <x v="10"/>
    <x v="7"/>
    <x v="12"/>
    <n v="2"/>
  </r>
  <r>
    <x v="0"/>
    <x v="3"/>
    <x v="0"/>
    <x v="8"/>
    <x v="10"/>
    <x v="7"/>
    <x v="9"/>
    <n v="3"/>
  </r>
  <r>
    <x v="0"/>
    <x v="3"/>
    <x v="0"/>
    <x v="8"/>
    <x v="10"/>
    <x v="1"/>
    <x v="13"/>
    <n v="2"/>
  </r>
  <r>
    <x v="0"/>
    <x v="3"/>
    <x v="0"/>
    <x v="8"/>
    <x v="10"/>
    <x v="8"/>
    <x v="12"/>
    <n v="2"/>
  </r>
  <r>
    <x v="0"/>
    <x v="3"/>
    <x v="0"/>
    <x v="8"/>
    <x v="10"/>
    <x v="0"/>
    <x v="3"/>
    <n v="8"/>
  </r>
  <r>
    <x v="0"/>
    <x v="3"/>
    <x v="0"/>
    <x v="8"/>
    <x v="10"/>
    <x v="0"/>
    <x v="4"/>
    <n v="13"/>
  </r>
  <r>
    <x v="0"/>
    <x v="3"/>
    <x v="0"/>
    <x v="8"/>
    <x v="10"/>
    <x v="0"/>
    <x v="5"/>
    <n v="9"/>
  </r>
  <r>
    <x v="0"/>
    <x v="3"/>
    <x v="0"/>
    <x v="8"/>
    <x v="10"/>
    <x v="0"/>
    <x v="2"/>
    <n v="14"/>
  </r>
  <r>
    <x v="0"/>
    <x v="3"/>
    <x v="0"/>
    <x v="8"/>
    <x v="10"/>
    <x v="0"/>
    <x v="13"/>
    <n v="1"/>
  </r>
  <r>
    <x v="0"/>
    <x v="3"/>
    <x v="0"/>
    <x v="8"/>
    <x v="10"/>
    <x v="0"/>
    <x v="11"/>
    <n v="3"/>
  </r>
  <r>
    <x v="0"/>
    <x v="3"/>
    <x v="0"/>
    <x v="8"/>
    <x v="11"/>
    <x v="8"/>
    <x v="13"/>
    <n v="1"/>
  </r>
  <r>
    <x v="0"/>
    <x v="3"/>
    <x v="0"/>
    <x v="8"/>
    <x v="11"/>
    <x v="0"/>
    <x v="1"/>
    <n v="1"/>
  </r>
  <r>
    <x v="0"/>
    <x v="3"/>
    <x v="0"/>
    <x v="10"/>
    <x v="16"/>
    <x v="7"/>
    <x v="10"/>
    <n v="1"/>
  </r>
  <r>
    <x v="0"/>
    <x v="3"/>
    <x v="0"/>
    <x v="10"/>
    <x v="3"/>
    <x v="0"/>
    <x v="2"/>
    <n v="1"/>
  </r>
  <r>
    <x v="0"/>
    <x v="3"/>
    <x v="0"/>
    <x v="10"/>
    <x v="3"/>
    <x v="0"/>
    <x v="13"/>
    <n v="1"/>
  </r>
  <r>
    <x v="0"/>
    <x v="3"/>
    <x v="0"/>
    <x v="10"/>
    <x v="3"/>
    <x v="0"/>
    <x v="14"/>
    <n v="1"/>
  </r>
  <r>
    <x v="0"/>
    <x v="3"/>
    <x v="0"/>
    <x v="11"/>
    <x v="0"/>
    <x v="7"/>
    <x v="7"/>
    <n v="2"/>
  </r>
  <r>
    <x v="0"/>
    <x v="3"/>
    <x v="0"/>
    <x v="11"/>
    <x v="8"/>
    <x v="14"/>
    <x v="3"/>
    <n v="1"/>
  </r>
  <r>
    <x v="0"/>
    <x v="3"/>
    <x v="0"/>
    <x v="11"/>
    <x v="8"/>
    <x v="3"/>
    <x v="10"/>
    <n v="1"/>
  </r>
  <r>
    <x v="0"/>
    <x v="3"/>
    <x v="0"/>
    <x v="11"/>
    <x v="8"/>
    <x v="3"/>
    <x v="1"/>
    <n v="1"/>
  </r>
  <r>
    <x v="0"/>
    <x v="3"/>
    <x v="0"/>
    <x v="11"/>
    <x v="8"/>
    <x v="4"/>
    <x v="10"/>
    <n v="1"/>
  </r>
  <r>
    <x v="0"/>
    <x v="3"/>
    <x v="0"/>
    <x v="11"/>
    <x v="8"/>
    <x v="5"/>
    <x v="6"/>
    <n v="6"/>
  </r>
  <r>
    <x v="0"/>
    <x v="3"/>
    <x v="0"/>
    <x v="11"/>
    <x v="8"/>
    <x v="5"/>
    <x v="10"/>
    <n v="2"/>
  </r>
  <r>
    <x v="0"/>
    <x v="3"/>
    <x v="0"/>
    <x v="11"/>
    <x v="8"/>
    <x v="11"/>
    <x v="6"/>
    <n v="4"/>
  </r>
  <r>
    <x v="0"/>
    <x v="3"/>
    <x v="0"/>
    <x v="11"/>
    <x v="8"/>
    <x v="6"/>
    <x v="7"/>
    <n v="28"/>
  </r>
  <r>
    <x v="0"/>
    <x v="3"/>
    <x v="0"/>
    <x v="11"/>
    <x v="8"/>
    <x v="6"/>
    <x v="6"/>
    <n v="3"/>
  </r>
  <r>
    <x v="0"/>
    <x v="3"/>
    <x v="0"/>
    <x v="11"/>
    <x v="8"/>
    <x v="9"/>
    <x v="7"/>
    <n v="16"/>
  </r>
  <r>
    <x v="0"/>
    <x v="3"/>
    <x v="0"/>
    <x v="11"/>
    <x v="8"/>
    <x v="9"/>
    <x v="6"/>
    <n v="4"/>
  </r>
  <r>
    <x v="0"/>
    <x v="3"/>
    <x v="0"/>
    <x v="11"/>
    <x v="8"/>
    <x v="12"/>
    <x v="7"/>
    <n v="5"/>
  </r>
  <r>
    <x v="0"/>
    <x v="3"/>
    <x v="0"/>
    <x v="11"/>
    <x v="8"/>
    <x v="7"/>
    <x v="3"/>
    <n v="1"/>
  </r>
  <r>
    <x v="0"/>
    <x v="3"/>
    <x v="0"/>
    <x v="11"/>
    <x v="7"/>
    <x v="0"/>
    <x v="2"/>
    <n v="1"/>
  </r>
  <r>
    <x v="0"/>
    <x v="3"/>
    <x v="0"/>
    <x v="11"/>
    <x v="7"/>
    <x v="0"/>
    <x v="13"/>
    <n v="1"/>
  </r>
  <r>
    <x v="0"/>
    <x v="3"/>
    <x v="0"/>
    <x v="11"/>
    <x v="6"/>
    <x v="0"/>
    <x v="2"/>
    <n v="1"/>
  </r>
  <r>
    <x v="0"/>
    <x v="3"/>
    <x v="0"/>
    <x v="13"/>
    <x v="17"/>
    <x v="14"/>
    <x v="10"/>
    <n v="1"/>
  </r>
  <r>
    <x v="0"/>
    <x v="3"/>
    <x v="0"/>
    <x v="13"/>
    <x v="17"/>
    <x v="14"/>
    <x v="1"/>
    <n v="2"/>
  </r>
  <r>
    <x v="0"/>
    <x v="3"/>
    <x v="0"/>
    <x v="13"/>
    <x v="17"/>
    <x v="13"/>
    <x v="6"/>
    <n v="1"/>
  </r>
  <r>
    <x v="0"/>
    <x v="3"/>
    <x v="0"/>
    <x v="13"/>
    <x v="17"/>
    <x v="3"/>
    <x v="2"/>
    <n v="1"/>
  </r>
  <r>
    <x v="0"/>
    <x v="1"/>
    <x v="2"/>
    <x v="2"/>
    <x v="17"/>
    <x v="0"/>
    <x v="3"/>
    <n v="2"/>
  </r>
  <r>
    <x v="0"/>
    <x v="1"/>
    <x v="2"/>
    <x v="3"/>
    <x v="0"/>
    <x v="0"/>
    <x v="19"/>
    <n v="2"/>
  </r>
  <r>
    <x v="0"/>
    <x v="1"/>
    <x v="2"/>
    <x v="3"/>
    <x v="1"/>
    <x v="0"/>
    <x v="10"/>
    <n v="1"/>
  </r>
  <r>
    <x v="0"/>
    <x v="1"/>
    <x v="2"/>
    <x v="3"/>
    <x v="1"/>
    <x v="0"/>
    <x v="17"/>
    <n v="1"/>
  </r>
  <r>
    <x v="0"/>
    <x v="1"/>
    <x v="2"/>
    <x v="3"/>
    <x v="1"/>
    <x v="0"/>
    <x v="19"/>
    <n v="1"/>
  </r>
  <r>
    <x v="0"/>
    <x v="1"/>
    <x v="2"/>
    <x v="3"/>
    <x v="9"/>
    <x v="8"/>
    <x v="19"/>
    <n v="3"/>
  </r>
  <r>
    <x v="0"/>
    <x v="1"/>
    <x v="2"/>
    <x v="3"/>
    <x v="9"/>
    <x v="0"/>
    <x v="18"/>
    <n v="1"/>
  </r>
  <r>
    <x v="0"/>
    <x v="1"/>
    <x v="2"/>
    <x v="3"/>
    <x v="10"/>
    <x v="0"/>
    <x v="12"/>
    <n v="1"/>
  </r>
  <r>
    <x v="0"/>
    <x v="1"/>
    <x v="2"/>
    <x v="4"/>
    <x v="12"/>
    <x v="0"/>
    <x v="0"/>
    <n v="1"/>
  </r>
  <r>
    <x v="0"/>
    <x v="1"/>
    <x v="2"/>
    <x v="4"/>
    <x v="14"/>
    <x v="0"/>
    <x v="9"/>
    <n v="2"/>
  </r>
  <r>
    <x v="0"/>
    <x v="1"/>
    <x v="2"/>
    <x v="4"/>
    <x v="14"/>
    <x v="0"/>
    <x v="3"/>
    <n v="1"/>
  </r>
  <r>
    <x v="0"/>
    <x v="1"/>
    <x v="2"/>
    <x v="4"/>
    <x v="14"/>
    <x v="0"/>
    <x v="5"/>
    <n v="1"/>
  </r>
  <r>
    <x v="0"/>
    <x v="1"/>
    <x v="2"/>
    <x v="4"/>
    <x v="7"/>
    <x v="0"/>
    <x v="12"/>
    <n v="1"/>
  </r>
  <r>
    <x v="0"/>
    <x v="1"/>
    <x v="2"/>
    <x v="4"/>
    <x v="7"/>
    <x v="0"/>
    <x v="9"/>
    <n v="1"/>
  </r>
  <r>
    <x v="0"/>
    <x v="1"/>
    <x v="2"/>
    <x v="5"/>
    <x v="0"/>
    <x v="0"/>
    <x v="13"/>
    <n v="1"/>
  </r>
  <r>
    <x v="0"/>
    <x v="1"/>
    <x v="2"/>
    <x v="5"/>
    <x v="0"/>
    <x v="0"/>
    <x v="11"/>
    <n v="2"/>
  </r>
  <r>
    <x v="0"/>
    <x v="1"/>
    <x v="2"/>
    <x v="5"/>
    <x v="0"/>
    <x v="0"/>
    <x v="17"/>
    <n v="1"/>
  </r>
  <r>
    <x v="0"/>
    <x v="1"/>
    <x v="2"/>
    <x v="5"/>
    <x v="0"/>
    <x v="0"/>
    <x v="19"/>
    <n v="1"/>
  </r>
  <r>
    <x v="0"/>
    <x v="1"/>
    <x v="2"/>
    <x v="5"/>
    <x v="16"/>
    <x v="0"/>
    <x v="14"/>
    <n v="1"/>
  </r>
  <r>
    <x v="0"/>
    <x v="1"/>
    <x v="2"/>
    <x v="5"/>
    <x v="14"/>
    <x v="0"/>
    <x v="9"/>
    <n v="7"/>
  </r>
  <r>
    <x v="0"/>
    <x v="1"/>
    <x v="2"/>
    <x v="5"/>
    <x v="14"/>
    <x v="0"/>
    <x v="3"/>
    <n v="6"/>
  </r>
  <r>
    <x v="0"/>
    <x v="1"/>
    <x v="2"/>
    <x v="5"/>
    <x v="14"/>
    <x v="0"/>
    <x v="4"/>
    <n v="9"/>
  </r>
  <r>
    <x v="0"/>
    <x v="1"/>
    <x v="2"/>
    <x v="5"/>
    <x v="8"/>
    <x v="7"/>
    <x v="14"/>
    <n v="1"/>
  </r>
  <r>
    <x v="0"/>
    <x v="1"/>
    <x v="2"/>
    <x v="5"/>
    <x v="8"/>
    <x v="0"/>
    <x v="18"/>
    <n v="1"/>
  </r>
  <r>
    <x v="0"/>
    <x v="1"/>
    <x v="2"/>
    <x v="5"/>
    <x v="11"/>
    <x v="0"/>
    <x v="9"/>
    <n v="5"/>
  </r>
  <r>
    <x v="0"/>
    <x v="1"/>
    <x v="2"/>
    <x v="5"/>
    <x v="11"/>
    <x v="0"/>
    <x v="4"/>
    <n v="1"/>
  </r>
  <r>
    <x v="0"/>
    <x v="1"/>
    <x v="2"/>
    <x v="5"/>
    <x v="11"/>
    <x v="0"/>
    <x v="5"/>
    <n v="1"/>
  </r>
  <r>
    <x v="0"/>
    <x v="1"/>
    <x v="2"/>
    <x v="6"/>
    <x v="0"/>
    <x v="0"/>
    <x v="13"/>
    <n v="3"/>
  </r>
  <r>
    <x v="0"/>
    <x v="1"/>
    <x v="2"/>
    <x v="6"/>
    <x v="0"/>
    <x v="0"/>
    <x v="11"/>
    <n v="1"/>
  </r>
  <r>
    <x v="0"/>
    <x v="1"/>
    <x v="2"/>
    <x v="6"/>
    <x v="5"/>
    <x v="0"/>
    <x v="0"/>
    <n v="2"/>
  </r>
  <r>
    <x v="0"/>
    <x v="1"/>
    <x v="2"/>
    <x v="6"/>
    <x v="18"/>
    <x v="0"/>
    <x v="12"/>
    <n v="2"/>
  </r>
  <r>
    <x v="0"/>
    <x v="1"/>
    <x v="2"/>
    <x v="6"/>
    <x v="18"/>
    <x v="0"/>
    <x v="9"/>
    <n v="8"/>
  </r>
  <r>
    <x v="0"/>
    <x v="1"/>
    <x v="2"/>
    <x v="9"/>
    <x v="0"/>
    <x v="0"/>
    <x v="5"/>
    <n v="1"/>
  </r>
  <r>
    <x v="0"/>
    <x v="1"/>
    <x v="2"/>
    <x v="9"/>
    <x v="0"/>
    <x v="0"/>
    <x v="2"/>
    <n v="1"/>
  </r>
  <r>
    <x v="0"/>
    <x v="1"/>
    <x v="2"/>
    <x v="9"/>
    <x v="0"/>
    <x v="0"/>
    <x v="13"/>
    <n v="1"/>
  </r>
  <r>
    <x v="0"/>
    <x v="1"/>
    <x v="2"/>
    <x v="9"/>
    <x v="9"/>
    <x v="0"/>
    <x v="11"/>
    <n v="2"/>
  </r>
  <r>
    <x v="0"/>
    <x v="1"/>
    <x v="2"/>
    <x v="9"/>
    <x v="9"/>
    <x v="0"/>
    <x v="14"/>
    <n v="4"/>
  </r>
  <r>
    <x v="0"/>
    <x v="1"/>
    <x v="2"/>
    <x v="9"/>
    <x v="9"/>
    <x v="0"/>
    <x v="17"/>
    <n v="3"/>
  </r>
  <r>
    <x v="0"/>
    <x v="1"/>
    <x v="2"/>
    <x v="7"/>
    <x v="2"/>
    <x v="0"/>
    <x v="19"/>
    <n v="1"/>
  </r>
  <r>
    <x v="0"/>
    <x v="1"/>
    <x v="2"/>
    <x v="7"/>
    <x v="13"/>
    <x v="8"/>
    <x v="9"/>
    <n v="1"/>
  </r>
  <r>
    <x v="0"/>
    <x v="1"/>
    <x v="2"/>
    <x v="7"/>
    <x v="13"/>
    <x v="0"/>
    <x v="1"/>
    <n v="3"/>
  </r>
  <r>
    <x v="0"/>
    <x v="1"/>
    <x v="2"/>
    <x v="8"/>
    <x v="16"/>
    <x v="0"/>
    <x v="12"/>
    <n v="4"/>
  </r>
  <r>
    <x v="0"/>
    <x v="1"/>
    <x v="2"/>
    <x v="8"/>
    <x v="16"/>
    <x v="0"/>
    <x v="9"/>
    <n v="2"/>
  </r>
  <r>
    <x v="0"/>
    <x v="1"/>
    <x v="2"/>
    <x v="8"/>
    <x v="16"/>
    <x v="0"/>
    <x v="3"/>
    <n v="3"/>
  </r>
  <r>
    <x v="0"/>
    <x v="1"/>
    <x v="2"/>
    <x v="8"/>
    <x v="10"/>
    <x v="0"/>
    <x v="2"/>
    <n v="6"/>
  </r>
  <r>
    <x v="0"/>
    <x v="1"/>
    <x v="2"/>
    <x v="8"/>
    <x v="10"/>
    <x v="0"/>
    <x v="13"/>
    <n v="8"/>
  </r>
  <r>
    <x v="0"/>
    <x v="1"/>
    <x v="2"/>
    <x v="8"/>
    <x v="11"/>
    <x v="1"/>
    <x v="1"/>
    <n v="1"/>
  </r>
  <r>
    <x v="0"/>
    <x v="1"/>
    <x v="2"/>
    <x v="8"/>
    <x v="11"/>
    <x v="0"/>
    <x v="10"/>
    <n v="12"/>
  </r>
  <r>
    <x v="0"/>
    <x v="1"/>
    <x v="2"/>
    <x v="8"/>
    <x v="11"/>
    <x v="0"/>
    <x v="1"/>
    <n v="46"/>
  </r>
  <r>
    <x v="0"/>
    <x v="1"/>
    <x v="2"/>
    <x v="8"/>
    <x v="18"/>
    <x v="0"/>
    <x v="19"/>
    <n v="1"/>
  </r>
  <r>
    <x v="0"/>
    <x v="1"/>
    <x v="2"/>
    <x v="10"/>
    <x v="15"/>
    <x v="0"/>
    <x v="19"/>
    <n v="1"/>
  </r>
  <r>
    <x v="0"/>
    <x v="1"/>
    <x v="2"/>
    <x v="10"/>
    <x v="3"/>
    <x v="0"/>
    <x v="11"/>
    <n v="2"/>
  </r>
  <r>
    <x v="0"/>
    <x v="1"/>
    <x v="2"/>
    <x v="10"/>
    <x v="3"/>
    <x v="0"/>
    <x v="14"/>
    <n v="1"/>
  </r>
  <r>
    <x v="0"/>
    <x v="1"/>
    <x v="2"/>
    <x v="10"/>
    <x v="3"/>
    <x v="0"/>
    <x v="17"/>
    <n v="1"/>
  </r>
  <r>
    <x v="0"/>
    <x v="1"/>
    <x v="2"/>
    <x v="11"/>
    <x v="2"/>
    <x v="0"/>
    <x v="4"/>
    <n v="1"/>
  </r>
  <r>
    <x v="0"/>
    <x v="1"/>
    <x v="2"/>
    <x v="11"/>
    <x v="2"/>
    <x v="0"/>
    <x v="5"/>
    <n v="1"/>
  </r>
  <r>
    <x v="0"/>
    <x v="1"/>
    <x v="2"/>
    <x v="11"/>
    <x v="2"/>
    <x v="0"/>
    <x v="2"/>
    <n v="2"/>
  </r>
  <r>
    <x v="0"/>
    <x v="1"/>
    <x v="2"/>
    <x v="11"/>
    <x v="2"/>
    <x v="0"/>
    <x v="13"/>
    <n v="4"/>
  </r>
  <r>
    <x v="0"/>
    <x v="1"/>
    <x v="2"/>
    <x v="11"/>
    <x v="1"/>
    <x v="0"/>
    <x v="0"/>
    <n v="1"/>
  </r>
  <r>
    <x v="0"/>
    <x v="1"/>
    <x v="2"/>
    <x v="11"/>
    <x v="13"/>
    <x v="0"/>
    <x v="19"/>
    <n v="1"/>
  </r>
  <r>
    <x v="0"/>
    <x v="1"/>
    <x v="2"/>
    <x v="11"/>
    <x v="15"/>
    <x v="0"/>
    <x v="17"/>
    <n v="1"/>
  </r>
  <r>
    <x v="0"/>
    <x v="1"/>
    <x v="2"/>
    <x v="11"/>
    <x v="17"/>
    <x v="0"/>
    <x v="0"/>
    <n v="1"/>
  </r>
  <r>
    <x v="0"/>
    <x v="1"/>
    <x v="2"/>
    <x v="11"/>
    <x v="17"/>
    <x v="0"/>
    <x v="18"/>
    <n v="2"/>
  </r>
  <r>
    <x v="0"/>
    <x v="1"/>
    <x v="2"/>
    <x v="12"/>
    <x v="15"/>
    <x v="0"/>
    <x v="11"/>
    <n v="6"/>
  </r>
  <r>
    <x v="0"/>
    <x v="1"/>
    <x v="2"/>
    <x v="12"/>
    <x v="15"/>
    <x v="0"/>
    <x v="14"/>
    <n v="2"/>
  </r>
  <r>
    <x v="0"/>
    <x v="1"/>
    <x v="2"/>
    <x v="12"/>
    <x v="15"/>
    <x v="0"/>
    <x v="17"/>
    <n v="1"/>
  </r>
  <r>
    <x v="0"/>
    <x v="1"/>
    <x v="2"/>
    <x v="13"/>
    <x v="4"/>
    <x v="0"/>
    <x v="12"/>
    <n v="1"/>
  </r>
  <r>
    <x v="0"/>
    <x v="1"/>
    <x v="2"/>
    <x v="13"/>
    <x v="4"/>
    <x v="0"/>
    <x v="9"/>
    <n v="1"/>
  </r>
  <r>
    <x v="0"/>
    <x v="1"/>
    <x v="2"/>
    <x v="13"/>
    <x v="4"/>
    <x v="0"/>
    <x v="3"/>
    <n v="1"/>
  </r>
  <r>
    <x v="0"/>
    <x v="1"/>
    <x v="2"/>
    <x v="13"/>
    <x v="8"/>
    <x v="0"/>
    <x v="2"/>
    <n v="5"/>
  </r>
  <r>
    <x v="0"/>
    <x v="1"/>
    <x v="2"/>
    <x v="13"/>
    <x v="8"/>
    <x v="0"/>
    <x v="13"/>
    <n v="1"/>
  </r>
  <r>
    <x v="0"/>
    <x v="1"/>
    <x v="2"/>
    <x v="13"/>
    <x v="8"/>
    <x v="0"/>
    <x v="11"/>
    <n v="2"/>
  </r>
  <r>
    <x v="0"/>
    <x v="3"/>
    <x v="0"/>
    <x v="13"/>
    <x v="17"/>
    <x v="3"/>
    <x v="13"/>
    <n v="1"/>
  </r>
  <r>
    <x v="0"/>
    <x v="3"/>
    <x v="0"/>
    <x v="13"/>
    <x v="17"/>
    <x v="4"/>
    <x v="5"/>
    <n v="1"/>
  </r>
  <r>
    <x v="0"/>
    <x v="3"/>
    <x v="0"/>
    <x v="13"/>
    <x v="17"/>
    <x v="5"/>
    <x v="4"/>
    <n v="1"/>
  </r>
  <r>
    <x v="0"/>
    <x v="3"/>
    <x v="0"/>
    <x v="13"/>
    <x v="17"/>
    <x v="5"/>
    <x v="5"/>
    <n v="2"/>
  </r>
  <r>
    <x v="0"/>
    <x v="3"/>
    <x v="0"/>
    <x v="13"/>
    <x v="17"/>
    <x v="6"/>
    <x v="5"/>
    <n v="1"/>
  </r>
  <r>
    <x v="0"/>
    <x v="3"/>
    <x v="0"/>
    <x v="13"/>
    <x v="17"/>
    <x v="12"/>
    <x v="9"/>
    <n v="1"/>
  </r>
  <r>
    <x v="0"/>
    <x v="3"/>
    <x v="0"/>
    <x v="14"/>
    <x v="16"/>
    <x v="5"/>
    <x v="15"/>
    <n v="1"/>
  </r>
  <r>
    <x v="0"/>
    <x v="3"/>
    <x v="0"/>
    <x v="14"/>
    <x v="16"/>
    <x v="9"/>
    <x v="1"/>
    <n v="1"/>
  </r>
  <r>
    <x v="0"/>
    <x v="3"/>
    <x v="0"/>
    <x v="14"/>
    <x v="18"/>
    <x v="7"/>
    <x v="1"/>
    <n v="1"/>
  </r>
  <r>
    <x v="0"/>
    <x v="3"/>
    <x v="0"/>
    <x v="15"/>
    <x v="1"/>
    <x v="0"/>
    <x v="3"/>
    <n v="1"/>
  </r>
  <r>
    <x v="0"/>
    <x v="3"/>
    <x v="0"/>
    <x v="19"/>
    <x v="7"/>
    <x v="19"/>
    <x v="4"/>
    <n v="1"/>
  </r>
  <r>
    <x v="0"/>
    <x v="3"/>
    <x v="0"/>
    <x v="19"/>
    <x v="7"/>
    <x v="15"/>
    <x v="1"/>
    <n v="3"/>
  </r>
  <r>
    <x v="0"/>
    <x v="3"/>
    <x v="0"/>
    <x v="19"/>
    <x v="7"/>
    <x v="14"/>
    <x v="6"/>
    <n v="5"/>
  </r>
  <r>
    <x v="0"/>
    <x v="3"/>
    <x v="0"/>
    <x v="19"/>
    <x v="7"/>
    <x v="14"/>
    <x v="10"/>
    <n v="1"/>
  </r>
  <r>
    <x v="0"/>
    <x v="3"/>
    <x v="0"/>
    <x v="19"/>
    <x v="7"/>
    <x v="13"/>
    <x v="16"/>
    <n v="181"/>
  </r>
  <r>
    <x v="0"/>
    <x v="3"/>
    <x v="0"/>
    <x v="19"/>
    <x v="7"/>
    <x v="13"/>
    <x v="7"/>
    <n v="23"/>
  </r>
  <r>
    <x v="0"/>
    <x v="3"/>
    <x v="0"/>
    <x v="19"/>
    <x v="7"/>
    <x v="13"/>
    <x v="6"/>
    <n v="9"/>
  </r>
  <r>
    <x v="0"/>
    <x v="3"/>
    <x v="0"/>
    <x v="19"/>
    <x v="7"/>
    <x v="13"/>
    <x v="10"/>
    <n v="3"/>
  </r>
  <r>
    <x v="0"/>
    <x v="3"/>
    <x v="0"/>
    <x v="19"/>
    <x v="7"/>
    <x v="2"/>
    <x v="7"/>
    <n v="15"/>
  </r>
  <r>
    <x v="0"/>
    <x v="3"/>
    <x v="0"/>
    <x v="19"/>
    <x v="7"/>
    <x v="10"/>
    <x v="7"/>
    <n v="5"/>
  </r>
  <r>
    <x v="0"/>
    <x v="3"/>
    <x v="0"/>
    <x v="19"/>
    <x v="7"/>
    <x v="3"/>
    <x v="8"/>
    <n v="16"/>
  </r>
  <r>
    <x v="0"/>
    <x v="3"/>
    <x v="0"/>
    <x v="19"/>
    <x v="7"/>
    <x v="4"/>
    <x v="8"/>
    <n v="15"/>
  </r>
  <r>
    <x v="0"/>
    <x v="3"/>
    <x v="0"/>
    <x v="19"/>
    <x v="7"/>
    <x v="5"/>
    <x v="8"/>
    <n v="12"/>
  </r>
  <r>
    <x v="0"/>
    <x v="3"/>
    <x v="0"/>
    <x v="19"/>
    <x v="7"/>
    <x v="11"/>
    <x v="8"/>
    <n v="12"/>
  </r>
  <r>
    <x v="0"/>
    <x v="3"/>
    <x v="0"/>
    <x v="19"/>
    <x v="7"/>
    <x v="12"/>
    <x v="12"/>
    <n v="2"/>
  </r>
  <r>
    <x v="0"/>
    <x v="3"/>
    <x v="0"/>
    <x v="19"/>
    <x v="10"/>
    <x v="9"/>
    <x v="9"/>
    <n v="1"/>
  </r>
  <r>
    <x v="0"/>
    <x v="3"/>
    <x v="0"/>
    <x v="19"/>
    <x v="10"/>
    <x v="12"/>
    <x v="9"/>
    <n v="1"/>
  </r>
  <r>
    <x v="0"/>
    <x v="3"/>
    <x v="0"/>
    <x v="19"/>
    <x v="10"/>
    <x v="7"/>
    <x v="7"/>
    <n v="3"/>
  </r>
  <r>
    <x v="0"/>
    <x v="3"/>
    <x v="0"/>
    <x v="19"/>
    <x v="10"/>
    <x v="1"/>
    <x v="10"/>
    <n v="1"/>
  </r>
  <r>
    <x v="0"/>
    <x v="3"/>
    <x v="0"/>
    <x v="19"/>
    <x v="10"/>
    <x v="0"/>
    <x v="10"/>
    <n v="7"/>
  </r>
  <r>
    <x v="0"/>
    <x v="3"/>
    <x v="1"/>
    <x v="1"/>
    <x v="7"/>
    <x v="11"/>
    <x v="5"/>
    <n v="1"/>
  </r>
  <r>
    <x v="0"/>
    <x v="3"/>
    <x v="1"/>
    <x v="2"/>
    <x v="7"/>
    <x v="3"/>
    <x v="3"/>
    <n v="1"/>
  </r>
  <r>
    <x v="0"/>
    <x v="3"/>
    <x v="1"/>
    <x v="2"/>
    <x v="6"/>
    <x v="11"/>
    <x v="1"/>
    <n v="1"/>
  </r>
  <r>
    <x v="0"/>
    <x v="3"/>
    <x v="1"/>
    <x v="3"/>
    <x v="5"/>
    <x v="6"/>
    <x v="4"/>
    <n v="1"/>
  </r>
  <r>
    <x v="0"/>
    <x v="3"/>
    <x v="1"/>
    <x v="3"/>
    <x v="8"/>
    <x v="17"/>
    <x v="19"/>
    <n v="9"/>
  </r>
  <r>
    <x v="0"/>
    <x v="3"/>
    <x v="1"/>
    <x v="3"/>
    <x v="8"/>
    <x v="18"/>
    <x v="18"/>
    <n v="1"/>
  </r>
  <r>
    <x v="0"/>
    <x v="3"/>
    <x v="1"/>
    <x v="3"/>
    <x v="8"/>
    <x v="16"/>
    <x v="19"/>
    <n v="1"/>
  </r>
  <r>
    <x v="0"/>
    <x v="3"/>
    <x v="1"/>
    <x v="3"/>
    <x v="8"/>
    <x v="15"/>
    <x v="19"/>
    <n v="1"/>
  </r>
  <r>
    <x v="0"/>
    <x v="3"/>
    <x v="1"/>
    <x v="3"/>
    <x v="8"/>
    <x v="3"/>
    <x v="18"/>
    <n v="1"/>
  </r>
  <r>
    <x v="0"/>
    <x v="3"/>
    <x v="1"/>
    <x v="4"/>
    <x v="18"/>
    <x v="13"/>
    <x v="19"/>
    <n v="1"/>
  </r>
  <r>
    <x v="0"/>
    <x v="3"/>
    <x v="1"/>
    <x v="6"/>
    <x v="8"/>
    <x v="17"/>
    <x v="5"/>
    <n v="26"/>
  </r>
  <r>
    <x v="0"/>
    <x v="3"/>
    <x v="1"/>
    <x v="6"/>
    <x v="8"/>
    <x v="16"/>
    <x v="5"/>
    <n v="1"/>
  </r>
  <r>
    <x v="0"/>
    <x v="3"/>
    <x v="1"/>
    <x v="6"/>
    <x v="8"/>
    <x v="16"/>
    <x v="2"/>
    <n v="1"/>
  </r>
  <r>
    <x v="0"/>
    <x v="3"/>
    <x v="1"/>
    <x v="6"/>
    <x v="8"/>
    <x v="15"/>
    <x v="4"/>
    <n v="4"/>
  </r>
  <r>
    <x v="0"/>
    <x v="3"/>
    <x v="1"/>
    <x v="6"/>
    <x v="8"/>
    <x v="15"/>
    <x v="5"/>
    <n v="2"/>
  </r>
  <r>
    <x v="0"/>
    <x v="3"/>
    <x v="1"/>
    <x v="6"/>
    <x v="8"/>
    <x v="14"/>
    <x v="9"/>
    <n v="1"/>
  </r>
  <r>
    <x v="0"/>
    <x v="3"/>
    <x v="1"/>
    <x v="6"/>
    <x v="8"/>
    <x v="14"/>
    <x v="3"/>
    <n v="2"/>
  </r>
  <r>
    <x v="0"/>
    <x v="3"/>
    <x v="1"/>
    <x v="6"/>
    <x v="8"/>
    <x v="14"/>
    <x v="4"/>
    <n v="7"/>
  </r>
  <r>
    <x v="0"/>
    <x v="3"/>
    <x v="1"/>
    <x v="6"/>
    <x v="3"/>
    <x v="14"/>
    <x v="12"/>
    <n v="1"/>
  </r>
  <r>
    <x v="0"/>
    <x v="3"/>
    <x v="1"/>
    <x v="6"/>
    <x v="3"/>
    <x v="14"/>
    <x v="9"/>
    <n v="2"/>
  </r>
  <r>
    <x v="0"/>
    <x v="3"/>
    <x v="1"/>
    <x v="9"/>
    <x v="10"/>
    <x v="19"/>
    <x v="3"/>
    <n v="2"/>
  </r>
  <r>
    <x v="0"/>
    <x v="3"/>
    <x v="1"/>
    <x v="9"/>
    <x v="10"/>
    <x v="19"/>
    <x v="4"/>
    <n v="1"/>
  </r>
  <r>
    <x v="0"/>
    <x v="3"/>
    <x v="1"/>
    <x v="9"/>
    <x v="10"/>
    <x v="2"/>
    <x v="13"/>
    <n v="1"/>
  </r>
  <r>
    <x v="0"/>
    <x v="3"/>
    <x v="1"/>
    <x v="9"/>
    <x v="10"/>
    <x v="10"/>
    <x v="5"/>
    <n v="1"/>
  </r>
  <r>
    <x v="0"/>
    <x v="3"/>
    <x v="1"/>
    <x v="9"/>
    <x v="10"/>
    <x v="3"/>
    <x v="2"/>
    <n v="1"/>
  </r>
  <r>
    <x v="0"/>
    <x v="3"/>
    <x v="1"/>
    <x v="9"/>
    <x v="10"/>
    <x v="4"/>
    <x v="4"/>
    <n v="1"/>
  </r>
  <r>
    <x v="0"/>
    <x v="3"/>
    <x v="1"/>
    <x v="9"/>
    <x v="10"/>
    <x v="4"/>
    <x v="2"/>
    <n v="1"/>
  </r>
  <r>
    <x v="0"/>
    <x v="3"/>
    <x v="1"/>
    <x v="9"/>
    <x v="10"/>
    <x v="4"/>
    <x v="13"/>
    <n v="1"/>
  </r>
  <r>
    <x v="0"/>
    <x v="3"/>
    <x v="1"/>
    <x v="9"/>
    <x v="10"/>
    <x v="5"/>
    <x v="3"/>
    <n v="1"/>
  </r>
  <r>
    <x v="0"/>
    <x v="3"/>
    <x v="1"/>
    <x v="9"/>
    <x v="10"/>
    <x v="9"/>
    <x v="3"/>
    <n v="1"/>
  </r>
  <r>
    <x v="0"/>
    <x v="3"/>
    <x v="1"/>
    <x v="9"/>
    <x v="10"/>
    <x v="8"/>
    <x v="14"/>
    <n v="1"/>
  </r>
  <r>
    <x v="0"/>
    <x v="3"/>
    <x v="1"/>
    <x v="9"/>
    <x v="19"/>
    <x v="18"/>
    <x v="2"/>
    <n v="1"/>
  </r>
  <r>
    <x v="0"/>
    <x v="3"/>
    <x v="1"/>
    <x v="7"/>
    <x v="3"/>
    <x v="11"/>
    <x v="11"/>
    <n v="1"/>
  </r>
  <r>
    <x v="0"/>
    <x v="3"/>
    <x v="1"/>
    <x v="8"/>
    <x v="4"/>
    <x v="4"/>
    <x v="3"/>
    <n v="1"/>
  </r>
  <r>
    <x v="0"/>
    <x v="3"/>
    <x v="1"/>
    <x v="8"/>
    <x v="7"/>
    <x v="17"/>
    <x v="0"/>
    <n v="9"/>
  </r>
  <r>
    <x v="0"/>
    <x v="3"/>
    <x v="1"/>
    <x v="8"/>
    <x v="7"/>
    <x v="17"/>
    <x v="18"/>
    <n v="12"/>
  </r>
  <r>
    <x v="0"/>
    <x v="3"/>
    <x v="1"/>
    <x v="8"/>
    <x v="7"/>
    <x v="18"/>
    <x v="11"/>
    <n v="1"/>
  </r>
  <r>
    <x v="0"/>
    <x v="3"/>
    <x v="1"/>
    <x v="8"/>
    <x v="7"/>
    <x v="18"/>
    <x v="14"/>
    <n v="5"/>
  </r>
  <r>
    <x v="0"/>
    <x v="3"/>
    <x v="1"/>
    <x v="8"/>
    <x v="7"/>
    <x v="19"/>
    <x v="4"/>
    <n v="1"/>
  </r>
  <r>
    <x v="0"/>
    <x v="3"/>
    <x v="1"/>
    <x v="8"/>
    <x v="7"/>
    <x v="19"/>
    <x v="5"/>
    <n v="1"/>
  </r>
  <r>
    <x v="0"/>
    <x v="3"/>
    <x v="1"/>
    <x v="8"/>
    <x v="7"/>
    <x v="16"/>
    <x v="0"/>
    <n v="2"/>
  </r>
  <r>
    <x v="0"/>
    <x v="3"/>
    <x v="1"/>
    <x v="8"/>
    <x v="7"/>
    <x v="16"/>
    <x v="18"/>
    <n v="5"/>
  </r>
  <r>
    <x v="0"/>
    <x v="3"/>
    <x v="1"/>
    <x v="8"/>
    <x v="7"/>
    <x v="15"/>
    <x v="0"/>
    <n v="1"/>
  </r>
  <r>
    <x v="0"/>
    <x v="3"/>
    <x v="1"/>
    <x v="8"/>
    <x v="7"/>
    <x v="15"/>
    <x v="18"/>
    <n v="1"/>
  </r>
  <r>
    <x v="0"/>
    <x v="3"/>
    <x v="1"/>
    <x v="8"/>
    <x v="7"/>
    <x v="13"/>
    <x v="19"/>
    <n v="2"/>
  </r>
  <r>
    <x v="0"/>
    <x v="3"/>
    <x v="1"/>
    <x v="8"/>
    <x v="7"/>
    <x v="2"/>
    <x v="19"/>
    <n v="3"/>
  </r>
  <r>
    <x v="0"/>
    <x v="3"/>
    <x v="1"/>
    <x v="8"/>
    <x v="6"/>
    <x v="19"/>
    <x v="3"/>
    <n v="1"/>
  </r>
  <r>
    <x v="0"/>
    <x v="3"/>
    <x v="1"/>
    <x v="8"/>
    <x v="6"/>
    <x v="19"/>
    <x v="4"/>
    <n v="1"/>
  </r>
  <r>
    <x v="0"/>
    <x v="3"/>
    <x v="1"/>
    <x v="8"/>
    <x v="6"/>
    <x v="4"/>
    <x v="3"/>
    <n v="1"/>
  </r>
  <r>
    <x v="0"/>
    <x v="3"/>
    <x v="1"/>
    <x v="10"/>
    <x v="16"/>
    <x v="13"/>
    <x v="3"/>
    <n v="1"/>
  </r>
  <r>
    <x v="0"/>
    <x v="3"/>
    <x v="1"/>
    <x v="10"/>
    <x v="16"/>
    <x v="2"/>
    <x v="9"/>
    <n v="1"/>
  </r>
  <r>
    <x v="0"/>
    <x v="3"/>
    <x v="1"/>
    <x v="10"/>
    <x v="16"/>
    <x v="10"/>
    <x v="12"/>
    <n v="1"/>
  </r>
  <r>
    <x v="0"/>
    <x v="3"/>
    <x v="1"/>
    <x v="11"/>
    <x v="14"/>
    <x v="3"/>
    <x v="11"/>
    <n v="1"/>
  </r>
  <r>
    <x v="0"/>
    <x v="3"/>
    <x v="1"/>
    <x v="11"/>
    <x v="14"/>
    <x v="4"/>
    <x v="2"/>
    <n v="1"/>
  </r>
  <r>
    <x v="0"/>
    <x v="3"/>
    <x v="1"/>
    <x v="11"/>
    <x v="14"/>
    <x v="4"/>
    <x v="13"/>
    <n v="1"/>
  </r>
  <r>
    <x v="0"/>
    <x v="3"/>
    <x v="1"/>
    <x v="11"/>
    <x v="14"/>
    <x v="4"/>
    <x v="11"/>
    <n v="1"/>
  </r>
  <r>
    <x v="0"/>
    <x v="3"/>
    <x v="1"/>
    <x v="11"/>
    <x v="14"/>
    <x v="5"/>
    <x v="5"/>
    <n v="1"/>
  </r>
  <r>
    <x v="0"/>
    <x v="3"/>
    <x v="1"/>
    <x v="11"/>
    <x v="14"/>
    <x v="5"/>
    <x v="14"/>
    <n v="1"/>
  </r>
  <r>
    <x v="0"/>
    <x v="3"/>
    <x v="1"/>
    <x v="11"/>
    <x v="14"/>
    <x v="9"/>
    <x v="13"/>
    <n v="1"/>
  </r>
  <r>
    <x v="0"/>
    <x v="3"/>
    <x v="1"/>
    <x v="11"/>
    <x v="14"/>
    <x v="12"/>
    <x v="5"/>
    <n v="1"/>
  </r>
  <r>
    <x v="0"/>
    <x v="3"/>
    <x v="1"/>
    <x v="11"/>
    <x v="8"/>
    <x v="6"/>
    <x v="12"/>
    <n v="1"/>
  </r>
  <r>
    <x v="0"/>
    <x v="3"/>
    <x v="1"/>
    <x v="11"/>
    <x v="8"/>
    <x v="12"/>
    <x v="3"/>
    <n v="1"/>
  </r>
  <r>
    <x v="0"/>
    <x v="3"/>
    <x v="1"/>
    <x v="11"/>
    <x v="7"/>
    <x v="10"/>
    <x v="5"/>
    <n v="2"/>
  </r>
  <r>
    <x v="0"/>
    <x v="3"/>
    <x v="1"/>
    <x v="11"/>
    <x v="7"/>
    <x v="10"/>
    <x v="2"/>
    <n v="1"/>
  </r>
  <r>
    <x v="0"/>
    <x v="3"/>
    <x v="1"/>
    <x v="11"/>
    <x v="7"/>
    <x v="3"/>
    <x v="5"/>
    <n v="2"/>
  </r>
  <r>
    <x v="0"/>
    <x v="3"/>
    <x v="1"/>
    <x v="11"/>
    <x v="7"/>
    <x v="3"/>
    <x v="13"/>
    <n v="1"/>
  </r>
  <r>
    <x v="0"/>
    <x v="3"/>
    <x v="1"/>
    <x v="11"/>
    <x v="7"/>
    <x v="4"/>
    <x v="5"/>
    <n v="2"/>
  </r>
  <r>
    <x v="0"/>
    <x v="3"/>
    <x v="1"/>
    <x v="11"/>
    <x v="7"/>
    <x v="5"/>
    <x v="5"/>
    <n v="1"/>
  </r>
  <r>
    <x v="0"/>
    <x v="3"/>
    <x v="1"/>
    <x v="11"/>
    <x v="7"/>
    <x v="5"/>
    <x v="2"/>
    <n v="1"/>
  </r>
  <r>
    <x v="0"/>
    <x v="3"/>
    <x v="1"/>
    <x v="11"/>
    <x v="7"/>
    <x v="11"/>
    <x v="5"/>
    <n v="2"/>
  </r>
  <r>
    <x v="0"/>
    <x v="3"/>
    <x v="1"/>
    <x v="11"/>
    <x v="7"/>
    <x v="6"/>
    <x v="4"/>
    <n v="1"/>
  </r>
  <r>
    <x v="0"/>
    <x v="3"/>
    <x v="1"/>
    <x v="11"/>
    <x v="7"/>
    <x v="9"/>
    <x v="18"/>
    <n v="1"/>
  </r>
  <r>
    <x v="0"/>
    <x v="3"/>
    <x v="1"/>
    <x v="11"/>
    <x v="7"/>
    <x v="7"/>
    <x v="14"/>
    <n v="1"/>
  </r>
  <r>
    <x v="0"/>
    <x v="3"/>
    <x v="1"/>
    <x v="11"/>
    <x v="7"/>
    <x v="7"/>
    <x v="19"/>
    <n v="2"/>
  </r>
  <r>
    <x v="0"/>
    <x v="3"/>
    <x v="1"/>
    <x v="11"/>
    <x v="7"/>
    <x v="0"/>
    <x v="0"/>
    <n v="2"/>
  </r>
  <r>
    <x v="0"/>
    <x v="3"/>
    <x v="1"/>
    <x v="12"/>
    <x v="6"/>
    <x v="4"/>
    <x v="9"/>
    <n v="1"/>
  </r>
  <r>
    <x v="0"/>
    <x v="3"/>
    <x v="1"/>
    <x v="13"/>
    <x v="0"/>
    <x v="17"/>
    <x v="2"/>
    <n v="2"/>
  </r>
  <r>
    <x v="0"/>
    <x v="3"/>
    <x v="1"/>
    <x v="13"/>
    <x v="0"/>
    <x v="17"/>
    <x v="13"/>
    <n v="1"/>
  </r>
  <r>
    <x v="0"/>
    <x v="3"/>
    <x v="1"/>
    <x v="13"/>
    <x v="0"/>
    <x v="15"/>
    <x v="2"/>
    <n v="3"/>
  </r>
  <r>
    <x v="0"/>
    <x v="3"/>
    <x v="1"/>
    <x v="13"/>
    <x v="0"/>
    <x v="14"/>
    <x v="4"/>
    <n v="1"/>
  </r>
  <r>
    <x v="0"/>
    <x v="3"/>
    <x v="1"/>
    <x v="13"/>
    <x v="0"/>
    <x v="11"/>
    <x v="19"/>
    <n v="1"/>
  </r>
  <r>
    <x v="0"/>
    <x v="3"/>
    <x v="1"/>
    <x v="13"/>
    <x v="0"/>
    <x v="9"/>
    <x v="19"/>
    <n v="1"/>
  </r>
  <r>
    <x v="0"/>
    <x v="3"/>
    <x v="1"/>
    <x v="13"/>
    <x v="0"/>
    <x v="12"/>
    <x v="17"/>
    <n v="1"/>
  </r>
  <r>
    <x v="0"/>
    <x v="3"/>
    <x v="1"/>
    <x v="13"/>
    <x v="0"/>
    <x v="12"/>
    <x v="19"/>
    <n v="2"/>
  </r>
  <r>
    <x v="0"/>
    <x v="3"/>
    <x v="1"/>
    <x v="14"/>
    <x v="16"/>
    <x v="14"/>
    <x v="12"/>
    <n v="1"/>
  </r>
  <r>
    <x v="0"/>
    <x v="3"/>
    <x v="1"/>
    <x v="14"/>
    <x v="16"/>
    <x v="13"/>
    <x v="1"/>
    <n v="2"/>
  </r>
  <r>
    <x v="0"/>
    <x v="3"/>
    <x v="1"/>
    <x v="14"/>
    <x v="16"/>
    <x v="13"/>
    <x v="12"/>
    <n v="1"/>
  </r>
  <r>
    <x v="0"/>
    <x v="3"/>
    <x v="1"/>
    <x v="14"/>
    <x v="16"/>
    <x v="2"/>
    <x v="1"/>
    <n v="1"/>
  </r>
  <r>
    <x v="0"/>
    <x v="3"/>
    <x v="1"/>
    <x v="14"/>
    <x v="16"/>
    <x v="10"/>
    <x v="10"/>
    <n v="1"/>
  </r>
  <r>
    <x v="0"/>
    <x v="3"/>
    <x v="1"/>
    <x v="14"/>
    <x v="16"/>
    <x v="10"/>
    <x v="1"/>
    <n v="1"/>
  </r>
  <r>
    <x v="0"/>
    <x v="3"/>
    <x v="1"/>
    <x v="14"/>
    <x v="16"/>
    <x v="7"/>
    <x v="3"/>
    <n v="1"/>
  </r>
  <r>
    <x v="0"/>
    <x v="3"/>
    <x v="1"/>
    <x v="14"/>
    <x v="18"/>
    <x v="5"/>
    <x v="13"/>
    <n v="1"/>
  </r>
  <r>
    <x v="0"/>
    <x v="3"/>
    <x v="1"/>
    <x v="14"/>
    <x v="18"/>
    <x v="12"/>
    <x v="3"/>
    <n v="1"/>
  </r>
  <r>
    <x v="0"/>
    <x v="3"/>
    <x v="1"/>
    <x v="14"/>
    <x v="18"/>
    <x v="1"/>
    <x v="0"/>
    <n v="1"/>
  </r>
  <r>
    <x v="0"/>
    <x v="3"/>
    <x v="1"/>
    <x v="18"/>
    <x v="6"/>
    <x v="0"/>
    <x v="19"/>
    <n v="1"/>
  </r>
  <r>
    <x v="0"/>
    <x v="3"/>
    <x v="1"/>
    <x v="15"/>
    <x v="11"/>
    <x v="0"/>
    <x v="13"/>
    <n v="1"/>
  </r>
  <r>
    <x v="0"/>
    <x v="3"/>
    <x v="1"/>
    <x v="17"/>
    <x v="11"/>
    <x v="0"/>
    <x v="13"/>
    <n v="1"/>
  </r>
  <r>
    <x v="0"/>
    <x v="3"/>
    <x v="1"/>
    <x v="17"/>
    <x v="11"/>
    <x v="0"/>
    <x v="19"/>
    <n v="1"/>
  </r>
  <r>
    <x v="0"/>
    <x v="3"/>
    <x v="1"/>
    <x v="19"/>
    <x v="7"/>
    <x v="18"/>
    <x v="1"/>
    <n v="11"/>
  </r>
  <r>
    <x v="0"/>
    <x v="3"/>
    <x v="1"/>
    <x v="19"/>
    <x v="7"/>
    <x v="18"/>
    <x v="12"/>
    <n v="12"/>
  </r>
  <r>
    <x v="0"/>
    <x v="3"/>
    <x v="1"/>
    <x v="19"/>
    <x v="7"/>
    <x v="18"/>
    <x v="0"/>
    <n v="1"/>
  </r>
  <r>
    <x v="0"/>
    <x v="3"/>
    <x v="1"/>
    <x v="19"/>
    <x v="7"/>
    <x v="19"/>
    <x v="6"/>
    <n v="10"/>
  </r>
  <r>
    <x v="0"/>
    <x v="3"/>
    <x v="1"/>
    <x v="19"/>
    <x v="7"/>
    <x v="19"/>
    <x v="10"/>
    <n v="16"/>
  </r>
  <r>
    <x v="0"/>
    <x v="3"/>
    <x v="1"/>
    <x v="19"/>
    <x v="7"/>
    <x v="19"/>
    <x v="0"/>
    <n v="1"/>
  </r>
  <r>
    <x v="0"/>
    <x v="3"/>
    <x v="1"/>
    <x v="19"/>
    <x v="7"/>
    <x v="16"/>
    <x v="7"/>
    <n v="5"/>
  </r>
  <r>
    <x v="0"/>
    <x v="3"/>
    <x v="1"/>
    <x v="19"/>
    <x v="7"/>
    <x v="16"/>
    <x v="11"/>
    <n v="1"/>
  </r>
  <r>
    <x v="0"/>
    <x v="3"/>
    <x v="1"/>
    <x v="19"/>
    <x v="7"/>
    <x v="15"/>
    <x v="2"/>
    <n v="2"/>
  </r>
  <r>
    <x v="0"/>
    <x v="3"/>
    <x v="1"/>
    <x v="19"/>
    <x v="7"/>
    <x v="15"/>
    <x v="13"/>
    <n v="1"/>
  </r>
  <r>
    <x v="0"/>
    <x v="3"/>
    <x v="1"/>
    <x v="19"/>
    <x v="7"/>
    <x v="15"/>
    <x v="11"/>
    <n v="1"/>
  </r>
  <r>
    <x v="0"/>
    <x v="3"/>
    <x v="1"/>
    <x v="19"/>
    <x v="7"/>
    <x v="15"/>
    <x v="14"/>
    <n v="1"/>
  </r>
  <r>
    <x v="0"/>
    <x v="3"/>
    <x v="1"/>
    <x v="19"/>
    <x v="7"/>
    <x v="14"/>
    <x v="4"/>
    <n v="2"/>
  </r>
  <r>
    <x v="0"/>
    <x v="3"/>
    <x v="1"/>
    <x v="19"/>
    <x v="7"/>
    <x v="14"/>
    <x v="2"/>
    <n v="1"/>
  </r>
  <r>
    <x v="0"/>
    <x v="3"/>
    <x v="1"/>
    <x v="19"/>
    <x v="7"/>
    <x v="14"/>
    <x v="13"/>
    <n v="1"/>
  </r>
  <r>
    <x v="0"/>
    <x v="3"/>
    <x v="1"/>
    <x v="19"/>
    <x v="7"/>
    <x v="14"/>
    <x v="14"/>
    <n v="1"/>
  </r>
  <r>
    <x v="0"/>
    <x v="3"/>
    <x v="1"/>
    <x v="19"/>
    <x v="7"/>
    <x v="13"/>
    <x v="9"/>
    <n v="8"/>
  </r>
  <r>
    <x v="0"/>
    <x v="3"/>
    <x v="1"/>
    <x v="19"/>
    <x v="7"/>
    <x v="13"/>
    <x v="3"/>
    <n v="1"/>
  </r>
  <r>
    <x v="0"/>
    <x v="3"/>
    <x v="1"/>
    <x v="19"/>
    <x v="7"/>
    <x v="13"/>
    <x v="4"/>
    <n v="4"/>
  </r>
  <r>
    <x v="0"/>
    <x v="3"/>
    <x v="1"/>
    <x v="19"/>
    <x v="7"/>
    <x v="13"/>
    <x v="5"/>
    <n v="3"/>
  </r>
  <r>
    <x v="0"/>
    <x v="3"/>
    <x v="1"/>
    <x v="19"/>
    <x v="7"/>
    <x v="13"/>
    <x v="2"/>
    <n v="2"/>
  </r>
  <r>
    <x v="0"/>
    <x v="3"/>
    <x v="1"/>
    <x v="19"/>
    <x v="7"/>
    <x v="13"/>
    <x v="13"/>
    <n v="1"/>
  </r>
  <r>
    <x v="0"/>
    <x v="3"/>
    <x v="1"/>
    <x v="19"/>
    <x v="7"/>
    <x v="2"/>
    <x v="12"/>
    <n v="5"/>
  </r>
  <r>
    <x v="0"/>
    <x v="3"/>
    <x v="1"/>
    <x v="19"/>
    <x v="7"/>
    <x v="2"/>
    <x v="9"/>
    <n v="6"/>
  </r>
  <r>
    <x v="0"/>
    <x v="3"/>
    <x v="1"/>
    <x v="19"/>
    <x v="7"/>
    <x v="2"/>
    <x v="3"/>
    <n v="2"/>
  </r>
  <r>
    <x v="0"/>
    <x v="3"/>
    <x v="1"/>
    <x v="19"/>
    <x v="7"/>
    <x v="2"/>
    <x v="4"/>
    <n v="1"/>
  </r>
  <r>
    <x v="0"/>
    <x v="3"/>
    <x v="1"/>
    <x v="19"/>
    <x v="7"/>
    <x v="10"/>
    <x v="1"/>
    <n v="10"/>
  </r>
  <r>
    <x v="0"/>
    <x v="3"/>
    <x v="1"/>
    <x v="19"/>
    <x v="7"/>
    <x v="10"/>
    <x v="12"/>
    <n v="4"/>
  </r>
  <r>
    <x v="0"/>
    <x v="3"/>
    <x v="1"/>
    <x v="19"/>
    <x v="7"/>
    <x v="10"/>
    <x v="9"/>
    <n v="2"/>
  </r>
  <r>
    <x v="0"/>
    <x v="3"/>
    <x v="1"/>
    <x v="19"/>
    <x v="7"/>
    <x v="10"/>
    <x v="3"/>
    <n v="4"/>
  </r>
  <r>
    <x v="0"/>
    <x v="3"/>
    <x v="1"/>
    <x v="19"/>
    <x v="7"/>
    <x v="3"/>
    <x v="1"/>
    <n v="2"/>
  </r>
  <r>
    <x v="0"/>
    <x v="3"/>
    <x v="1"/>
    <x v="19"/>
    <x v="7"/>
    <x v="3"/>
    <x v="12"/>
    <n v="3"/>
  </r>
  <r>
    <x v="0"/>
    <x v="3"/>
    <x v="1"/>
    <x v="19"/>
    <x v="7"/>
    <x v="3"/>
    <x v="9"/>
    <n v="6"/>
  </r>
  <r>
    <x v="0"/>
    <x v="3"/>
    <x v="1"/>
    <x v="19"/>
    <x v="7"/>
    <x v="4"/>
    <x v="10"/>
    <n v="2"/>
  </r>
  <r>
    <x v="0"/>
    <x v="3"/>
    <x v="1"/>
    <x v="19"/>
    <x v="7"/>
    <x v="4"/>
    <x v="1"/>
    <n v="1"/>
  </r>
  <r>
    <x v="0"/>
    <x v="3"/>
    <x v="1"/>
    <x v="19"/>
    <x v="7"/>
    <x v="4"/>
    <x v="12"/>
    <n v="3"/>
  </r>
  <r>
    <x v="0"/>
    <x v="3"/>
    <x v="1"/>
    <x v="19"/>
    <x v="7"/>
    <x v="4"/>
    <x v="0"/>
    <n v="1"/>
  </r>
  <r>
    <x v="0"/>
    <x v="3"/>
    <x v="1"/>
    <x v="19"/>
    <x v="7"/>
    <x v="5"/>
    <x v="10"/>
    <n v="1"/>
  </r>
  <r>
    <x v="0"/>
    <x v="3"/>
    <x v="1"/>
    <x v="19"/>
    <x v="7"/>
    <x v="5"/>
    <x v="1"/>
    <n v="5"/>
  </r>
  <r>
    <x v="0"/>
    <x v="3"/>
    <x v="1"/>
    <x v="19"/>
    <x v="7"/>
    <x v="11"/>
    <x v="1"/>
    <n v="1"/>
  </r>
  <r>
    <x v="0"/>
    <x v="1"/>
    <x v="2"/>
    <x v="13"/>
    <x v="9"/>
    <x v="0"/>
    <x v="9"/>
    <n v="1"/>
  </r>
  <r>
    <x v="0"/>
    <x v="1"/>
    <x v="2"/>
    <x v="13"/>
    <x v="9"/>
    <x v="0"/>
    <x v="3"/>
    <n v="3"/>
  </r>
  <r>
    <x v="0"/>
    <x v="1"/>
    <x v="2"/>
    <x v="13"/>
    <x v="9"/>
    <x v="0"/>
    <x v="4"/>
    <n v="3"/>
  </r>
  <r>
    <x v="0"/>
    <x v="1"/>
    <x v="2"/>
    <x v="13"/>
    <x v="11"/>
    <x v="0"/>
    <x v="19"/>
    <n v="1"/>
  </r>
  <r>
    <x v="0"/>
    <x v="1"/>
    <x v="2"/>
    <x v="13"/>
    <x v="18"/>
    <x v="0"/>
    <x v="13"/>
    <n v="1"/>
  </r>
  <r>
    <x v="0"/>
    <x v="1"/>
    <x v="2"/>
    <x v="13"/>
    <x v="18"/>
    <x v="0"/>
    <x v="11"/>
    <n v="3"/>
  </r>
  <r>
    <x v="0"/>
    <x v="1"/>
    <x v="2"/>
    <x v="13"/>
    <x v="18"/>
    <x v="0"/>
    <x v="14"/>
    <n v="9"/>
  </r>
  <r>
    <x v="0"/>
    <x v="1"/>
    <x v="2"/>
    <x v="13"/>
    <x v="18"/>
    <x v="0"/>
    <x v="19"/>
    <n v="2"/>
  </r>
  <r>
    <x v="0"/>
    <x v="1"/>
    <x v="2"/>
    <x v="14"/>
    <x v="12"/>
    <x v="0"/>
    <x v="5"/>
    <n v="2"/>
  </r>
  <r>
    <x v="0"/>
    <x v="1"/>
    <x v="2"/>
    <x v="14"/>
    <x v="12"/>
    <x v="0"/>
    <x v="2"/>
    <n v="1"/>
  </r>
  <r>
    <x v="0"/>
    <x v="1"/>
    <x v="2"/>
    <x v="14"/>
    <x v="4"/>
    <x v="0"/>
    <x v="1"/>
    <n v="4"/>
  </r>
  <r>
    <x v="0"/>
    <x v="1"/>
    <x v="2"/>
    <x v="14"/>
    <x v="4"/>
    <x v="0"/>
    <x v="12"/>
    <n v="16"/>
  </r>
  <r>
    <x v="0"/>
    <x v="1"/>
    <x v="2"/>
    <x v="14"/>
    <x v="4"/>
    <x v="0"/>
    <x v="9"/>
    <n v="20"/>
  </r>
  <r>
    <x v="0"/>
    <x v="1"/>
    <x v="2"/>
    <x v="14"/>
    <x v="14"/>
    <x v="0"/>
    <x v="14"/>
    <n v="1"/>
  </r>
  <r>
    <x v="0"/>
    <x v="1"/>
    <x v="2"/>
    <x v="14"/>
    <x v="10"/>
    <x v="0"/>
    <x v="9"/>
    <n v="3"/>
  </r>
  <r>
    <x v="0"/>
    <x v="1"/>
    <x v="2"/>
    <x v="14"/>
    <x v="10"/>
    <x v="0"/>
    <x v="0"/>
    <n v="2"/>
  </r>
  <r>
    <x v="0"/>
    <x v="1"/>
    <x v="2"/>
    <x v="18"/>
    <x v="8"/>
    <x v="0"/>
    <x v="4"/>
    <n v="1"/>
  </r>
  <r>
    <x v="0"/>
    <x v="1"/>
    <x v="2"/>
    <x v="18"/>
    <x v="8"/>
    <x v="0"/>
    <x v="2"/>
    <n v="1"/>
  </r>
  <r>
    <x v="0"/>
    <x v="1"/>
    <x v="2"/>
    <x v="18"/>
    <x v="7"/>
    <x v="0"/>
    <x v="0"/>
    <n v="1"/>
  </r>
  <r>
    <x v="0"/>
    <x v="1"/>
    <x v="2"/>
    <x v="18"/>
    <x v="11"/>
    <x v="0"/>
    <x v="19"/>
    <n v="4"/>
  </r>
  <r>
    <x v="0"/>
    <x v="1"/>
    <x v="2"/>
    <x v="18"/>
    <x v="18"/>
    <x v="0"/>
    <x v="5"/>
    <n v="1"/>
  </r>
  <r>
    <x v="0"/>
    <x v="1"/>
    <x v="2"/>
    <x v="18"/>
    <x v="18"/>
    <x v="0"/>
    <x v="14"/>
    <n v="3"/>
  </r>
  <r>
    <x v="0"/>
    <x v="1"/>
    <x v="2"/>
    <x v="18"/>
    <x v="18"/>
    <x v="0"/>
    <x v="19"/>
    <n v="2"/>
  </r>
  <r>
    <x v="0"/>
    <x v="1"/>
    <x v="2"/>
    <x v="15"/>
    <x v="16"/>
    <x v="0"/>
    <x v="13"/>
    <n v="1"/>
  </r>
  <r>
    <x v="0"/>
    <x v="1"/>
    <x v="2"/>
    <x v="15"/>
    <x v="1"/>
    <x v="0"/>
    <x v="12"/>
    <n v="1"/>
  </r>
  <r>
    <x v="0"/>
    <x v="1"/>
    <x v="2"/>
    <x v="15"/>
    <x v="1"/>
    <x v="0"/>
    <x v="9"/>
    <n v="3"/>
  </r>
  <r>
    <x v="0"/>
    <x v="1"/>
    <x v="2"/>
    <x v="15"/>
    <x v="1"/>
    <x v="0"/>
    <x v="3"/>
    <n v="3"/>
  </r>
  <r>
    <x v="0"/>
    <x v="1"/>
    <x v="2"/>
    <x v="15"/>
    <x v="1"/>
    <x v="0"/>
    <x v="4"/>
    <n v="2"/>
  </r>
  <r>
    <x v="0"/>
    <x v="1"/>
    <x v="2"/>
    <x v="15"/>
    <x v="5"/>
    <x v="0"/>
    <x v="18"/>
    <n v="1"/>
  </r>
  <r>
    <x v="0"/>
    <x v="1"/>
    <x v="2"/>
    <x v="15"/>
    <x v="7"/>
    <x v="0"/>
    <x v="19"/>
    <n v="1"/>
  </r>
  <r>
    <x v="0"/>
    <x v="1"/>
    <x v="2"/>
    <x v="16"/>
    <x v="14"/>
    <x v="0"/>
    <x v="5"/>
    <n v="2"/>
  </r>
  <r>
    <x v="0"/>
    <x v="1"/>
    <x v="2"/>
    <x v="16"/>
    <x v="14"/>
    <x v="0"/>
    <x v="2"/>
    <n v="1"/>
  </r>
  <r>
    <x v="0"/>
    <x v="1"/>
    <x v="2"/>
    <x v="17"/>
    <x v="3"/>
    <x v="0"/>
    <x v="17"/>
    <n v="1"/>
  </r>
  <r>
    <x v="0"/>
    <x v="1"/>
    <x v="2"/>
    <x v="17"/>
    <x v="7"/>
    <x v="0"/>
    <x v="19"/>
    <n v="1"/>
  </r>
  <r>
    <x v="0"/>
    <x v="1"/>
    <x v="2"/>
    <x v="17"/>
    <x v="11"/>
    <x v="0"/>
    <x v="0"/>
    <n v="1"/>
  </r>
  <r>
    <x v="0"/>
    <x v="1"/>
    <x v="2"/>
    <x v="19"/>
    <x v="10"/>
    <x v="7"/>
    <x v="14"/>
    <n v="1"/>
  </r>
  <r>
    <x v="0"/>
    <x v="1"/>
    <x v="2"/>
    <x v="19"/>
    <x v="10"/>
    <x v="8"/>
    <x v="5"/>
    <n v="4"/>
  </r>
  <r>
    <x v="0"/>
    <x v="1"/>
    <x v="2"/>
    <x v="19"/>
    <x v="10"/>
    <x v="8"/>
    <x v="13"/>
    <n v="1"/>
  </r>
  <r>
    <x v="0"/>
    <x v="1"/>
    <x v="2"/>
    <x v="19"/>
    <x v="10"/>
    <x v="8"/>
    <x v="14"/>
    <n v="1"/>
  </r>
  <r>
    <x v="0"/>
    <x v="1"/>
    <x v="2"/>
    <x v="19"/>
    <x v="10"/>
    <x v="0"/>
    <x v="1"/>
    <n v="237"/>
  </r>
  <r>
    <x v="0"/>
    <x v="1"/>
    <x v="2"/>
    <x v="19"/>
    <x v="10"/>
    <x v="0"/>
    <x v="0"/>
    <n v="2"/>
  </r>
  <r>
    <x v="0"/>
    <x v="1"/>
    <x v="2"/>
    <x v="19"/>
    <x v="10"/>
    <x v="0"/>
    <x v="18"/>
    <n v="1"/>
  </r>
  <r>
    <x v="0"/>
    <x v="1"/>
    <x v="3"/>
    <x v="0"/>
    <x v="13"/>
    <x v="0"/>
    <x v="1"/>
    <n v="6"/>
  </r>
  <r>
    <x v="0"/>
    <x v="1"/>
    <x v="3"/>
    <x v="0"/>
    <x v="13"/>
    <x v="0"/>
    <x v="12"/>
    <n v="5"/>
  </r>
  <r>
    <x v="0"/>
    <x v="1"/>
    <x v="3"/>
    <x v="0"/>
    <x v="13"/>
    <x v="0"/>
    <x v="9"/>
    <n v="2"/>
  </r>
  <r>
    <x v="0"/>
    <x v="1"/>
    <x v="3"/>
    <x v="0"/>
    <x v="13"/>
    <x v="0"/>
    <x v="3"/>
    <n v="2"/>
  </r>
  <r>
    <x v="0"/>
    <x v="1"/>
    <x v="3"/>
    <x v="0"/>
    <x v="14"/>
    <x v="6"/>
    <x v="12"/>
    <n v="1"/>
  </r>
  <r>
    <x v="0"/>
    <x v="1"/>
    <x v="3"/>
    <x v="0"/>
    <x v="14"/>
    <x v="9"/>
    <x v="12"/>
    <n v="1"/>
  </r>
  <r>
    <x v="0"/>
    <x v="1"/>
    <x v="3"/>
    <x v="0"/>
    <x v="14"/>
    <x v="9"/>
    <x v="3"/>
    <n v="2"/>
  </r>
  <r>
    <x v="0"/>
    <x v="1"/>
    <x v="3"/>
    <x v="0"/>
    <x v="14"/>
    <x v="1"/>
    <x v="1"/>
    <n v="6"/>
  </r>
  <r>
    <x v="0"/>
    <x v="1"/>
    <x v="3"/>
    <x v="0"/>
    <x v="14"/>
    <x v="1"/>
    <x v="12"/>
    <n v="1"/>
  </r>
  <r>
    <x v="0"/>
    <x v="1"/>
    <x v="3"/>
    <x v="0"/>
    <x v="14"/>
    <x v="0"/>
    <x v="1"/>
    <n v="5"/>
  </r>
  <r>
    <x v="0"/>
    <x v="1"/>
    <x v="3"/>
    <x v="0"/>
    <x v="14"/>
    <x v="0"/>
    <x v="12"/>
    <n v="4"/>
  </r>
  <r>
    <x v="0"/>
    <x v="1"/>
    <x v="3"/>
    <x v="0"/>
    <x v="7"/>
    <x v="1"/>
    <x v="10"/>
    <n v="1"/>
  </r>
  <r>
    <x v="0"/>
    <x v="1"/>
    <x v="3"/>
    <x v="0"/>
    <x v="7"/>
    <x v="0"/>
    <x v="1"/>
    <n v="1"/>
  </r>
  <r>
    <x v="0"/>
    <x v="1"/>
    <x v="3"/>
    <x v="0"/>
    <x v="17"/>
    <x v="0"/>
    <x v="19"/>
    <n v="3"/>
  </r>
  <r>
    <x v="0"/>
    <x v="1"/>
    <x v="3"/>
    <x v="0"/>
    <x v="19"/>
    <x v="6"/>
    <x v="7"/>
    <n v="2"/>
  </r>
  <r>
    <x v="0"/>
    <x v="1"/>
    <x v="3"/>
    <x v="0"/>
    <x v="19"/>
    <x v="6"/>
    <x v="6"/>
    <n v="1"/>
  </r>
  <r>
    <x v="0"/>
    <x v="1"/>
    <x v="3"/>
    <x v="0"/>
    <x v="19"/>
    <x v="9"/>
    <x v="7"/>
    <n v="25"/>
  </r>
  <r>
    <x v="0"/>
    <x v="1"/>
    <x v="3"/>
    <x v="0"/>
    <x v="19"/>
    <x v="12"/>
    <x v="7"/>
    <n v="11"/>
  </r>
  <r>
    <x v="0"/>
    <x v="1"/>
    <x v="3"/>
    <x v="0"/>
    <x v="19"/>
    <x v="12"/>
    <x v="6"/>
    <n v="1"/>
  </r>
  <r>
    <x v="0"/>
    <x v="1"/>
    <x v="3"/>
    <x v="0"/>
    <x v="19"/>
    <x v="1"/>
    <x v="7"/>
    <n v="2"/>
  </r>
  <r>
    <x v="0"/>
    <x v="1"/>
    <x v="3"/>
    <x v="0"/>
    <x v="19"/>
    <x v="1"/>
    <x v="6"/>
    <n v="4"/>
  </r>
  <r>
    <x v="0"/>
    <x v="1"/>
    <x v="3"/>
    <x v="1"/>
    <x v="0"/>
    <x v="6"/>
    <x v="9"/>
    <n v="1"/>
  </r>
  <r>
    <x v="0"/>
    <x v="1"/>
    <x v="3"/>
    <x v="1"/>
    <x v="0"/>
    <x v="9"/>
    <x v="1"/>
    <n v="1"/>
  </r>
  <r>
    <x v="0"/>
    <x v="1"/>
    <x v="3"/>
    <x v="1"/>
    <x v="0"/>
    <x v="12"/>
    <x v="12"/>
    <n v="1"/>
  </r>
  <r>
    <x v="0"/>
    <x v="1"/>
    <x v="3"/>
    <x v="1"/>
    <x v="0"/>
    <x v="1"/>
    <x v="10"/>
    <n v="4"/>
  </r>
  <r>
    <x v="0"/>
    <x v="1"/>
    <x v="3"/>
    <x v="1"/>
    <x v="0"/>
    <x v="0"/>
    <x v="10"/>
    <n v="13"/>
  </r>
  <r>
    <x v="0"/>
    <x v="1"/>
    <x v="3"/>
    <x v="1"/>
    <x v="0"/>
    <x v="0"/>
    <x v="1"/>
    <n v="11"/>
  </r>
  <r>
    <x v="0"/>
    <x v="1"/>
    <x v="3"/>
    <x v="1"/>
    <x v="16"/>
    <x v="2"/>
    <x v="17"/>
    <n v="1"/>
  </r>
  <r>
    <x v="0"/>
    <x v="1"/>
    <x v="3"/>
    <x v="1"/>
    <x v="16"/>
    <x v="6"/>
    <x v="12"/>
    <n v="1"/>
  </r>
  <r>
    <x v="0"/>
    <x v="1"/>
    <x v="3"/>
    <x v="1"/>
    <x v="16"/>
    <x v="6"/>
    <x v="3"/>
    <n v="1"/>
  </r>
  <r>
    <x v="0"/>
    <x v="1"/>
    <x v="3"/>
    <x v="1"/>
    <x v="16"/>
    <x v="9"/>
    <x v="12"/>
    <n v="1"/>
  </r>
  <r>
    <x v="0"/>
    <x v="1"/>
    <x v="3"/>
    <x v="1"/>
    <x v="16"/>
    <x v="12"/>
    <x v="9"/>
    <n v="1"/>
  </r>
  <r>
    <x v="0"/>
    <x v="1"/>
    <x v="3"/>
    <x v="1"/>
    <x v="16"/>
    <x v="1"/>
    <x v="1"/>
    <n v="1"/>
  </r>
  <r>
    <x v="0"/>
    <x v="1"/>
    <x v="3"/>
    <x v="1"/>
    <x v="16"/>
    <x v="1"/>
    <x v="12"/>
    <n v="1"/>
  </r>
  <r>
    <x v="0"/>
    <x v="1"/>
    <x v="3"/>
    <x v="1"/>
    <x v="16"/>
    <x v="0"/>
    <x v="10"/>
    <n v="10"/>
  </r>
  <r>
    <x v="0"/>
    <x v="1"/>
    <x v="3"/>
    <x v="1"/>
    <x v="16"/>
    <x v="0"/>
    <x v="1"/>
    <n v="14"/>
  </r>
  <r>
    <x v="0"/>
    <x v="1"/>
    <x v="3"/>
    <x v="1"/>
    <x v="16"/>
    <x v="0"/>
    <x v="12"/>
    <n v="8"/>
  </r>
  <r>
    <x v="0"/>
    <x v="1"/>
    <x v="3"/>
    <x v="1"/>
    <x v="1"/>
    <x v="0"/>
    <x v="6"/>
    <n v="2"/>
  </r>
  <r>
    <x v="0"/>
    <x v="1"/>
    <x v="3"/>
    <x v="1"/>
    <x v="8"/>
    <x v="8"/>
    <x v="10"/>
    <n v="1"/>
  </r>
  <r>
    <x v="0"/>
    <x v="1"/>
    <x v="3"/>
    <x v="1"/>
    <x v="8"/>
    <x v="8"/>
    <x v="1"/>
    <n v="1"/>
  </r>
  <r>
    <x v="0"/>
    <x v="1"/>
    <x v="3"/>
    <x v="1"/>
    <x v="8"/>
    <x v="0"/>
    <x v="11"/>
    <n v="1"/>
  </r>
  <r>
    <x v="0"/>
    <x v="1"/>
    <x v="3"/>
    <x v="1"/>
    <x v="3"/>
    <x v="13"/>
    <x v="1"/>
    <n v="1"/>
  </r>
  <r>
    <x v="0"/>
    <x v="1"/>
    <x v="3"/>
    <x v="1"/>
    <x v="3"/>
    <x v="13"/>
    <x v="12"/>
    <n v="2"/>
  </r>
  <r>
    <x v="0"/>
    <x v="1"/>
    <x v="3"/>
    <x v="1"/>
    <x v="3"/>
    <x v="13"/>
    <x v="3"/>
    <n v="1"/>
  </r>
  <r>
    <x v="0"/>
    <x v="1"/>
    <x v="3"/>
    <x v="1"/>
    <x v="3"/>
    <x v="2"/>
    <x v="6"/>
    <n v="3"/>
  </r>
  <r>
    <x v="0"/>
    <x v="1"/>
    <x v="3"/>
    <x v="1"/>
    <x v="3"/>
    <x v="2"/>
    <x v="10"/>
    <n v="1"/>
  </r>
  <r>
    <x v="0"/>
    <x v="1"/>
    <x v="3"/>
    <x v="1"/>
    <x v="3"/>
    <x v="10"/>
    <x v="6"/>
    <n v="4"/>
  </r>
  <r>
    <x v="0"/>
    <x v="1"/>
    <x v="3"/>
    <x v="1"/>
    <x v="3"/>
    <x v="10"/>
    <x v="1"/>
    <n v="2"/>
  </r>
  <r>
    <x v="0"/>
    <x v="1"/>
    <x v="3"/>
    <x v="1"/>
    <x v="3"/>
    <x v="3"/>
    <x v="7"/>
    <n v="7"/>
  </r>
  <r>
    <x v="0"/>
    <x v="1"/>
    <x v="3"/>
    <x v="1"/>
    <x v="3"/>
    <x v="3"/>
    <x v="6"/>
    <n v="8"/>
  </r>
  <r>
    <x v="0"/>
    <x v="1"/>
    <x v="3"/>
    <x v="1"/>
    <x v="3"/>
    <x v="3"/>
    <x v="10"/>
    <n v="1"/>
  </r>
  <r>
    <x v="0"/>
    <x v="1"/>
    <x v="3"/>
    <x v="1"/>
    <x v="3"/>
    <x v="3"/>
    <x v="1"/>
    <n v="3"/>
  </r>
  <r>
    <x v="0"/>
    <x v="1"/>
    <x v="3"/>
    <x v="1"/>
    <x v="3"/>
    <x v="4"/>
    <x v="7"/>
    <n v="9"/>
  </r>
  <r>
    <x v="0"/>
    <x v="1"/>
    <x v="3"/>
    <x v="1"/>
    <x v="3"/>
    <x v="4"/>
    <x v="6"/>
    <n v="7"/>
  </r>
  <r>
    <x v="0"/>
    <x v="1"/>
    <x v="3"/>
    <x v="1"/>
    <x v="3"/>
    <x v="4"/>
    <x v="10"/>
    <n v="2"/>
  </r>
  <r>
    <x v="0"/>
    <x v="1"/>
    <x v="3"/>
    <x v="1"/>
    <x v="3"/>
    <x v="5"/>
    <x v="7"/>
    <n v="9"/>
  </r>
  <r>
    <x v="0"/>
    <x v="1"/>
    <x v="3"/>
    <x v="1"/>
    <x v="3"/>
    <x v="5"/>
    <x v="6"/>
    <n v="5"/>
  </r>
  <r>
    <x v="0"/>
    <x v="1"/>
    <x v="3"/>
    <x v="1"/>
    <x v="3"/>
    <x v="5"/>
    <x v="10"/>
    <n v="3"/>
  </r>
  <r>
    <x v="0"/>
    <x v="1"/>
    <x v="3"/>
    <x v="1"/>
    <x v="3"/>
    <x v="11"/>
    <x v="7"/>
    <n v="7"/>
  </r>
  <r>
    <x v="0"/>
    <x v="1"/>
    <x v="3"/>
    <x v="1"/>
    <x v="3"/>
    <x v="11"/>
    <x v="6"/>
    <n v="8"/>
  </r>
  <r>
    <x v="0"/>
    <x v="1"/>
    <x v="3"/>
    <x v="1"/>
    <x v="3"/>
    <x v="6"/>
    <x v="7"/>
    <n v="1"/>
  </r>
  <r>
    <x v="0"/>
    <x v="1"/>
    <x v="3"/>
    <x v="1"/>
    <x v="3"/>
    <x v="6"/>
    <x v="6"/>
    <n v="4"/>
  </r>
  <r>
    <x v="0"/>
    <x v="1"/>
    <x v="3"/>
    <x v="1"/>
    <x v="3"/>
    <x v="7"/>
    <x v="10"/>
    <n v="1"/>
  </r>
  <r>
    <x v="0"/>
    <x v="1"/>
    <x v="3"/>
    <x v="1"/>
    <x v="3"/>
    <x v="8"/>
    <x v="10"/>
    <n v="1"/>
  </r>
  <r>
    <x v="0"/>
    <x v="1"/>
    <x v="3"/>
    <x v="1"/>
    <x v="7"/>
    <x v="0"/>
    <x v="3"/>
    <n v="1"/>
  </r>
  <r>
    <x v="0"/>
    <x v="1"/>
    <x v="3"/>
    <x v="1"/>
    <x v="7"/>
    <x v="0"/>
    <x v="4"/>
    <n v="1"/>
  </r>
  <r>
    <x v="0"/>
    <x v="1"/>
    <x v="3"/>
    <x v="1"/>
    <x v="7"/>
    <x v="0"/>
    <x v="5"/>
    <n v="1"/>
  </r>
  <r>
    <x v="0"/>
    <x v="1"/>
    <x v="3"/>
    <x v="1"/>
    <x v="9"/>
    <x v="0"/>
    <x v="3"/>
    <n v="3"/>
  </r>
  <r>
    <x v="0"/>
    <x v="1"/>
    <x v="3"/>
    <x v="1"/>
    <x v="9"/>
    <x v="0"/>
    <x v="4"/>
    <n v="4"/>
  </r>
  <r>
    <x v="0"/>
    <x v="1"/>
    <x v="3"/>
    <x v="1"/>
    <x v="9"/>
    <x v="0"/>
    <x v="5"/>
    <n v="1"/>
  </r>
  <r>
    <x v="0"/>
    <x v="1"/>
    <x v="3"/>
    <x v="1"/>
    <x v="9"/>
    <x v="0"/>
    <x v="2"/>
    <n v="2"/>
  </r>
  <r>
    <x v="0"/>
    <x v="1"/>
    <x v="3"/>
    <x v="1"/>
    <x v="18"/>
    <x v="12"/>
    <x v="6"/>
    <n v="1"/>
  </r>
  <r>
    <x v="0"/>
    <x v="1"/>
    <x v="3"/>
    <x v="2"/>
    <x v="5"/>
    <x v="0"/>
    <x v="14"/>
    <n v="1"/>
  </r>
  <r>
    <x v="0"/>
    <x v="1"/>
    <x v="3"/>
    <x v="2"/>
    <x v="13"/>
    <x v="7"/>
    <x v="1"/>
    <n v="2"/>
  </r>
  <r>
    <x v="0"/>
    <x v="1"/>
    <x v="3"/>
    <x v="2"/>
    <x v="13"/>
    <x v="1"/>
    <x v="5"/>
    <n v="1"/>
  </r>
  <r>
    <x v="0"/>
    <x v="1"/>
    <x v="3"/>
    <x v="2"/>
    <x v="13"/>
    <x v="8"/>
    <x v="1"/>
    <n v="1"/>
  </r>
  <r>
    <x v="0"/>
    <x v="1"/>
    <x v="3"/>
    <x v="2"/>
    <x v="11"/>
    <x v="0"/>
    <x v="2"/>
    <n v="1"/>
  </r>
  <r>
    <x v="0"/>
    <x v="1"/>
    <x v="3"/>
    <x v="3"/>
    <x v="4"/>
    <x v="0"/>
    <x v="19"/>
    <n v="1"/>
  </r>
  <r>
    <x v="0"/>
    <x v="1"/>
    <x v="3"/>
    <x v="3"/>
    <x v="16"/>
    <x v="11"/>
    <x v="1"/>
    <n v="1"/>
  </r>
  <r>
    <x v="0"/>
    <x v="1"/>
    <x v="3"/>
    <x v="3"/>
    <x v="16"/>
    <x v="6"/>
    <x v="6"/>
    <n v="1"/>
  </r>
  <r>
    <x v="0"/>
    <x v="1"/>
    <x v="3"/>
    <x v="3"/>
    <x v="16"/>
    <x v="9"/>
    <x v="7"/>
    <n v="1"/>
  </r>
  <r>
    <x v="0"/>
    <x v="1"/>
    <x v="3"/>
    <x v="3"/>
    <x v="16"/>
    <x v="9"/>
    <x v="6"/>
    <n v="3"/>
  </r>
  <r>
    <x v="0"/>
    <x v="1"/>
    <x v="3"/>
    <x v="3"/>
    <x v="16"/>
    <x v="12"/>
    <x v="7"/>
    <n v="3"/>
  </r>
  <r>
    <x v="0"/>
    <x v="1"/>
    <x v="3"/>
    <x v="3"/>
    <x v="16"/>
    <x v="12"/>
    <x v="6"/>
    <n v="2"/>
  </r>
  <r>
    <x v="0"/>
    <x v="1"/>
    <x v="3"/>
    <x v="3"/>
    <x v="16"/>
    <x v="12"/>
    <x v="10"/>
    <n v="1"/>
  </r>
  <r>
    <x v="0"/>
    <x v="1"/>
    <x v="3"/>
    <x v="3"/>
    <x v="16"/>
    <x v="7"/>
    <x v="1"/>
    <n v="1"/>
  </r>
  <r>
    <x v="0"/>
    <x v="1"/>
    <x v="3"/>
    <x v="3"/>
    <x v="16"/>
    <x v="1"/>
    <x v="6"/>
    <n v="11"/>
  </r>
  <r>
    <x v="0"/>
    <x v="1"/>
    <x v="3"/>
    <x v="3"/>
    <x v="16"/>
    <x v="8"/>
    <x v="10"/>
    <n v="2"/>
  </r>
  <r>
    <x v="0"/>
    <x v="1"/>
    <x v="3"/>
    <x v="3"/>
    <x v="16"/>
    <x v="0"/>
    <x v="6"/>
    <n v="4"/>
  </r>
  <r>
    <x v="0"/>
    <x v="1"/>
    <x v="3"/>
    <x v="3"/>
    <x v="16"/>
    <x v="0"/>
    <x v="11"/>
    <n v="1"/>
  </r>
  <r>
    <x v="0"/>
    <x v="1"/>
    <x v="3"/>
    <x v="3"/>
    <x v="1"/>
    <x v="0"/>
    <x v="2"/>
    <n v="1"/>
  </r>
  <r>
    <x v="0"/>
    <x v="1"/>
    <x v="3"/>
    <x v="3"/>
    <x v="14"/>
    <x v="0"/>
    <x v="12"/>
    <n v="2"/>
  </r>
  <r>
    <x v="0"/>
    <x v="1"/>
    <x v="3"/>
    <x v="3"/>
    <x v="14"/>
    <x v="0"/>
    <x v="9"/>
    <n v="1"/>
  </r>
  <r>
    <x v="0"/>
    <x v="1"/>
    <x v="3"/>
    <x v="3"/>
    <x v="6"/>
    <x v="7"/>
    <x v="5"/>
    <n v="1"/>
  </r>
  <r>
    <x v="0"/>
    <x v="1"/>
    <x v="3"/>
    <x v="3"/>
    <x v="6"/>
    <x v="0"/>
    <x v="10"/>
    <n v="1"/>
  </r>
  <r>
    <x v="0"/>
    <x v="1"/>
    <x v="3"/>
    <x v="3"/>
    <x v="11"/>
    <x v="4"/>
    <x v="7"/>
    <n v="2"/>
  </r>
  <r>
    <x v="0"/>
    <x v="1"/>
    <x v="3"/>
    <x v="3"/>
    <x v="11"/>
    <x v="7"/>
    <x v="6"/>
    <n v="20"/>
  </r>
  <r>
    <x v="0"/>
    <x v="1"/>
    <x v="3"/>
    <x v="3"/>
    <x v="11"/>
    <x v="7"/>
    <x v="10"/>
    <n v="2"/>
  </r>
  <r>
    <x v="0"/>
    <x v="1"/>
    <x v="3"/>
    <x v="3"/>
    <x v="11"/>
    <x v="8"/>
    <x v="6"/>
    <n v="6"/>
  </r>
  <r>
    <x v="0"/>
    <x v="1"/>
    <x v="3"/>
    <x v="3"/>
    <x v="11"/>
    <x v="8"/>
    <x v="10"/>
    <n v="15"/>
  </r>
  <r>
    <x v="0"/>
    <x v="1"/>
    <x v="3"/>
    <x v="3"/>
    <x v="11"/>
    <x v="0"/>
    <x v="12"/>
    <n v="2"/>
  </r>
  <r>
    <x v="0"/>
    <x v="1"/>
    <x v="3"/>
    <x v="4"/>
    <x v="0"/>
    <x v="0"/>
    <x v="5"/>
    <n v="1"/>
  </r>
  <r>
    <x v="0"/>
    <x v="3"/>
    <x v="2"/>
    <x v="1"/>
    <x v="4"/>
    <x v="0"/>
    <x v="19"/>
    <n v="4"/>
  </r>
  <r>
    <x v="0"/>
    <x v="3"/>
    <x v="2"/>
    <x v="1"/>
    <x v="19"/>
    <x v="0"/>
    <x v="19"/>
    <n v="1"/>
  </r>
  <r>
    <x v="0"/>
    <x v="3"/>
    <x v="2"/>
    <x v="2"/>
    <x v="2"/>
    <x v="0"/>
    <x v="11"/>
    <n v="1"/>
  </r>
  <r>
    <x v="0"/>
    <x v="3"/>
    <x v="2"/>
    <x v="3"/>
    <x v="0"/>
    <x v="0"/>
    <x v="0"/>
    <n v="10"/>
  </r>
  <r>
    <x v="0"/>
    <x v="3"/>
    <x v="2"/>
    <x v="3"/>
    <x v="0"/>
    <x v="0"/>
    <x v="18"/>
    <n v="3"/>
  </r>
  <r>
    <x v="0"/>
    <x v="3"/>
    <x v="2"/>
    <x v="3"/>
    <x v="13"/>
    <x v="0"/>
    <x v="19"/>
    <n v="1"/>
  </r>
  <r>
    <x v="0"/>
    <x v="3"/>
    <x v="2"/>
    <x v="3"/>
    <x v="10"/>
    <x v="0"/>
    <x v="4"/>
    <n v="1"/>
  </r>
  <r>
    <x v="0"/>
    <x v="3"/>
    <x v="2"/>
    <x v="3"/>
    <x v="10"/>
    <x v="0"/>
    <x v="2"/>
    <n v="1"/>
  </r>
  <r>
    <x v="0"/>
    <x v="3"/>
    <x v="2"/>
    <x v="5"/>
    <x v="8"/>
    <x v="12"/>
    <x v="14"/>
    <n v="1"/>
  </r>
  <r>
    <x v="0"/>
    <x v="3"/>
    <x v="2"/>
    <x v="9"/>
    <x v="0"/>
    <x v="0"/>
    <x v="14"/>
    <n v="1"/>
  </r>
  <r>
    <x v="0"/>
    <x v="3"/>
    <x v="2"/>
    <x v="7"/>
    <x v="12"/>
    <x v="0"/>
    <x v="12"/>
    <n v="1"/>
  </r>
  <r>
    <x v="0"/>
    <x v="3"/>
    <x v="2"/>
    <x v="7"/>
    <x v="12"/>
    <x v="0"/>
    <x v="18"/>
    <n v="1"/>
  </r>
  <r>
    <x v="0"/>
    <x v="3"/>
    <x v="2"/>
    <x v="7"/>
    <x v="4"/>
    <x v="0"/>
    <x v="19"/>
    <n v="1"/>
  </r>
  <r>
    <x v="0"/>
    <x v="3"/>
    <x v="2"/>
    <x v="7"/>
    <x v="10"/>
    <x v="0"/>
    <x v="19"/>
    <n v="10"/>
  </r>
  <r>
    <x v="0"/>
    <x v="3"/>
    <x v="2"/>
    <x v="8"/>
    <x v="9"/>
    <x v="0"/>
    <x v="19"/>
    <n v="6"/>
  </r>
  <r>
    <x v="0"/>
    <x v="3"/>
    <x v="2"/>
    <x v="8"/>
    <x v="10"/>
    <x v="0"/>
    <x v="17"/>
    <n v="2"/>
  </r>
  <r>
    <x v="0"/>
    <x v="3"/>
    <x v="2"/>
    <x v="10"/>
    <x v="10"/>
    <x v="0"/>
    <x v="19"/>
    <n v="6"/>
  </r>
  <r>
    <x v="0"/>
    <x v="3"/>
    <x v="2"/>
    <x v="11"/>
    <x v="7"/>
    <x v="0"/>
    <x v="19"/>
    <n v="8"/>
  </r>
  <r>
    <x v="0"/>
    <x v="3"/>
    <x v="2"/>
    <x v="11"/>
    <x v="9"/>
    <x v="0"/>
    <x v="14"/>
    <n v="1"/>
  </r>
  <r>
    <x v="0"/>
    <x v="3"/>
    <x v="2"/>
    <x v="11"/>
    <x v="9"/>
    <x v="0"/>
    <x v="17"/>
    <n v="2"/>
  </r>
  <r>
    <x v="0"/>
    <x v="3"/>
    <x v="2"/>
    <x v="11"/>
    <x v="9"/>
    <x v="0"/>
    <x v="19"/>
    <n v="30"/>
  </r>
  <r>
    <x v="0"/>
    <x v="3"/>
    <x v="2"/>
    <x v="11"/>
    <x v="17"/>
    <x v="0"/>
    <x v="17"/>
    <n v="1"/>
  </r>
  <r>
    <x v="0"/>
    <x v="3"/>
    <x v="2"/>
    <x v="12"/>
    <x v="2"/>
    <x v="0"/>
    <x v="19"/>
    <n v="1"/>
  </r>
  <r>
    <x v="0"/>
    <x v="3"/>
    <x v="2"/>
    <x v="12"/>
    <x v="3"/>
    <x v="0"/>
    <x v="19"/>
    <n v="19"/>
  </r>
  <r>
    <x v="0"/>
    <x v="3"/>
    <x v="2"/>
    <x v="13"/>
    <x v="3"/>
    <x v="0"/>
    <x v="19"/>
    <n v="8"/>
  </r>
  <r>
    <x v="0"/>
    <x v="3"/>
    <x v="2"/>
    <x v="13"/>
    <x v="6"/>
    <x v="0"/>
    <x v="19"/>
    <n v="1"/>
  </r>
  <r>
    <x v="0"/>
    <x v="3"/>
    <x v="2"/>
    <x v="14"/>
    <x v="4"/>
    <x v="0"/>
    <x v="3"/>
    <n v="1"/>
  </r>
  <r>
    <x v="0"/>
    <x v="3"/>
    <x v="2"/>
    <x v="16"/>
    <x v="14"/>
    <x v="0"/>
    <x v="19"/>
    <n v="1"/>
  </r>
  <r>
    <x v="0"/>
    <x v="3"/>
    <x v="2"/>
    <x v="16"/>
    <x v="3"/>
    <x v="0"/>
    <x v="11"/>
    <n v="1"/>
  </r>
  <r>
    <x v="0"/>
    <x v="3"/>
    <x v="2"/>
    <x v="16"/>
    <x v="17"/>
    <x v="0"/>
    <x v="2"/>
    <n v="2"/>
  </r>
  <r>
    <x v="0"/>
    <x v="3"/>
    <x v="2"/>
    <x v="16"/>
    <x v="17"/>
    <x v="0"/>
    <x v="13"/>
    <n v="1"/>
  </r>
  <r>
    <x v="0"/>
    <x v="3"/>
    <x v="2"/>
    <x v="17"/>
    <x v="11"/>
    <x v="0"/>
    <x v="5"/>
    <n v="2"/>
  </r>
  <r>
    <x v="0"/>
    <x v="3"/>
    <x v="2"/>
    <x v="17"/>
    <x v="11"/>
    <x v="0"/>
    <x v="2"/>
    <n v="1"/>
  </r>
  <r>
    <x v="0"/>
    <x v="3"/>
    <x v="2"/>
    <x v="19"/>
    <x v="13"/>
    <x v="0"/>
    <x v="17"/>
    <n v="1"/>
  </r>
  <r>
    <x v="0"/>
    <x v="3"/>
    <x v="2"/>
    <x v="19"/>
    <x v="13"/>
    <x v="0"/>
    <x v="19"/>
    <n v="2"/>
  </r>
  <r>
    <x v="0"/>
    <x v="3"/>
    <x v="2"/>
    <x v="19"/>
    <x v="10"/>
    <x v="8"/>
    <x v="10"/>
    <n v="1"/>
  </r>
  <r>
    <x v="0"/>
    <x v="3"/>
    <x v="2"/>
    <x v="19"/>
    <x v="10"/>
    <x v="0"/>
    <x v="9"/>
    <n v="4"/>
  </r>
  <r>
    <x v="0"/>
    <x v="3"/>
    <x v="2"/>
    <x v="19"/>
    <x v="10"/>
    <x v="0"/>
    <x v="4"/>
    <n v="2"/>
  </r>
  <r>
    <x v="0"/>
    <x v="3"/>
    <x v="3"/>
    <x v="0"/>
    <x v="11"/>
    <x v="0"/>
    <x v="13"/>
    <n v="1"/>
  </r>
  <r>
    <x v="0"/>
    <x v="3"/>
    <x v="3"/>
    <x v="1"/>
    <x v="0"/>
    <x v="8"/>
    <x v="10"/>
    <n v="1"/>
  </r>
  <r>
    <x v="0"/>
    <x v="3"/>
    <x v="3"/>
    <x v="1"/>
    <x v="0"/>
    <x v="8"/>
    <x v="1"/>
    <n v="1"/>
  </r>
  <r>
    <x v="0"/>
    <x v="3"/>
    <x v="3"/>
    <x v="3"/>
    <x v="3"/>
    <x v="0"/>
    <x v="12"/>
    <n v="1"/>
  </r>
  <r>
    <x v="0"/>
    <x v="3"/>
    <x v="3"/>
    <x v="3"/>
    <x v="11"/>
    <x v="11"/>
    <x v="10"/>
    <n v="1"/>
  </r>
  <r>
    <x v="0"/>
    <x v="3"/>
    <x v="3"/>
    <x v="3"/>
    <x v="11"/>
    <x v="1"/>
    <x v="6"/>
    <n v="1"/>
  </r>
  <r>
    <x v="0"/>
    <x v="3"/>
    <x v="3"/>
    <x v="4"/>
    <x v="16"/>
    <x v="0"/>
    <x v="19"/>
    <n v="1"/>
  </r>
  <r>
    <x v="0"/>
    <x v="3"/>
    <x v="3"/>
    <x v="4"/>
    <x v="13"/>
    <x v="0"/>
    <x v="13"/>
    <n v="1"/>
  </r>
  <r>
    <x v="0"/>
    <x v="3"/>
    <x v="3"/>
    <x v="6"/>
    <x v="3"/>
    <x v="9"/>
    <x v="3"/>
    <n v="1"/>
  </r>
  <r>
    <x v="0"/>
    <x v="3"/>
    <x v="3"/>
    <x v="10"/>
    <x v="4"/>
    <x v="0"/>
    <x v="2"/>
    <n v="1"/>
  </r>
  <r>
    <x v="0"/>
    <x v="3"/>
    <x v="3"/>
    <x v="10"/>
    <x v="19"/>
    <x v="4"/>
    <x v="7"/>
    <n v="1"/>
  </r>
  <r>
    <x v="0"/>
    <x v="3"/>
    <x v="3"/>
    <x v="10"/>
    <x v="19"/>
    <x v="4"/>
    <x v="6"/>
    <n v="1"/>
  </r>
  <r>
    <x v="0"/>
    <x v="3"/>
    <x v="3"/>
    <x v="10"/>
    <x v="19"/>
    <x v="6"/>
    <x v="7"/>
    <n v="1"/>
  </r>
  <r>
    <x v="0"/>
    <x v="3"/>
    <x v="3"/>
    <x v="11"/>
    <x v="0"/>
    <x v="0"/>
    <x v="12"/>
    <n v="1"/>
  </r>
  <r>
    <x v="0"/>
    <x v="3"/>
    <x v="3"/>
    <x v="11"/>
    <x v="8"/>
    <x v="2"/>
    <x v="15"/>
    <n v="1"/>
  </r>
  <r>
    <x v="0"/>
    <x v="3"/>
    <x v="3"/>
    <x v="12"/>
    <x v="14"/>
    <x v="0"/>
    <x v="19"/>
    <n v="3"/>
  </r>
  <r>
    <x v="0"/>
    <x v="3"/>
    <x v="3"/>
    <x v="14"/>
    <x v="9"/>
    <x v="0"/>
    <x v="3"/>
    <n v="1"/>
  </r>
  <r>
    <x v="0"/>
    <x v="3"/>
    <x v="3"/>
    <x v="18"/>
    <x v="5"/>
    <x v="0"/>
    <x v="10"/>
    <n v="1"/>
  </r>
  <r>
    <x v="0"/>
    <x v="3"/>
    <x v="3"/>
    <x v="18"/>
    <x v="3"/>
    <x v="4"/>
    <x v="7"/>
    <n v="1"/>
  </r>
  <r>
    <x v="0"/>
    <x v="3"/>
    <x v="3"/>
    <x v="15"/>
    <x v="14"/>
    <x v="0"/>
    <x v="0"/>
    <n v="1"/>
  </r>
  <r>
    <x v="0"/>
    <x v="3"/>
    <x v="3"/>
    <x v="16"/>
    <x v="4"/>
    <x v="0"/>
    <x v="12"/>
    <n v="1"/>
  </r>
  <r>
    <x v="0"/>
    <x v="3"/>
    <x v="3"/>
    <x v="16"/>
    <x v="9"/>
    <x v="0"/>
    <x v="4"/>
    <n v="1"/>
  </r>
  <r>
    <x v="0"/>
    <x v="3"/>
    <x v="3"/>
    <x v="16"/>
    <x v="9"/>
    <x v="0"/>
    <x v="5"/>
    <n v="2"/>
  </r>
  <r>
    <x v="0"/>
    <x v="3"/>
    <x v="3"/>
    <x v="19"/>
    <x v="15"/>
    <x v="0"/>
    <x v="14"/>
    <n v="1"/>
  </r>
  <r>
    <x v="0"/>
    <x v="3"/>
    <x v="4"/>
    <x v="0"/>
    <x v="1"/>
    <x v="9"/>
    <x v="7"/>
    <n v="1"/>
  </r>
  <r>
    <x v="0"/>
    <x v="3"/>
    <x v="4"/>
    <x v="0"/>
    <x v="1"/>
    <x v="12"/>
    <x v="7"/>
    <n v="6"/>
  </r>
  <r>
    <x v="0"/>
    <x v="3"/>
    <x v="4"/>
    <x v="0"/>
    <x v="1"/>
    <x v="1"/>
    <x v="7"/>
    <n v="4"/>
  </r>
  <r>
    <x v="0"/>
    <x v="3"/>
    <x v="4"/>
    <x v="0"/>
    <x v="1"/>
    <x v="0"/>
    <x v="2"/>
    <n v="2"/>
  </r>
  <r>
    <x v="0"/>
    <x v="3"/>
    <x v="4"/>
    <x v="0"/>
    <x v="1"/>
    <x v="0"/>
    <x v="13"/>
    <n v="2"/>
  </r>
  <r>
    <x v="0"/>
    <x v="3"/>
    <x v="4"/>
    <x v="0"/>
    <x v="1"/>
    <x v="0"/>
    <x v="19"/>
    <n v="2"/>
  </r>
  <r>
    <x v="0"/>
    <x v="3"/>
    <x v="4"/>
    <x v="0"/>
    <x v="19"/>
    <x v="5"/>
    <x v="1"/>
    <n v="1"/>
  </r>
  <r>
    <x v="0"/>
    <x v="3"/>
    <x v="4"/>
    <x v="0"/>
    <x v="19"/>
    <x v="0"/>
    <x v="10"/>
    <n v="1"/>
  </r>
  <r>
    <x v="0"/>
    <x v="3"/>
    <x v="4"/>
    <x v="1"/>
    <x v="0"/>
    <x v="0"/>
    <x v="9"/>
    <n v="1"/>
  </r>
  <r>
    <x v="0"/>
    <x v="3"/>
    <x v="4"/>
    <x v="1"/>
    <x v="1"/>
    <x v="1"/>
    <x v="1"/>
    <n v="1"/>
  </r>
  <r>
    <x v="0"/>
    <x v="3"/>
    <x v="4"/>
    <x v="1"/>
    <x v="1"/>
    <x v="0"/>
    <x v="1"/>
    <n v="1"/>
  </r>
  <r>
    <x v="0"/>
    <x v="3"/>
    <x v="4"/>
    <x v="1"/>
    <x v="1"/>
    <x v="0"/>
    <x v="12"/>
    <n v="2"/>
  </r>
  <r>
    <x v="0"/>
    <x v="3"/>
    <x v="4"/>
    <x v="2"/>
    <x v="6"/>
    <x v="9"/>
    <x v="5"/>
    <n v="1"/>
  </r>
  <r>
    <x v="0"/>
    <x v="3"/>
    <x v="4"/>
    <x v="2"/>
    <x v="6"/>
    <x v="9"/>
    <x v="2"/>
    <n v="1"/>
  </r>
  <r>
    <x v="0"/>
    <x v="3"/>
    <x v="4"/>
    <x v="2"/>
    <x v="6"/>
    <x v="7"/>
    <x v="10"/>
    <n v="4"/>
  </r>
  <r>
    <x v="0"/>
    <x v="3"/>
    <x v="4"/>
    <x v="2"/>
    <x v="6"/>
    <x v="7"/>
    <x v="1"/>
    <n v="5"/>
  </r>
  <r>
    <x v="0"/>
    <x v="3"/>
    <x v="4"/>
    <x v="2"/>
    <x v="6"/>
    <x v="1"/>
    <x v="9"/>
    <n v="1"/>
  </r>
  <r>
    <x v="0"/>
    <x v="3"/>
    <x v="4"/>
    <x v="2"/>
    <x v="6"/>
    <x v="1"/>
    <x v="3"/>
    <n v="1"/>
  </r>
  <r>
    <x v="0"/>
    <x v="3"/>
    <x v="4"/>
    <x v="2"/>
    <x v="6"/>
    <x v="1"/>
    <x v="4"/>
    <n v="1"/>
  </r>
  <r>
    <x v="0"/>
    <x v="3"/>
    <x v="4"/>
    <x v="2"/>
    <x v="6"/>
    <x v="1"/>
    <x v="2"/>
    <n v="1"/>
  </r>
  <r>
    <x v="0"/>
    <x v="3"/>
    <x v="4"/>
    <x v="2"/>
    <x v="6"/>
    <x v="8"/>
    <x v="10"/>
    <n v="14"/>
  </r>
  <r>
    <x v="0"/>
    <x v="3"/>
    <x v="4"/>
    <x v="2"/>
    <x v="6"/>
    <x v="0"/>
    <x v="12"/>
    <n v="21"/>
  </r>
  <r>
    <x v="0"/>
    <x v="3"/>
    <x v="4"/>
    <x v="2"/>
    <x v="6"/>
    <x v="0"/>
    <x v="9"/>
    <n v="10"/>
  </r>
  <r>
    <x v="0"/>
    <x v="3"/>
    <x v="4"/>
    <x v="2"/>
    <x v="6"/>
    <x v="0"/>
    <x v="3"/>
    <n v="5"/>
  </r>
  <r>
    <x v="0"/>
    <x v="3"/>
    <x v="4"/>
    <x v="2"/>
    <x v="6"/>
    <x v="0"/>
    <x v="5"/>
    <n v="1"/>
  </r>
  <r>
    <x v="0"/>
    <x v="3"/>
    <x v="4"/>
    <x v="2"/>
    <x v="9"/>
    <x v="0"/>
    <x v="3"/>
    <n v="1"/>
  </r>
  <r>
    <x v="0"/>
    <x v="3"/>
    <x v="4"/>
    <x v="2"/>
    <x v="9"/>
    <x v="0"/>
    <x v="4"/>
    <n v="2"/>
  </r>
  <r>
    <x v="0"/>
    <x v="3"/>
    <x v="4"/>
    <x v="2"/>
    <x v="9"/>
    <x v="0"/>
    <x v="5"/>
    <n v="1"/>
  </r>
  <r>
    <x v="0"/>
    <x v="3"/>
    <x v="4"/>
    <x v="3"/>
    <x v="15"/>
    <x v="0"/>
    <x v="4"/>
    <n v="1"/>
  </r>
  <r>
    <x v="0"/>
    <x v="3"/>
    <x v="4"/>
    <x v="3"/>
    <x v="15"/>
    <x v="0"/>
    <x v="2"/>
    <n v="1"/>
  </r>
  <r>
    <x v="0"/>
    <x v="3"/>
    <x v="4"/>
    <x v="4"/>
    <x v="1"/>
    <x v="1"/>
    <x v="7"/>
    <n v="2"/>
  </r>
  <r>
    <x v="0"/>
    <x v="3"/>
    <x v="4"/>
    <x v="4"/>
    <x v="1"/>
    <x v="0"/>
    <x v="7"/>
    <n v="9"/>
  </r>
  <r>
    <x v="0"/>
    <x v="3"/>
    <x v="4"/>
    <x v="4"/>
    <x v="1"/>
    <x v="0"/>
    <x v="2"/>
    <n v="2"/>
  </r>
  <r>
    <x v="0"/>
    <x v="3"/>
    <x v="4"/>
    <x v="4"/>
    <x v="7"/>
    <x v="0"/>
    <x v="1"/>
    <n v="2"/>
  </r>
  <r>
    <x v="0"/>
    <x v="3"/>
    <x v="4"/>
    <x v="5"/>
    <x v="16"/>
    <x v="0"/>
    <x v="2"/>
    <n v="3"/>
  </r>
  <r>
    <x v="0"/>
    <x v="3"/>
    <x v="4"/>
    <x v="5"/>
    <x v="5"/>
    <x v="0"/>
    <x v="9"/>
    <n v="1"/>
  </r>
  <r>
    <x v="0"/>
    <x v="3"/>
    <x v="4"/>
    <x v="5"/>
    <x v="5"/>
    <x v="0"/>
    <x v="3"/>
    <n v="1"/>
  </r>
  <r>
    <x v="0"/>
    <x v="3"/>
    <x v="4"/>
    <x v="5"/>
    <x v="5"/>
    <x v="0"/>
    <x v="4"/>
    <n v="1"/>
  </r>
  <r>
    <x v="0"/>
    <x v="3"/>
    <x v="4"/>
    <x v="5"/>
    <x v="5"/>
    <x v="0"/>
    <x v="5"/>
    <n v="1"/>
  </r>
  <r>
    <x v="0"/>
    <x v="3"/>
    <x v="4"/>
    <x v="6"/>
    <x v="3"/>
    <x v="11"/>
    <x v="1"/>
    <n v="1"/>
  </r>
  <r>
    <x v="0"/>
    <x v="3"/>
    <x v="4"/>
    <x v="6"/>
    <x v="3"/>
    <x v="9"/>
    <x v="1"/>
    <n v="1"/>
  </r>
  <r>
    <x v="0"/>
    <x v="3"/>
    <x v="4"/>
    <x v="6"/>
    <x v="9"/>
    <x v="0"/>
    <x v="17"/>
    <n v="1"/>
  </r>
  <r>
    <x v="0"/>
    <x v="3"/>
    <x v="4"/>
    <x v="6"/>
    <x v="9"/>
    <x v="0"/>
    <x v="19"/>
    <n v="1"/>
  </r>
  <r>
    <x v="0"/>
    <x v="3"/>
    <x v="4"/>
    <x v="7"/>
    <x v="12"/>
    <x v="0"/>
    <x v="17"/>
    <n v="1"/>
  </r>
  <r>
    <x v="0"/>
    <x v="3"/>
    <x v="4"/>
    <x v="7"/>
    <x v="12"/>
    <x v="0"/>
    <x v="19"/>
    <n v="1"/>
  </r>
  <r>
    <x v="0"/>
    <x v="3"/>
    <x v="4"/>
    <x v="8"/>
    <x v="10"/>
    <x v="8"/>
    <x v="1"/>
    <n v="2"/>
  </r>
  <r>
    <x v="0"/>
    <x v="3"/>
    <x v="4"/>
    <x v="11"/>
    <x v="12"/>
    <x v="0"/>
    <x v="13"/>
    <n v="1"/>
  </r>
  <r>
    <x v="0"/>
    <x v="3"/>
    <x v="4"/>
    <x v="11"/>
    <x v="12"/>
    <x v="0"/>
    <x v="11"/>
    <n v="2"/>
  </r>
  <r>
    <x v="0"/>
    <x v="3"/>
    <x v="4"/>
    <x v="11"/>
    <x v="14"/>
    <x v="7"/>
    <x v="5"/>
    <n v="2"/>
  </r>
  <r>
    <x v="0"/>
    <x v="3"/>
    <x v="4"/>
    <x v="11"/>
    <x v="14"/>
    <x v="0"/>
    <x v="14"/>
    <n v="2"/>
  </r>
  <r>
    <x v="0"/>
    <x v="3"/>
    <x v="4"/>
    <x v="12"/>
    <x v="2"/>
    <x v="0"/>
    <x v="4"/>
    <n v="1"/>
  </r>
  <r>
    <x v="0"/>
    <x v="3"/>
    <x v="4"/>
    <x v="12"/>
    <x v="2"/>
    <x v="0"/>
    <x v="5"/>
    <n v="2"/>
  </r>
  <r>
    <x v="0"/>
    <x v="3"/>
    <x v="4"/>
    <x v="12"/>
    <x v="2"/>
    <x v="0"/>
    <x v="2"/>
    <n v="1"/>
  </r>
  <r>
    <x v="0"/>
    <x v="3"/>
    <x v="4"/>
    <x v="12"/>
    <x v="2"/>
    <x v="0"/>
    <x v="13"/>
    <n v="3"/>
  </r>
  <r>
    <x v="0"/>
    <x v="3"/>
    <x v="4"/>
    <x v="12"/>
    <x v="10"/>
    <x v="0"/>
    <x v="3"/>
    <n v="1"/>
  </r>
  <r>
    <x v="0"/>
    <x v="3"/>
    <x v="4"/>
    <x v="13"/>
    <x v="16"/>
    <x v="1"/>
    <x v="12"/>
    <n v="3"/>
  </r>
  <r>
    <x v="0"/>
    <x v="3"/>
    <x v="4"/>
    <x v="13"/>
    <x v="16"/>
    <x v="0"/>
    <x v="10"/>
    <n v="4"/>
  </r>
  <r>
    <x v="0"/>
    <x v="3"/>
    <x v="4"/>
    <x v="13"/>
    <x v="16"/>
    <x v="0"/>
    <x v="1"/>
    <n v="9"/>
  </r>
  <r>
    <x v="0"/>
    <x v="3"/>
    <x v="4"/>
    <x v="13"/>
    <x v="9"/>
    <x v="0"/>
    <x v="5"/>
    <n v="1"/>
  </r>
  <r>
    <x v="0"/>
    <x v="3"/>
    <x v="4"/>
    <x v="13"/>
    <x v="17"/>
    <x v="4"/>
    <x v="11"/>
    <n v="1"/>
  </r>
  <r>
    <x v="0"/>
    <x v="3"/>
    <x v="4"/>
    <x v="13"/>
    <x v="17"/>
    <x v="11"/>
    <x v="2"/>
    <n v="1"/>
  </r>
  <r>
    <x v="0"/>
    <x v="3"/>
    <x v="4"/>
    <x v="13"/>
    <x v="17"/>
    <x v="8"/>
    <x v="19"/>
    <n v="1"/>
  </r>
  <r>
    <x v="0"/>
    <x v="3"/>
    <x v="4"/>
    <x v="14"/>
    <x v="16"/>
    <x v="3"/>
    <x v="9"/>
    <n v="1"/>
  </r>
  <r>
    <x v="0"/>
    <x v="3"/>
    <x v="4"/>
    <x v="14"/>
    <x v="16"/>
    <x v="3"/>
    <x v="13"/>
    <n v="1"/>
  </r>
  <r>
    <x v="0"/>
    <x v="3"/>
    <x v="4"/>
    <x v="14"/>
    <x v="16"/>
    <x v="4"/>
    <x v="12"/>
    <n v="2"/>
  </r>
  <r>
    <x v="0"/>
    <x v="3"/>
    <x v="4"/>
    <x v="14"/>
    <x v="16"/>
    <x v="5"/>
    <x v="15"/>
    <n v="2"/>
  </r>
  <r>
    <x v="0"/>
    <x v="3"/>
    <x v="4"/>
    <x v="14"/>
    <x v="16"/>
    <x v="11"/>
    <x v="15"/>
    <n v="2"/>
  </r>
  <r>
    <x v="0"/>
    <x v="3"/>
    <x v="4"/>
    <x v="14"/>
    <x v="16"/>
    <x v="11"/>
    <x v="12"/>
    <n v="3"/>
  </r>
  <r>
    <x v="0"/>
    <x v="3"/>
    <x v="4"/>
    <x v="14"/>
    <x v="16"/>
    <x v="11"/>
    <x v="9"/>
    <n v="1"/>
  </r>
  <r>
    <x v="0"/>
    <x v="3"/>
    <x v="4"/>
    <x v="14"/>
    <x v="16"/>
    <x v="6"/>
    <x v="1"/>
    <n v="1"/>
  </r>
  <r>
    <x v="0"/>
    <x v="3"/>
    <x v="4"/>
    <x v="14"/>
    <x v="16"/>
    <x v="6"/>
    <x v="12"/>
    <n v="1"/>
  </r>
  <r>
    <x v="0"/>
    <x v="3"/>
    <x v="4"/>
    <x v="14"/>
    <x v="16"/>
    <x v="6"/>
    <x v="3"/>
    <n v="2"/>
  </r>
  <r>
    <x v="0"/>
    <x v="3"/>
    <x v="4"/>
    <x v="14"/>
    <x v="16"/>
    <x v="9"/>
    <x v="1"/>
    <n v="2"/>
  </r>
  <r>
    <x v="0"/>
    <x v="3"/>
    <x v="4"/>
    <x v="14"/>
    <x v="16"/>
    <x v="9"/>
    <x v="12"/>
    <n v="2"/>
  </r>
  <r>
    <x v="0"/>
    <x v="3"/>
    <x v="4"/>
    <x v="14"/>
    <x v="16"/>
    <x v="9"/>
    <x v="9"/>
    <n v="1"/>
  </r>
  <r>
    <x v="0"/>
    <x v="3"/>
    <x v="4"/>
    <x v="14"/>
    <x v="16"/>
    <x v="12"/>
    <x v="10"/>
    <n v="4"/>
  </r>
  <r>
    <x v="0"/>
    <x v="3"/>
    <x v="4"/>
    <x v="14"/>
    <x v="16"/>
    <x v="12"/>
    <x v="1"/>
    <n v="2"/>
  </r>
  <r>
    <x v="0"/>
    <x v="3"/>
    <x v="4"/>
    <x v="14"/>
    <x v="16"/>
    <x v="7"/>
    <x v="7"/>
    <n v="2"/>
  </r>
  <r>
    <x v="0"/>
    <x v="3"/>
    <x v="4"/>
    <x v="14"/>
    <x v="16"/>
    <x v="1"/>
    <x v="10"/>
    <n v="1"/>
  </r>
  <r>
    <x v="0"/>
    <x v="3"/>
    <x v="4"/>
    <x v="14"/>
    <x v="16"/>
    <x v="1"/>
    <x v="1"/>
    <n v="2"/>
  </r>
  <r>
    <x v="0"/>
    <x v="3"/>
    <x v="4"/>
    <x v="14"/>
    <x v="16"/>
    <x v="0"/>
    <x v="6"/>
    <n v="1"/>
  </r>
  <r>
    <x v="0"/>
    <x v="3"/>
    <x v="4"/>
    <x v="14"/>
    <x v="16"/>
    <x v="0"/>
    <x v="10"/>
    <n v="2"/>
  </r>
  <r>
    <x v="0"/>
    <x v="3"/>
    <x v="4"/>
    <x v="14"/>
    <x v="16"/>
    <x v="0"/>
    <x v="1"/>
    <n v="1"/>
  </r>
  <r>
    <x v="0"/>
    <x v="3"/>
    <x v="4"/>
    <x v="18"/>
    <x v="12"/>
    <x v="0"/>
    <x v="4"/>
    <n v="1"/>
  </r>
  <r>
    <x v="0"/>
    <x v="3"/>
    <x v="4"/>
    <x v="18"/>
    <x v="12"/>
    <x v="0"/>
    <x v="5"/>
    <n v="5"/>
  </r>
  <r>
    <x v="0"/>
    <x v="3"/>
    <x v="4"/>
    <x v="18"/>
    <x v="12"/>
    <x v="0"/>
    <x v="2"/>
    <n v="3"/>
  </r>
  <r>
    <x v="0"/>
    <x v="3"/>
    <x v="4"/>
    <x v="18"/>
    <x v="12"/>
    <x v="0"/>
    <x v="13"/>
    <n v="8"/>
  </r>
  <r>
    <x v="0"/>
    <x v="3"/>
    <x v="4"/>
    <x v="18"/>
    <x v="12"/>
    <x v="0"/>
    <x v="11"/>
    <n v="8"/>
  </r>
  <r>
    <x v="0"/>
    <x v="3"/>
    <x v="4"/>
    <x v="18"/>
    <x v="14"/>
    <x v="1"/>
    <x v="14"/>
    <n v="1"/>
  </r>
  <r>
    <x v="0"/>
    <x v="3"/>
    <x v="4"/>
    <x v="18"/>
    <x v="14"/>
    <x v="8"/>
    <x v="0"/>
    <n v="1"/>
  </r>
  <r>
    <x v="0"/>
    <x v="3"/>
    <x v="4"/>
    <x v="18"/>
    <x v="14"/>
    <x v="0"/>
    <x v="2"/>
    <n v="1"/>
  </r>
  <r>
    <x v="0"/>
    <x v="3"/>
    <x v="4"/>
    <x v="18"/>
    <x v="14"/>
    <x v="0"/>
    <x v="14"/>
    <n v="1"/>
  </r>
  <r>
    <x v="0"/>
    <x v="3"/>
    <x v="4"/>
    <x v="15"/>
    <x v="16"/>
    <x v="0"/>
    <x v="2"/>
    <n v="1"/>
  </r>
  <r>
    <x v="0"/>
    <x v="3"/>
    <x v="4"/>
    <x v="15"/>
    <x v="18"/>
    <x v="0"/>
    <x v="12"/>
    <n v="1"/>
  </r>
  <r>
    <x v="0"/>
    <x v="3"/>
    <x v="4"/>
    <x v="17"/>
    <x v="12"/>
    <x v="7"/>
    <x v="5"/>
    <n v="1"/>
  </r>
  <r>
    <x v="0"/>
    <x v="3"/>
    <x v="4"/>
    <x v="17"/>
    <x v="2"/>
    <x v="0"/>
    <x v="19"/>
    <n v="1"/>
  </r>
  <r>
    <x v="0"/>
    <x v="3"/>
    <x v="4"/>
    <x v="17"/>
    <x v="4"/>
    <x v="0"/>
    <x v="13"/>
    <n v="2"/>
  </r>
  <r>
    <x v="0"/>
    <x v="3"/>
    <x v="4"/>
    <x v="19"/>
    <x v="6"/>
    <x v="0"/>
    <x v="3"/>
    <n v="1"/>
  </r>
  <r>
    <x v="0"/>
    <x v="3"/>
    <x v="5"/>
    <x v="3"/>
    <x v="0"/>
    <x v="0"/>
    <x v="19"/>
    <n v="1"/>
  </r>
  <r>
    <x v="0"/>
    <x v="3"/>
    <x v="5"/>
    <x v="4"/>
    <x v="18"/>
    <x v="3"/>
    <x v="19"/>
    <n v="2"/>
  </r>
  <r>
    <x v="0"/>
    <x v="3"/>
    <x v="5"/>
    <x v="5"/>
    <x v="8"/>
    <x v="15"/>
    <x v="19"/>
    <n v="3"/>
  </r>
  <r>
    <x v="0"/>
    <x v="3"/>
    <x v="5"/>
    <x v="5"/>
    <x v="8"/>
    <x v="14"/>
    <x v="19"/>
    <n v="5"/>
  </r>
  <r>
    <x v="0"/>
    <x v="3"/>
    <x v="5"/>
    <x v="5"/>
    <x v="8"/>
    <x v="13"/>
    <x v="19"/>
    <n v="4"/>
  </r>
  <r>
    <x v="0"/>
    <x v="3"/>
    <x v="5"/>
    <x v="5"/>
    <x v="6"/>
    <x v="17"/>
    <x v="19"/>
    <n v="1"/>
  </r>
  <r>
    <x v="0"/>
    <x v="3"/>
    <x v="5"/>
    <x v="5"/>
    <x v="6"/>
    <x v="16"/>
    <x v="19"/>
    <n v="19"/>
  </r>
  <r>
    <x v="0"/>
    <x v="3"/>
    <x v="5"/>
    <x v="5"/>
    <x v="6"/>
    <x v="15"/>
    <x v="19"/>
    <n v="16"/>
  </r>
  <r>
    <x v="0"/>
    <x v="1"/>
    <x v="1"/>
    <x v="12"/>
    <x v="6"/>
    <x v="2"/>
    <x v="10"/>
    <n v="4"/>
  </r>
  <r>
    <x v="0"/>
    <x v="1"/>
    <x v="1"/>
    <x v="12"/>
    <x v="6"/>
    <x v="10"/>
    <x v="10"/>
    <n v="2"/>
  </r>
  <r>
    <x v="0"/>
    <x v="1"/>
    <x v="1"/>
    <x v="12"/>
    <x v="6"/>
    <x v="4"/>
    <x v="0"/>
    <n v="1"/>
  </r>
  <r>
    <x v="0"/>
    <x v="1"/>
    <x v="1"/>
    <x v="12"/>
    <x v="6"/>
    <x v="7"/>
    <x v="3"/>
    <n v="3"/>
  </r>
  <r>
    <x v="0"/>
    <x v="1"/>
    <x v="1"/>
    <x v="12"/>
    <x v="6"/>
    <x v="7"/>
    <x v="5"/>
    <n v="1"/>
  </r>
  <r>
    <x v="0"/>
    <x v="1"/>
    <x v="1"/>
    <x v="13"/>
    <x v="0"/>
    <x v="14"/>
    <x v="14"/>
    <n v="1"/>
  </r>
  <r>
    <x v="0"/>
    <x v="1"/>
    <x v="1"/>
    <x v="13"/>
    <x v="8"/>
    <x v="7"/>
    <x v="5"/>
    <n v="1"/>
  </r>
  <r>
    <x v="0"/>
    <x v="1"/>
    <x v="1"/>
    <x v="14"/>
    <x v="16"/>
    <x v="14"/>
    <x v="12"/>
    <n v="3"/>
  </r>
  <r>
    <x v="0"/>
    <x v="1"/>
    <x v="1"/>
    <x v="14"/>
    <x v="16"/>
    <x v="14"/>
    <x v="9"/>
    <n v="1"/>
  </r>
  <r>
    <x v="0"/>
    <x v="1"/>
    <x v="1"/>
    <x v="14"/>
    <x v="16"/>
    <x v="14"/>
    <x v="0"/>
    <n v="1"/>
  </r>
  <r>
    <x v="0"/>
    <x v="1"/>
    <x v="1"/>
    <x v="14"/>
    <x v="16"/>
    <x v="2"/>
    <x v="10"/>
    <n v="21"/>
  </r>
  <r>
    <x v="0"/>
    <x v="1"/>
    <x v="1"/>
    <x v="14"/>
    <x v="16"/>
    <x v="2"/>
    <x v="3"/>
    <n v="2"/>
  </r>
  <r>
    <x v="0"/>
    <x v="1"/>
    <x v="1"/>
    <x v="14"/>
    <x v="16"/>
    <x v="2"/>
    <x v="5"/>
    <n v="2"/>
  </r>
  <r>
    <x v="0"/>
    <x v="1"/>
    <x v="1"/>
    <x v="14"/>
    <x v="16"/>
    <x v="2"/>
    <x v="13"/>
    <n v="1"/>
  </r>
  <r>
    <x v="0"/>
    <x v="1"/>
    <x v="1"/>
    <x v="14"/>
    <x v="16"/>
    <x v="10"/>
    <x v="10"/>
    <n v="11"/>
  </r>
  <r>
    <x v="0"/>
    <x v="1"/>
    <x v="1"/>
    <x v="14"/>
    <x v="16"/>
    <x v="10"/>
    <x v="9"/>
    <n v="2"/>
  </r>
  <r>
    <x v="0"/>
    <x v="1"/>
    <x v="1"/>
    <x v="14"/>
    <x v="16"/>
    <x v="10"/>
    <x v="3"/>
    <n v="2"/>
  </r>
  <r>
    <x v="0"/>
    <x v="1"/>
    <x v="1"/>
    <x v="14"/>
    <x v="16"/>
    <x v="10"/>
    <x v="5"/>
    <n v="1"/>
  </r>
  <r>
    <x v="0"/>
    <x v="1"/>
    <x v="1"/>
    <x v="14"/>
    <x v="16"/>
    <x v="10"/>
    <x v="13"/>
    <n v="2"/>
  </r>
  <r>
    <x v="0"/>
    <x v="1"/>
    <x v="1"/>
    <x v="14"/>
    <x v="16"/>
    <x v="3"/>
    <x v="6"/>
    <n v="3"/>
  </r>
  <r>
    <x v="0"/>
    <x v="1"/>
    <x v="1"/>
    <x v="14"/>
    <x v="16"/>
    <x v="3"/>
    <x v="12"/>
    <n v="3"/>
  </r>
  <r>
    <x v="0"/>
    <x v="1"/>
    <x v="1"/>
    <x v="14"/>
    <x v="16"/>
    <x v="3"/>
    <x v="9"/>
    <n v="1"/>
  </r>
  <r>
    <x v="0"/>
    <x v="1"/>
    <x v="1"/>
    <x v="14"/>
    <x v="16"/>
    <x v="3"/>
    <x v="3"/>
    <n v="1"/>
  </r>
  <r>
    <x v="0"/>
    <x v="1"/>
    <x v="1"/>
    <x v="14"/>
    <x v="16"/>
    <x v="3"/>
    <x v="4"/>
    <n v="1"/>
  </r>
  <r>
    <x v="0"/>
    <x v="1"/>
    <x v="1"/>
    <x v="14"/>
    <x v="16"/>
    <x v="3"/>
    <x v="5"/>
    <n v="1"/>
  </r>
  <r>
    <x v="0"/>
    <x v="1"/>
    <x v="1"/>
    <x v="14"/>
    <x v="16"/>
    <x v="4"/>
    <x v="12"/>
    <n v="3"/>
  </r>
  <r>
    <x v="0"/>
    <x v="1"/>
    <x v="1"/>
    <x v="14"/>
    <x v="16"/>
    <x v="4"/>
    <x v="9"/>
    <n v="4"/>
  </r>
  <r>
    <x v="0"/>
    <x v="1"/>
    <x v="1"/>
    <x v="14"/>
    <x v="16"/>
    <x v="5"/>
    <x v="4"/>
    <n v="1"/>
  </r>
  <r>
    <x v="0"/>
    <x v="1"/>
    <x v="1"/>
    <x v="14"/>
    <x v="16"/>
    <x v="11"/>
    <x v="12"/>
    <n v="2"/>
  </r>
  <r>
    <x v="0"/>
    <x v="1"/>
    <x v="1"/>
    <x v="14"/>
    <x v="16"/>
    <x v="11"/>
    <x v="9"/>
    <n v="1"/>
  </r>
  <r>
    <x v="0"/>
    <x v="1"/>
    <x v="1"/>
    <x v="14"/>
    <x v="16"/>
    <x v="6"/>
    <x v="12"/>
    <n v="3"/>
  </r>
  <r>
    <x v="0"/>
    <x v="1"/>
    <x v="1"/>
    <x v="14"/>
    <x v="16"/>
    <x v="6"/>
    <x v="9"/>
    <n v="2"/>
  </r>
  <r>
    <x v="0"/>
    <x v="1"/>
    <x v="1"/>
    <x v="14"/>
    <x v="18"/>
    <x v="2"/>
    <x v="2"/>
    <n v="1"/>
  </r>
  <r>
    <x v="0"/>
    <x v="1"/>
    <x v="1"/>
    <x v="14"/>
    <x v="18"/>
    <x v="5"/>
    <x v="9"/>
    <n v="1"/>
  </r>
  <r>
    <x v="0"/>
    <x v="1"/>
    <x v="1"/>
    <x v="14"/>
    <x v="18"/>
    <x v="5"/>
    <x v="3"/>
    <n v="1"/>
  </r>
  <r>
    <x v="0"/>
    <x v="1"/>
    <x v="1"/>
    <x v="14"/>
    <x v="18"/>
    <x v="11"/>
    <x v="9"/>
    <n v="1"/>
  </r>
  <r>
    <x v="0"/>
    <x v="1"/>
    <x v="1"/>
    <x v="14"/>
    <x v="18"/>
    <x v="9"/>
    <x v="12"/>
    <n v="1"/>
  </r>
  <r>
    <x v="0"/>
    <x v="1"/>
    <x v="1"/>
    <x v="14"/>
    <x v="18"/>
    <x v="12"/>
    <x v="12"/>
    <n v="1"/>
  </r>
  <r>
    <x v="0"/>
    <x v="1"/>
    <x v="1"/>
    <x v="14"/>
    <x v="18"/>
    <x v="12"/>
    <x v="9"/>
    <n v="2"/>
  </r>
  <r>
    <x v="0"/>
    <x v="1"/>
    <x v="1"/>
    <x v="15"/>
    <x v="1"/>
    <x v="0"/>
    <x v="9"/>
    <n v="1"/>
  </r>
  <r>
    <x v="0"/>
    <x v="1"/>
    <x v="1"/>
    <x v="15"/>
    <x v="11"/>
    <x v="3"/>
    <x v="0"/>
    <n v="1"/>
  </r>
  <r>
    <x v="0"/>
    <x v="1"/>
    <x v="1"/>
    <x v="17"/>
    <x v="7"/>
    <x v="0"/>
    <x v="12"/>
    <n v="1"/>
  </r>
  <r>
    <x v="0"/>
    <x v="1"/>
    <x v="1"/>
    <x v="17"/>
    <x v="11"/>
    <x v="0"/>
    <x v="4"/>
    <n v="1"/>
  </r>
  <r>
    <x v="0"/>
    <x v="1"/>
    <x v="1"/>
    <x v="19"/>
    <x v="13"/>
    <x v="7"/>
    <x v="11"/>
    <n v="1"/>
  </r>
  <r>
    <x v="0"/>
    <x v="1"/>
    <x v="1"/>
    <x v="19"/>
    <x v="7"/>
    <x v="17"/>
    <x v="1"/>
    <n v="254"/>
  </r>
  <r>
    <x v="0"/>
    <x v="1"/>
    <x v="1"/>
    <x v="19"/>
    <x v="7"/>
    <x v="17"/>
    <x v="13"/>
    <n v="21"/>
  </r>
  <r>
    <x v="0"/>
    <x v="1"/>
    <x v="1"/>
    <x v="19"/>
    <x v="7"/>
    <x v="17"/>
    <x v="11"/>
    <n v="13"/>
  </r>
  <r>
    <x v="0"/>
    <x v="1"/>
    <x v="1"/>
    <x v="19"/>
    <x v="7"/>
    <x v="18"/>
    <x v="1"/>
    <n v="222"/>
  </r>
  <r>
    <x v="0"/>
    <x v="1"/>
    <x v="1"/>
    <x v="19"/>
    <x v="7"/>
    <x v="18"/>
    <x v="5"/>
    <n v="21"/>
  </r>
  <r>
    <x v="0"/>
    <x v="1"/>
    <x v="1"/>
    <x v="19"/>
    <x v="7"/>
    <x v="18"/>
    <x v="2"/>
    <n v="26"/>
  </r>
  <r>
    <x v="0"/>
    <x v="1"/>
    <x v="1"/>
    <x v="19"/>
    <x v="7"/>
    <x v="18"/>
    <x v="13"/>
    <n v="33"/>
  </r>
  <r>
    <x v="0"/>
    <x v="1"/>
    <x v="1"/>
    <x v="19"/>
    <x v="7"/>
    <x v="18"/>
    <x v="11"/>
    <n v="25"/>
  </r>
  <r>
    <x v="0"/>
    <x v="1"/>
    <x v="1"/>
    <x v="19"/>
    <x v="7"/>
    <x v="18"/>
    <x v="14"/>
    <n v="17"/>
  </r>
  <r>
    <x v="0"/>
    <x v="1"/>
    <x v="1"/>
    <x v="19"/>
    <x v="7"/>
    <x v="18"/>
    <x v="17"/>
    <n v="1"/>
  </r>
  <r>
    <x v="0"/>
    <x v="1"/>
    <x v="1"/>
    <x v="19"/>
    <x v="7"/>
    <x v="19"/>
    <x v="6"/>
    <n v="606"/>
  </r>
  <r>
    <x v="0"/>
    <x v="1"/>
    <x v="1"/>
    <x v="19"/>
    <x v="7"/>
    <x v="19"/>
    <x v="12"/>
    <n v="128"/>
  </r>
  <r>
    <x v="0"/>
    <x v="1"/>
    <x v="1"/>
    <x v="19"/>
    <x v="7"/>
    <x v="19"/>
    <x v="9"/>
    <n v="62"/>
  </r>
  <r>
    <x v="0"/>
    <x v="1"/>
    <x v="1"/>
    <x v="19"/>
    <x v="7"/>
    <x v="19"/>
    <x v="3"/>
    <n v="55"/>
  </r>
  <r>
    <x v="0"/>
    <x v="1"/>
    <x v="1"/>
    <x v="19"/>
    <x v="7"/>
    <x v="19"/>
    <x v="4"/>
    <n v="49"/>
  </r>
  <r>
    <x v="0"/>
    <x v="1"/>
    <x v="1"/>
    <x v="19"/>
    <x v="7"/>
    <x v="19"/>
    <x v="5"/>
    <n v="47"/>
  </r>
  <r>
    <x v="0"/>
    <x v="1"/>
    <x v="1"/>
    <x v="19"/>
    <x v="7"/>
    <x v="19"/>
    <x v="2"/>
    <n v="28"/>
  </r>
  <r>
    <x v="0"/>
    <x v="1"/>
    <x v="1"/>
    <x v="19"/>
    <x v="7"/>
    <x v="16"/>
    <x v="12"/>
    <n v="117"/>
  </r>
  <r>
    <x v="0"/>
    <x v="1"/>
    <x v="1"/>
    <x v="19"/>
    <x v="7"/>
    <x v="16"/>
    <x v="9"/>
    <n v="62"/>
  </r>
  <r>
    <x v="0"/>
    <x v="1"/>
    <x v="1"/>
    <x v="19"/>
    <x v="7"/>
    <x v="16"/>
    <x v="0"/>
    <n v="2"/>
  </r>
  <r>
    <x v="0"/>
    <x v="1"/>
    <x v="1"/>
    <x v="19"/>
    <x v="7"/>
    <x v="2"/>
    <x v="0"/>
    <n v="2"/>
  </r>
  <r>
    <x v="0"/>
    <x v="1"/>
    <x v="1"/>
    <x v="19"/>
    <x v="7"/>
    <x v="7"/>
    <x v="12"/>
    <n v="2"/>
  </r>
  <r>
    <x v="0"/>
    <x v="1"/>
    <x v="1"/>
    <x v="19"/>
    <x v="7"/>
    <x v="7"/>
    <x v="9"/>
    <n v="2"/>
  </r>
  <r>
    <x v="0"/>
    <x v="1"/>
    <x v="1"/>
    <x v="19"/>
    <x v="7"/>
    <x v="7"/>
    <x v="3"/>
    <n v="1"/>
  </r>
  <r>
    <x v="0"/>
    <x v="1"/>
    <x v="1"/>
    <x v="19"/>
    <x v="10"/>
    <x v="7"/>
    <x v="12"/>
    <n v="1"/>
  </r>
  <r>
    <x v="0"/>
    <x v="1"/>
    <x v="1"/>
    <x v="19"/>
    <x v="10"/>
    <x v="1"/>
    <x v="2"/>
    <n v="1"/>
  </r>
  <r>
    <x v="0"/>
    <x v="1"/>
    <x v="2"/>
    <x v="0"/>
    <x v="1"/>
    <x v="0"/>
    <x v="10"/>
    <n v="1"/>
  </r>
  <r>
    <x v="0"/>
    <x v="1"/>
    <x v="2"/>
    <x v="0"/>
    <x v="1"/>
    <x v="0"/>
    <x v="12"/>
    <n v="8"/>
  </r>
  <r>
    <x v="0"/>
    <x v="1"/>
    <x v="4"/>
    <x v="14"/>
    <x v="16"/>
    <x v="3"/>
    <x v="6"/>
    <n v="16"/>
  </r>
  <r>
    <x v="0"/>
    <x v="1"/>
    <x v="4"/>
    <x v="14"/>
    <x v="16"/>
    <x v="3"/>
    <x v="10"/>
    <n v="18"/>
  </r>
  <r>
    <x v="0"/>
    <x v="1"/>
    <x v="4"/>
    <x v="14"/>
    <x v="16"/>
    <x v="3"/>
    <x v="3"/>
    <n v="4"/>
  </r>
  <r>
    <x v="0"/>
    <x v="1"/>
    <x v="4"/>
    <x v="14"/>
    <x v="16"/>
    <x v="4"/>
    <x v="7"/>
    <n v="33"/>
  </r>
  <r>
    <x v="0"/>
    <x v="1"/>
    <x v="4"/>
    <x v="14"/>
    <x v="16"/>
    <x v="4"/>
    <x v="6"/>
    <n v="27"/>
  </r>
  <r>
    <x v="0"/>
    <x v="1"/>
    <x v="4"/>
    <x v="14"/>
    <x v="16"/>
    <x v="4"/>
    <x v="10"/>
    <n v="27"/>
  </r>
  <r>
    <x v="0"/>
    <x v="1"/>
    <x v="4"/>
    <x v="14"/>
    <x v="16"/>
    <x v="4"/>
    <x v="9"/>
    <n v="5"/>
  </r>
  <r>
    <x v="0"/>
    <x v="1"/>
    <x v="4"/>
    <x v="14"/>
    <x v="16"/>
    <x v="5"/>
    <x v="7"/>
    <n v="52"/>
  </r>
  <r>
    <x v="0"/>
    <x v="1"/>
    <x v="4"/>
    <x v="14"/>
    <x v="16"/>
    <x v="5"/>
    <x v="6"/>
    <n v="35"/>
  </r>
  <r>
    <x v="0"/>
    <x v="1"/>
    <x v="4"/>
    <x v="14"/>
    <x v="16"/>
    <x v="5"/>
    <x v="12"/>
    <n v="9"/>
  </r>
  <r>
    <x v="0"/>
    <x v="1"/>
    <x v="4"/>
    <x v="14"/>
    <x v="16"/>
    <x v="11"/>
    <x v="8"/>
    <n v="145"/>
  </r>
  <r>
    <x v="0"/>
    <x v="1"/>
    <x v="4"/>
    <x v="14"/>
    <x v="16"/>
    <x v="11"/>
    <x v="7"/>
    <n v="51"/>
  </r>
  <r>
    <x v="0"/>
    <x v="1"/>
    <x v="4"/>
    <x v="14"/>
    <x v="16"/>
    <x v="11"/>
    <x v="6"/>
    <n v="30"/>
  </r>
  <r>
    <x v="0"/>
    <x v="1"/>
    <x v="4"/>
    <x v="14"/>
    <x v="16"/>
    <x v="6"/>
    <x v="8"/>
    <n v="277"/>
  </r>
  <r>
    <x v="0"/>
    <x v="1"/>
    <x v="4"/>
    <x v="14"/>
    <x v="16"/>
    <x v="6"/>
    <x v="7"/>
    <n v="91"/>
  </r>
  <r>
    <x v="0"/>
    <x v="1"/>
    <x v="4"/>
    <x v="14"/>
    <x v="16"/>
    <x v="9"/>
    <x v="8"/>
    <n v="273"/>
  </r>
  <r>
    <x v="0"/>
    <x v="1"/>
    <x v="4"/>
    <x v="14"/>
    <x v="16"/>
    <x v="9"/>
    <x v="7"/>
    <n v="65"/>
  </r>
  <r>
    <x v="0"/>
    <x v="1"/>
    <x v="4"/>
    <x v="14"/>
    <x v="16"/>
    <x v="12"/>
    <x v="8"/>
    <n v="189"/>
  </r>
  <r>
    <x v="0"/>
    <x v="1"/>
    <x v="4"/>
    <x v="14"/>
    <x v="16"/>
    <x v="7"/>
    <x v="10"/>
    <n v="12"/>
  </r>
  <r>
    <x v="0"/>
    <x v="1"/>
    <x v="4"/>
    <x v="14"/>
    <x v="16"/>
    <x v="7"/>
    <x v="5"/>
    <n v="1"/>
  </r>
  <r>
    <x v="0"/>
    <x v="1"/>
    <x v="4"/>
    <x v="14"/>
    <x v="16"/>
    <x v="7"/>
    <x v="2"/>
    <n v="2"/>
  </r>
  <r>
    <x v="0"/>
    <x v="1"/>
    <x v="4"/>
    <x v="14"/>
    <x v="16"/>
    <x v="1"/>
    <x v="8"/>
    <n v="5"/>
  </r>
  <r>
    <x v="0"/>
    <x v="1"/>
    <x v="4"/>
    <x v="14"/>
    <x v="16"/>
    <x v="8"/>
    <x v="10"/>
    <n v="8"/>
  </r>
  <r>
    <x v="0"/>
    <x v="1"/>
    <x v="4"/>
    <x v="14"/>
    <x v="16"/>
    <x v="8"/>
    <x v="4"/>
    <n v="1"/>
  </r>
  <r>
    <x v="0"/>
    <x v="1"/>
    <x v="4"/>
    <x v="18"/>
    <x v="12"/>
    <x v="0"/>
    <x v="4"/>
    <n v="1"/>
  </r>
  <r>
    <x v="0"/>
    <x v="1"/>
    <x v="4"/>
    <x v="15"/>
    <x v="16"/>
    <x v="0"/>
    <x v="5"/>
    <n v="1"/>
  </r>
  <r>
    <x v="0"/>
    <x v="1"/>
    <x v="4"/>
    <x v="15"/>
    <x v="16"/>
    <x v="0"/>
    <x v="2"/>
    <n v="3"/>
  </r>
  <r>
    <x v="0"/>
    <x v="1"/>
    <x v="4"/>
    <x v="15"/>
    <x v="16"/>
    <x v="0"/>
    <x v="13"/>
    <n v="2"/>
  </r>
  <r>
    <x v="0"/>
    <x v="1"/>
    <x v="4"/>
    <x v="15"/>
    <x v="16"/>
    <x v="0"/>
    <x v="11"/>
    <n v="1"/>
  </r>
  <r>
    <x v="0"/>
    <x v="1"/>
    <x v="4"/>
    <x v="15"/>
    <x v="16"/>
    <x v="0"/>
    <x v="0"/>
    <n v="6"/>
  </r>
  <r>
    <x v="0"/>
    <x v="1"/>
    <x v="4"/>
    <x v="15"/>
    <x v="1"/>
    <x v="0"/>
    <x v="12"/>
    <n v="1"/>
  </r>
  <r>
    <x v="0"/>
    <x v="1"/>
    <x v="4"/>
    <x v="15"/>
    <x v="1"/>
    <x v="0"/>
    <x v="9"/>
    <n v="1"/>
  </r>
  <r>
    <x v="0"/>
    <x v="1"/>
    <x v="4"/>
    <x v="15"/>
    <x v="1"/>
    <x v="0"/>
    <x v="4"/>
    <n v="1"/>
  </r>
  <r>
    <x v="0"/>
    <x v="1"/>
    <x v="4"/>
    <x v="15"/>
    <x v="8"/>
    <x v="0"/>
    <x v="9"/>
    <n v="8"/>
  </r>
  <r>
    <x v="0"/>
    <x v="1"/>
    <x v="4"/>
    <x v="15"/>
    <x v="8"/>
    <x v="0"/>
    <x v="3"/>
    <n v="18"/>
  </r>
  <r>
    <x v="0"/>
    <x v="1"/>
    <x v="4"/>
    <x v="15"/>
    <x v="8"/>
    <x v="0"/>
    <x v="4"/>
    <n v="19"/>
  </r>
  <r>
    <x v="0"/>
    <x v="1"/>
    <x v="4"/>
    <x v="15"/>
    <x v="6"/>
    <x v="0"/>
    <x v="12"/>
    <n v="5"/>
  </r>
  <r>
    <x v="0"/>
    <x v="1"/>
    <x v="4"/>
    <x v="15"/>
    <x v="18"/>
    <x v="0"/>
    <x v="1"/>
    <n v="12"/>
  </r>
  <r>
    <x v="0"/>
    <x v="1"/>
    <x v="4"/>
    <x v="15"/>
    <x v="18"/>
    <x v="0"/>
    <x v="5"/>
    <n v="1"/>
  </r>
  <r>
    <x v="0"/>
    <x v="1"/>
    <x v="4"/>
    <x v="15"/>
    <x v="18"/>
    <x v="0"/>
    <x v="13"/>
    <n v="1"/>
  </r>
  <r>
    <x v="0"/>
    <x v="1"/>
    <x v="4"/>
    <x v="17"/>
    <x v="12"/>
    <x v="0"/>
    <x v="19"/>
    <n v="2"/>
  </r>
  <r>
    <x v="0"/>
    <x v="1"/>
    <x v="4"/>
    <x v="17"/>
    <x v="2"/>
    <x v="9"/>
    <x v="19"/>
    <n v="1"/>
  </r>
  <r>
    <x v="0"/>
    <x v="1"/>
    <x v="4"/>
    <x v="17"/>
    <x v="2"/>
    <x v="12"/>
    <x v="17"/>
    <n v="1"/>
  </r>
  <r>
    <x v="0"/>
    <x v="1"/>
    <x v="4"/>
    <x v="17"/>
    <x v="2"/>
    <x v="7"/>
    <x v="0"/>
    <n v="1"/>
  </r>
  <r>
    <x v="0"/>
    <x v="1"/>
    <x v="4"/>
    <x v="17"/>
    <x v="2"/>
    <x v="1"/>
    <x v="19"/>
    <n v="1"/>
  </r>
  <r>
    <x v="0"/>
    <x v="1"/>
    <x v="4"/>
    <x v="17"/>
    <x v="4"/>
    <x v="0"/>
    <x v="5"/>
    <n v="1"/>
  </r>
  <r>
    <x v="0"/>
    <x v="1"/>
    <x v="4"/>
    <x v="17"/>
    <x v="4"/>
    <x v="0"/>
    <x v="2"/>
    <n v="2"/>
  </r>
  <r>
    <x v="0"/>
    <x v="1"/>
    <x v="4"/>
    <x v="17"/>
    <x v="4"/>
    <x v="0"/>
    <x v="13"/>
    <n v="2"/>
  </r>
  <r>
    <x v="0"/>
    <x v="1"/>
    <x v="4"/>
    <x v="17"/>
    <x v="16"/>
    <x v="0"/>
    <x v="12"/>
    <n v="3"/>
  </r>
  <r>
    <x v="0"/>
    <x v="1"/>
    <x v="4"/>
    <x v="17"/>
    <x v="16"/>
    <x v="0"/>
    <x v="9"/>
    <n v="2"/>
  </r>
  <r>
    <x v="0"/>
    <x v="1"/>
    <x v="4"/>
    <x v="17"/>
    <x v="16"/>
    <x v="0"/>
    <x v="3"/>
    <n v="1"/>
  </r>
  <r>
    <x v="0"/>
    <x v="1"/>
    <x v="4"/>
    <x v="17"/>
    <x v="16"/>
    <x v="0"/>
    <x v="5"/>
    <n v="1"/>
  </r>
  <r>
    <x v="0"/>
    <x v="1"/>
    <x v="4"/>
    <x v="17"/>
    <x v="3"/>
    <x v="0"/>
    <x v="10"/>
    <n v="1"/>
  </r>
  <r>
    <x v="0"/>
    <x v="1"/>
    <x v="4"/>
    <x v="17"/>
    <x v="3"/>
    <x v="0"/>
    <x v="12"/>
    <n v="1"/>
  </r>
  <r>
    <x v="0"/>
    <x v="1"/>
    <x v="4"/>
    <x v="19"/>
    <x v="10"/>
    <x v="0"/>
    <x v="6"/>
    <n v="1"/>
  </r>
  <r>
    <x v="0"/>
    <x v="1"/>
    <x v="4"/>
    <x v="19"/>
    <x v="10"/>
    <x v="0"/>
    <x v="10"/>
    <n v="4"/>
  </r>
  <r>
    <x v="0"/>
    <x v="1"/>
    <x v="5"/>
    <x v="0"/>
    <x v="19"/>
    <x v="3"/>
    <x v="2"/>
    <n v="1"/>
  </r>
  <r>
    <x v="0"/>
    <x v="1"/>
    <x v="5"/>
    <x v="0"/>
    <x v="19"/>
    <x v="3"/>
    <x v="14"/>
    <n v="1"/>
  </r>
  <r>
    <x v="0"/>
    <x v="1"/>
    <x v="5"/>
    <x v="0"/>
    <x v="19"/>
    <x v="3"/>
    <x v="19"/>
    <n v="1"/>
  </r>
  <r>
    <x v="0"/>
    <x v="1"/>
    <x v="5"/>
    <x v="0"/>
    <x v="19"/>
    <x v="4"/>
    <x v="17"/>
    <n v="2"/>
  </r>
  <r>
    <x v="0"/>
    <x v="1"/>
    <x v="5"/>
    <x v="2"/>
    <x v="0"/>
    <x v="4"/>
    <x v="0"/>
    <n v="2"/>
  </r>
  <r>
    <x v="0"/>
    <x v="1"/>
    <x v="5"/>
    <x v="2"/>
    <x v="0"/>
    <x v="4"/>
    <x v="18"/>
    <n v="2"/>
  </r>
  <r>
    <x v="0"/>
    <x v="1"/>
    <x v="5"/>
    <x v="2"/>
    <x v="0"/>
    <x v="5"/>
    <x v="0"/>
    <n v="1"/>
  </r>
  <r>
    <x v="0"/>
    <x v="1"/>
    <x v="5"/>
    <x v="2"/>
    <x v="0"/>
    <x v="11"/>
    <x v="0"/>
    <n v="2"/>
  </r>
  <r>
    <x v="0"/>
    <x v="1"/>
    <x v="5"/>
    <x v="2"/>
    <x v="0"/>
    <x v="9"/>
    <x v="0"/>
    <n v="1"/>
  </r>
  <r>
    <x v="0"/>
    <x v="1"/>
    <x v="5"/>
    <x v="2"/>
    <x v="0"/>
    <x v="7"/>
    <x v="11"/>
    <n v="1"/>
  </r>
  <r>
    <x v="0"/>
    <x v="1"/>
    <x v="5"/>
    <x v="2"/>
    <x v="10"/>
    <x v="7"/>
    <x v="17"/>
    <n v="1"/>
  </r>
  <r>
    <x v="0"/>
    <x v="1"/>
    <x v="5"/>
    <x v="2"/>
    <x v="10"/>
    <x v="7"/>
    <x v="19"/>
    <n v="7"/>
  </r>
  <r>
    <x v="0"/>
    <x v="1"/>
    <x v="5"/>
    <x v="2"/>
    <x v="10"/>
    <x v="8"/>
    <x v="19"/>
    <n v="17"/>
  </r>
  <r>
    <x v="0"/>
    <x v="1"/>
    <x v="5"/>
    <x v="2"/>
    <x v="10"/>
    <x v="0"/>
    <x v="18"/>
    <n v="1"/>
  </r>
  <r>
    <x v="0"/>
    <x v="1"/>
    <x v="5"/>
    <x v="3"/>
    <x v="6"/>
    <x v="6"/>
    <x v="18"/>
    <n v="1"/>
  </r>
  <r>
    <x v="0"/>
    <x v="1"/>
    <x v="5"/>
    <x v="3"/>
    <x v="6"/>
    <x v="7"/>
    <x v="19"/>
    <n v="1"/>
  </r>
  <r>
    <x v="0"/>
    <x v="1"/>
    <x v="2"/>
    <x v="0"/>
    <x v="1"/>
    <x v="0"/>
    <x v="9"/>
    <n v="2"/>
  </r>
  <r>
    <x v="0"/>
    <x v="1"/>
    <x v="2"/>
    <x v="0"/>
    <x v="1"/>
    <x v="0"/>
    <x v="3"/>
    <n v="3"/>
  </r>
  <r>
    <x v="0"/>
    <x v="1"/>
    <x v="2"/>
    <x v="0"/>
    <x v="18"/>
    <x v="0"/>
    <x v="17"/>
    <n v="1"/>
  </r>
  <r>
    <x v="0"/>
    <x v="1"/>
    <x v="2"/>
    <x v="1"/>
    <x v="13"/>
    <x v="0"/>
    <x v="13"/>
    <n v="1"/>
  </r>
  <r>
    <x v="0"/>
    <x v="1"/>
    <x v="2"/>
    <x v="1"/>
    <x v="15"/>
    <x v="0"/>
    <x v="11"/>
    <n v="1"/>
  </r>
  <r>
    <x v="0"/>
    <x v="1"/>
    <x v="2"/>
    <x v="1"/>
    <x v="8"/>
    <x v="0"/>
    <x v="3"/>
    <n v="4"/>
  </r>
  <r>
    <x v="0"/>
    <x v="1"/>
    <x v="2"/>
    <x v="1"/>
    <x v="8"/>
    <x v="0"/>
    <x v="2"/>
    <n v="1"/>
  </r>
  <r>
    <x v="0"/>
    <x v="1"/>
    <x v="2"/>
    <x v="2"/>
    <x v="0"/>
    <x v="8"/>
    <x v="9"/>
    <n v="1"/>
  </r>
  <r>
    <x v="0"/>
    <x v="1"/>
    <x v="2"/>
    <x v="2"/>
    <x v="0"/>
    <x v="8"/>
    <x v="5"/>
    <n v="1"/>
  </r>
  <r>
    <x v="0"/>
    <x v="1"/>
    <x v="2"/>
    <x v="2"/>
    <x v="0"/>
    <x v="0"/>
    <x v="11"/>
    <n v="1"/>
  </r>
  <r>
    <x v="0"/>
    <x v="1"/>
    <x v="2"/>
    <x v="2"/>
    <x v="2"/>
    <x v="0"/>
    <x v="11"/>
    <n v="10"/>
  </r>
  <r>
    <x v="0"/>
    <x v="1"/>
    <x v="2"/>
    <x v="2"/>
    <x v="2"/>
    <x v="0"/>
    <x v="14"/>
    <n v="6"/>
  </r>
  <r>
    <x v="0"/>
    <x v="1"/>
    <x v="2"/>
    <x v="3"/>
    <x v="0"/>
    <x v="0"/>
    <x v="13"/>
    <n v="1"/>
  </r>
  <r>
    <x v="0"/>
    <x v="1"/>
    <x v="2"/>
    <x v="3"/>
    <x v="0"/>
    <x v="0"/>
    <x v="11"/>
    <n v="4"/>
  </r>
  <r>
    <x v="0"/>
    <x v="1"/>
    <x v="2"/>
    <x v="3"/>
    <x v="0"/>
    <x v="0"/>
    <x v="14"/>
    <n v="2"/>
  </r>
  <r>
    <x v="0"/>
    <x v="1"/>
    <x v="2"/>
    <x v="3"/>
    <x v="0"/>
    <x v="0"/>
    <x v="17"/>
    <n v="3"/>
  </r>
  <r>
    <x v="0"/>
    <x v="1"/>
    <x v="2"/>
    <x v="3"/>
    <x v="9"/>
    <x v="0"/>
    <x v="19"/>
    <n v="3"/>
  </r>
  <r>
    <x v="0"/>
    <x v="1"/>
    <x v="2"/>
    <x v="4"/>
    <x v="10"/>
    <x v="0"/>
    <x v="19"/>
    <n v="3"/>
  </r>
  <r>
    <x v="0"/>
    <x v="1"/>
    <x v="2"/>
    <x v="4"/>
    <x v="19"/>
    <x v="0"/>
    <x v="2"/>
    <n v="1"/>
  </r>
  <r>
    <x v="0"/>
    <x v="1"/>
    <x v="2"/>
    <x v="5"/>
    <x v="0"/>
    <x v="0"/>
    <x v="4"/>
    <n v="6"/>
  </r>
  <r>
    <x v="0"/>
    <x v="1"/>
    <x v="2"/>
    <x v="5"/>
    <x v="0"/>
    <x v="0"/>
    <x v="5"/>
    <n v="5"/>
  </r>
  <r>
    <x v="0"/>
    <x v="1"/>
    <x v="2"/>
    <x v="5"/>
    <x v="0"/>
    <x v="0"/>
    <x v="2"/>
    <n v="3"/>
  </r>
  <r>
    <x v="0"/>
    <x v="1"/>
    <x v="2"/>
    <x v="5"/>
    <x v="8"/>
    <x v="0"/>
    <x v="19"/>
    <n v="1"/>
  </r>
  <r>
    <x v="0"/>
    <x v="1"/>
    <x v="2"/>
    <x v="6"/>
    <x v="0"/>
    <x v="0"/>
    <x v="4"/>
    <n v="2"/>
  </r>
  <r>
    <x v="0"/>
    <x v="1"/>
    <x v="2"/>
    <x v="6"/>
    <x v="12"/>
    <x v="0"/>
    <x v="18"/>
    <n v="1"/>
  </r>
  <r>
    <x v="0"/>
    <x v="1"/>
    <x v="2"/>
    <x v="6"/>
    <x v="5"/>
    <x v="0"/>
    <x v="2"/>
    <n v="1"/>
  </r>
  <r>
    <x v="0"/>
    <x v="1"/>
    <x v="2"/>
    <x v="6"/>
    <x v="5"/>
    <x v="0"/>
    <x v="13"/>
    <n v="2"/>
  </r>
  <r>
    <x v="0"/>
    <x v="1"/>
    <x v="2"/>
    <x v="6"/>
    <x v="5"/>
    <x v="0"/>
    <x v="11"/>
    <n v="5"/>
  </r>
  <r>
    <x v="0"/>
    <x v="1"/>
    <x v="2"/>
    <x v="6"/>
    <x v="15"/>
    <x v="0"/>
    <x v="19"/>
    <n v="2"/>
  </r>
  <r>
    <x v="0"/>
    <x v="1"/>
    <x v="2"/>
    <x v="6"/>
    <x v="6"/>
    <x v="0"/>
    <x v="14"/>
    <n v="1"/>
  </r>
  <r>
    <x v="0"/>
    <x v="1"/>
    <x v="2"/>
    <x v="6"/>
    <x v="6"/>
    <x v="0"/>
    <x v="19"/>
    <n v="1"/>
  </r>
  <r>
    <x v="0"/>
    <x v="1"/>
    <x v="2"/>
    <x v="6"/>
    <x v="10"/>
    <x v="0"/>
    <x v="2"/>
    <n v="1"/>
  </r>
  <r>
    <x v="0"/>
    <x v="1"/>
    <x v="2"/>
    <x v="9"/>
    <x v="0"/>
    <x v="0"/>
    <x v="11"/>
    <n v="1"/>
  </r>
  <r>
    <x v="0"/>
    <x v="1"/>
    <x v="2"/>
    <x v="9"/>
    <x v="14"/>
    <x v="0"/>
    <x v="0"/>
    <n v="1"/>
  </r>
  <r>
    <x v="0"/>
    <x v="1"/>
    <x v="2"/>
    <x v="9"/>
    <x v="8"/>
    <x v="0"/>
    <x v="18"/>
    <n v="1"/>
  </r>
  <r>
    <x v="0"/>
    <x v="1"/>
    <x v="2"/>
    <x v="9"/>
    <x v="3"/>
    <x v="0"/>
    <x v="18"/>
    <n v="1"/>
  </r>
  <r>
    <x v="0"/>
    <x v="1"/>
    <x v="2"/>
    <x v="9"/>
    <x v="9"/>
    <x v="0"/>
    <x v="19"/>
    <n v="1"/>
  </r>
  <r>
    <x v="0"/>
    <x v="1"/>
    <x v="2"/>
    <x v="7"/>
    <x v="12"/>
    <x v="0"/>
    <x v="1"/>
    <n v="2"/>
  </r>
  <r>
    <x v="0"/>
    <x v="1"/>
    <x v="2"/>
    <x v="7"/>
    <x v="12"/>
    <x v="0"/>
    <x v="14"/>
    <n v="1"/>
  </r>
  <r>
    <x v="0"/>
    <x v="1"/>
    <x v="2"/>
    <x v="7"/>
    <x v="9"/>
    <x v="0"/>
    <x v="19"/>
    <n v="12"/>
  </r>
  <r>
    <x v="0"/>
    <x v="1"/>
    <x v="2"/>
    <x v="7"/>
    <x v="10"/>
    <x v="0"/>
    <x v="19"/>
    <n v="4"/>
  </r>
  <r>
    <x v="0"/>
    <x v="1"/>
    <x v="2"/>
    <x v="8"/>
    <x v="9"/>
    <x v="0"/>
    <x v="19"/>
    <n v="5"/>
  </r>
  <r>
    <x v="0"/>
    <x v="1"/>
    <x v="2"/>
    <x v="8"/>
    <x v="10"/>
    <x v="0"/>
    <x v="11"/>
    <n v="4"/>
  </r>
  <r>
    <x v="0"/>
    <x v="1"/>
    <x v="2"/>
    <x v="8"/>
    <x v="10"/>
    <x v="0"/>
    <x v="14"/>
    <n v="1"/>
  </r>
  <r>
    <x v="0"/>
    <x v="1"/>
    <x v="2"/>
    <x v="8"/>
    <x v="10"/>
    <x v="0"/>
    <x v="19"/>
    <n v="1"/>
  </r>
  <r>
    <x v="0"/>
    <x v="1"/>
    <x v="2"/>
    <x v="8"/>
    <x v="11"/>
    <x v="1"/>
    <x v="12"/>
    <n v="1"/>
  </r>
  <r>
    <x v="0"/>
    <x v="1"/>
    <x v="2"/>
    <x v="8"/>
    <x v="11"/>
    <x v="1"/>
    <x v="9"/>
    <n v="3"/>
  </r>
  <r>
    <x v="0"/>
    <x v="1"/>
    <x v="2"/>
    <x v="8"/>
    <x v="11"/>
    <x v="1"/>
    <x v="3"/>
    <n v="1"/>
  </r>
  <r>
    <x v="0"/>
    <x v="1"/>
    <x v="2"/>
    <x v="8"/>
    <x v="11"/>
    <x v="0"/>
    <x v="12"/>
    <n v="42"/>
  </r>
  <r>
    <x v="0"/>
    <x v="1"/>
    <x v="2"/>
    <x v="8"/>
    <x v="11"/>
    <x v="0"/>
    <x v="9"/>
    <n v="29"/>
  </r>
  <r>
    <x v="0"/>
    <x v="1"/>
    <x v="2"/>
    <x v="8"/>
    <x v="11"/>
    <x v="0"/>
    <x v="3"/>
    <n v="13"/>
  </r>
  <r>
    <x v="0"/>
    <x v="1"/>
    <x v="2"/>
    <x v="8"/>
    <x v="11"/>
    <x v="0"/>
    <x v="4"/>
    <n v="12"/>
  </r>
  <r>
    <x v="0"/>
    <x v="1"/>
    <x v="2"/>
    <x v="8"/>
    <x v="11"/>
    <x v="0"/>
    <x v="0"/>
    <n v="1"/>
  </r>
  <r>
    <x v="0"/>
    <x v="1"/>
    <x v="2"/>
    <x v="10"/>
    <x v="1"/>
    <x v="0"/>
    <x v="19"/>
    <n v="15"/>
  </r>
  <r>
    <x v="0"/>
    <x v="1"/>
    <x v="2"/>
    <x v="10"/>
    <x v="11"/>
    <x v="0"/>
    <x v="0"/>
    <n v="1"/>
  </r>
  <r>
    <x v="0"/>
    <x v="1"/>
    <x v="2"/>
    <x v="11"/>
    <x v="1"/>
    <x v="0"/>
    <x v="17"/>
    <n v="1"/>
  </r>
  <r>
    <x v="0"/>
    <x v="1"/>
    <x v="2"/>
    <x v="11"/>
    <x v="7"/>
    <x v="8"/>
    <x v="0"/>
    <n v="1"/>
  </r>
  <r>
    <x v="0"/>
    <x v="1"/>
    <x v="2"/>
    <x v="11"/>
    <x v="7"/>
    <x v="0"/>
    <x v="17"/>
    <n v="2"/>
  </r>
  <r>
    <x v="0"/>
    <x v="1"/>
    <x v="2"/>
    <x v="11"/>
    <x v="7"/>
    <x v="0"/>
    <x v="19"/>
    <n v="1"/>
  </r>
  <r>
    <x v="0"/>
    <x v="1"/>
    <x v="2"/>
    <x v="11"/>
    <x v="9"/>
    <x v="0"/>
    <x v="11"/>
    <n v="1"/>
  </r>
  <r>
    <x v="0"/>
    <x v="1"/>
    <x v="2"/>
    <x v="12"/>
    <x v="5"/>
    <x v="1"/>
    <x v="14"/>
    <n v="1"/>
  </r>
  <r>
    <x v="0"/>
    <x v="1"/>
    <x v="2"/>
    <x v="12"/>
    <x v="5"/>
    <x v="0"/>
    <x v="14"/>
    <n v="1"/>
  </r>
  <r>
    <x v="0"/>
    <x v="1"/>
    <x v="2"/>
    <x v="12"/>
    <x v="5"/>
    <x v="0"/>
    <x v="17"/>
    <n v="1"/>
  </r>
  <r>
    <x v="0"/>
    <x v="1"/>
    <x v="2"/>
    <x v="12"/>
    <x v="5"/>
    <x v="0"/>
    <x v="19"/>
    <n v="3"/>
  </r>
  <r>
    <x v="0"/>
    <x v="1"/>
    <x v="2"/>
    <x v="12"/>
    <x v="15"/>
    <x v="0"/>
    <x v="19"/>
    <n v="2"/>
  </r>
  <r>
    <x v="0"/>
    <x v="1"/>
    <x v="2"/>
    <x v="12"/>
    <x v="3"/>
    <x v="0"/>
    <x v="19"/>
    <n v="1"/>
  </r>
  <r>
    <x v="0"/>
    <x v="1"/>
    <x v="2"/>
    <x v="12"/>
    <x v="6"/>
    <x v="7"/>
    <x v="9"/>
    <n v="1"/>
  </r>
  <r>
    <x v="0"/>
    <x v="1"/>
    <x v="2"/>
    <x v="12"/>
    <x v="6"/>
    <x v="7"/>
    <x v="0"/>
    <n v="1"/>
  </r>
  <r>
    <x v="0"/>
    <x v="1"/>
    <x v="2"/>
    <x v="12"/>
    <x v="6"/>
    <x v="8"/>
    <x v="12"/>
    <n v="1"/>
  </r>
  <r>
    <x v="0"/>
    <x v="1"/>
    <x v="2"/>
    <x v="12"/>
    <x v="6"/>
    <x v="8"/>
    <x v="9"/>
    <n v="1"/>
  </r>
  <r>
    <x v="0"/>
    <x v="1"/>
    <x v="2"/>
    <x v="13"/>
    <x v="5"/>
    <x v="0"/>
    <x v="19"/>
    <n v="12"/>
  </r>
  <r>
    <x v="0"/>
    <x v="1"/>
    <x v="2"/>
    <x v="13"/>
    <x v="8"/>
    <x v="8"/>
    <x v="2"/>
    <n v="1"/>
  </r>
  <r>
    <x v="0"/>
    <x v="1"/>
    <x v="3"/>
    <x v="4"/>
    <x v="2"/>
    <x v="0"/>
    <x v="1"/>
    <n v="1"/>
  </r>
  <r>
    <x v="0"/>
    <x v="1"/>
    <x v="3"/>
    <x v="4"/>
    <x v="4"/>
    <x v="14"/>
    <x v="4"/>
    <n v="1"/>
  </r>
  <r>
    <x v="0"/>
    <x v="1"/>
    <x v="3"/>
    <x v="4"/>
    <x v="4"/>
    <x v="13"/>
    <x v="12"/>
    <n v="1"/>
  </r>
  <r>
    <x v="0"/>
    <x v="1"/>
    <x v="3"/>
    <x v="4"/>
    <x v="4"/>
    <x v="2"/>
    <x v="1"/>
    <n v="4"/>
  </r>
  <r>
    <x v="0"/>
    <x v="1"/>
    <x v="3"/>
    <x v="4"/>
    <x v="4"/>
    <x v="2"/>
    <x v="12"/>
    <n v="1"/>
  </r>
  <r>
    <x v="0"/>
    <x v="1"/>
    <x v="3"/>
    <x v="4"/>
    <x v="4"/>
    <x v="10"/>
    <x v="1"/>
    <n v="1"/>
  </r>
  <r>
    <x v="0"/>
    <x v="1"/>
    <x v="3"/>
    <x v="4"/>
    <x v="4"/>
    <x v="10"/>
    <x v="12"/>
    <n v="1"/>
  </r>
  <r>
    <x v="0"/>
    <x v="1"/>
    <x v="3"/>
    <x v="4"/>
    <x v="4"/>
    <x v="4"/>
    <x v="1"/>
    <n v="1"/>
  </r>
  <r>
    <x v="0"/>
    <x v="1"/>
    <x v="3"/>
    <x v="4"/>
    <x v="5"/>
    <x v="0"/>
    <x v="9"/>
    <n v="3"/>
  </r>
  <r>
    <x v="0"/>
    <x v="1"/>
    <x v="3"/>
    <x v="4"/>
    <x v="5"/>
    <x v="0"/>
    <x v="3"/>
    <n v="1"/>
  </r>
  <r>
    <x v="0"/>
    <x v="1"/>
    <x v="3"/>
    <x v="4"/>
    <x v="5"/>
    <x v="0"/>
    <x v="4"/>
    <n v="2"/>
  </r>
  <r>
    <x v="0"/>
    <x v="1"/>
    <x v="3"/>
    <x v="4"/>
    <x v="5"/>
    <x v="0"/>
    <x v="5"/>
    <n v="2"/>
  </r>
  <r>
    <x v="0"/>
    <x v="1"/>
    <x v="3"/>
    <x v="4"/>
    <x v="15"/>
    <x v="0"/>
    <x v="1"/>
    <n v="2"/>
  </r>
  <r>
    <x v="0"/>
    <x v="1"/>
    <x v="3"/>
    <x v="4"/>
    <x v="15"/>
    <x v="0"/>
    <x v="12"/>
    <n v="1"/>
  </r>
  <r>
    <x v="0"/>
    <x v="1"/>
    <x v="3"/>
    <x v="4"/>
    <x v="9"/>
    <x v="7"/>
    <x v="12"/>
    <n v="1"/>
  </r>
  <r>
    <x v="0"/>
    <x v="1"/>
    <x v="3"/>
    <x v="4"/>
    <x v="9"/>
    <x v="1"/>
    <x v="10"/>
    <n v="2"/>
  </r>
  <r>
    <x v="0"/>
    <x v="1"/>
    <x v="3"/>
    <x v="5"/>
    <x v="15"/>
    <x v="0"/>
    <x v="1"/>
    <n v="3"/>
  </r>
  <r>
    <x v="0"/>
    <x v="1"/>
    <x v="3"/>
    <x v="5"/>
    <x v="10"/>
    <x v="11"/>
    <x v="6"/>
    <n v="2"/>
  </r>
  <r>
    <x v="0"/>
    <x v="1"/>
    <x v="3"/>
    <x v="5"/>
    <x v="10"/>
    <x v="11"/>
    <x v="10"/>
    <n v="2"/>
  </r>
  <r>
    <x v="0"/>
    <x v="1"/>
    <x v="3"/>
    <x v="5"/>
    <x v="10"/>
    <x v="6"/>
    <x v="6"/>
    <n v="3"/>
  </r>
  <r>
    <x v="0"/>
    <x v="1"/>
    <x v="3"/>
    <x v="5"/>
    <x v="10"/>
    <x v="6"/>
    <x v="10"/>
    <n v="3"/>
  </r>
  <r>
    <x v="0"/>
    <x v="1"/>
    <x v="3"/>
    <x v="5"/>
    <x v="10"/>
    <x v="9"/>
    <x v="6"/>
    <n v="2"/>
  </r>
  <r>
    <x v="0"/>
    <x v="1"/>
    <x v="3"/>
    <x v="5"/>
    <x v="10"/>
    <x v="12"/>
    <x v="6"/>
    <n v="1"/>
  </r>
  <r>
    <x v="0"/>
    <x v="1"/>
    <x v="3"/>
    <x v="5"/>
    <x v="10"/>
    <x v="7"/>
    <x v="1"/>
    <n v="1"/>
  </r>
  <r>
    <x v="0"/>
    <x v="1"/>
    <x v="3"/>
    <x v="5"/>
    <x v="11"/>
    <x v="5"/>
    <x v="12"/>
    <n v="1"/>
  </r>
  <r>
    <x v="0"/>
    <x v="1"/>
    <x v="3"/>
    <x v="5"/>
    <x v="11"/>
    <x v="6"/>
    <x v="12"/>
    <n v="3"/>
  </r>
  <r>
    <x v="0"/>
    <x v="1"/>
    <x v="3"/>
    <x v="5"/>
    <x v="11"/>
    <x v="6"/>
    <x v="9"/>
    <n v="1"/>
  </r>
  <r>
    <x v="0"/>
    <x v="1"/>
    <x v="3"/>
    <x v="5"/>
    <x v="11"/>
    <x v="9"/>
    <x v="1"/>
    <n v="1"/>
  </r>
  <r>
    <x v="0"/>
    <x v="1"/>
    <x v="3"/>
    <x v="5"/>
    <x v="11"/>
    <x v="9"/>
    <x v="9"/>
    <n v="1"/>
  </r>
  <r>
    <x v="0"/>
    <x v="1"/>
    <x v="3"/>
    <x v="5"/>
    <x v="11"/>
    <x v="12"/>
    <x v="9"/>
    <n v="2"/>
  </r>
  <r>
    <x v="0"/>
    <x v="1"/>
    <x v="3"/>
    <x v="5"/>
    <x v="11"/>
    <x v="12"/>
    <x v="3"/>
    <n v="1"/>
  </r>
  <r>
    <x v="0"/>
    <x v="1"/>
    <x v="3"/>
    <x v="5"/>
    <x v="11"/>
    <x v="1"/>
    <x v="10"/>
    <n v="2"/>
  </r>
  <r>
    <x v="0"/>
    <x v="1"/>
    <x v="3"/>
    <x v="5"/>
    <x v="11"/>
    <x v="1"/>
    <x v="12"/>
    <n v="4"/>
  </r>
  <r>
    <x v="0"/>
    <x v="1"/>
    <x v="3"/>
    <x v="5"/>
    <x v="11"/>
    <x v="0"/>
    <x v="10"/>
    <n v="1"/>
  </r>
  <r>
    <x v="0"/>
    <x v="1"/>
    <x v="3"/>
    <x v="5"/>
    <x v="11"/>
    <x v="0"/>
    <x v="1"/>
    <n v="8"/>
  </r>
  <r>
    <x v="0"/>
    <x v="1"/>
    <x v="3"/>
    <x v="5"/>
    <x v="11"/>
    <x v="0"/>
    <x v="12"/>
    <n v="3"/>
  </r>
  <r>
    <x v="0"/>
    <x v="1"/>
    <x v="3"/>
    <x v="5"/>
    <x v="18"/>
    <x v="4"/>
    <x v="9"/>
    <n v="1"/>
  </r>
  <r>
    <x v="0"/>
    <x v="1"/>
    <x v="3"/>
    <x v="6"/>
    <x v="2"/>
    <x v="15"/>
    <x v="13"/>
    <n v="1"/>
  </r>
  <r>
    <x v="0"/>
    <x v="1"/>
    <x v="3"/>
    <x v="6"/>
    <x v="2"/>
    <x v="15"/>
    <x v="17"/>
    <n v="2"/>
  </r>
  <r>
    <x v="0"/>
    <x v="1"/>
    <x v="3"/>
    <x v="6"/>
    <x v="2"/>
    <x v="15"/>
    <x v="19"/>
    <n v="1"/>
  </r>
  <r>
    <x v="0"/>
    <x v="1"/>
    <x v="3"/>
    <x v="6"/>
    <x v="2"/>
    <x v="14"/>
    <x v="4"/>
    <n v="1"/>
  </r>
  <r>
    <x v="0"/>
    <x v="1"/>
    <x v="3"/>
    <x v="6"/>
    <x v="2"/>
    <x v="14"/>
    <x v="2"/>
    <n v="2"/>
  </r>
  <r>
    <x v="0"/>
    <x v="1"/>
    <x v="3"/>
    <x v="6"/>
    <x v="2"/>
    <x v="14"/>
    <x v="13"/>
    <n v="1"/>
  </r>
  <r>
    <x v="0"/>
    <x v="1"/>
    <x v="3"/>
    <x v="6"/>
    <x v="2"/>
    <x v="14"/>
    <x v="11"/>
    <n v="3"/>
  </r>
  <r>
    <x v="0"/>
    <x v="1"/>
    <x v="3"/>
    <x v="6"/>
    <x v="2"/>
    <x v="14"/>
    <x v="14"/>
    <n v="1"/>
  </r>
  <r>
    <x v="0"/>
    <x v="1"/>
    <x v="3"/>
    <x v="6"/>
    <x v="2"/>
    <x v="13"/>
    <x v="3"/>
    <n v="1"/>
  </r>
  <r>
    <x v="0"/>
    <x v="1"/>
    <x v="3"/>
    <x v="6"/>
    <x v="2"/>
    <x v="13"/>
    <x v="0"/>
    <n v="2"/>
  </r>
  <r>
    <x v="0"/>
    <x v="1"/>
    <x v="3"/>
    <x v="6"/>
    <x v="4"/>
    <x v="0"/>
    <x v="4"/>
    <n v="1"/>
  </r>
  <r>
    <x v="0"/>
    <x v="1"/>
    <x v="3"/>
    <x v="6"/>
    <x v="4"/>
    <x v="0"/>
    <x v="2"/>
    <n v="2"/>
  </r>
  <r>
    <x v="0"/>
    <x v="1"/>
    <x v="3"/>
    <x v="6"/>
    <x v="4"/>
    <x v="0"/>
    <x v="13"/>
    <n v="1"/>
  </r>
  <r>
    <x v="0"/>
    <x v="1"/>
    <x v="3"/>
    <x v="6"/>
    <x v="3"/>
    <x v="16"/>
    <x v="10"/>
    <n v="1"/>
  </r>
  <r>
    <x v="0"/>
    <x v="1"/>
    <x v="3"/>
    <x v="6"/>
    <x v="3"/>
    <x v="15"/>
    <x v="6"/>
    <n v="9"/>
  </r>
  <r>
    <x v="0"/>
    <x v="1"/>
    <x v="3"/>
    <x v="6"/>
    <x v="3"/>
    <x v="14"/>
    <x v="2"/>
    <n v="1"/>
  </r>
  <r>
    <x v="0"/>
    <x v="1"/>
    <x v="3"/>
    <x v="6"/>
    <x v="3"/>
    <x v="14"/>
    <x v="13"/>
    <n v="1"/>
  </r>
  <r>
    <x v="0"/>
    <x v="1"/>
    <x v="3"/>
    <x v="6"/>
    <x v="3"/>
    <x v="2"/>
    <x v="9"/>
    <n v="2"/>
  </r>
  <r>
    <x v="0"/>
    <x v="1"/>
    <x v="3"/>
    <x v="6"/>
    <x v="3"/>
    <x v="2"/>
    <x v="3"/>
    <n v="1"/>
  </r>
  <r>
    <x v="0"/>
    <x v="1"/>
    <x v="3"/>
    <x v="6"/>
    <x v="3"/>
    <x v="2"/>
    <x v="5"/>
    <n v="1"/>
  </r>
  <r>
    <x v="0"/>
    <x v="1"/>
    <x v="3"/>
    <x v="6"/>
    <x v="3"/>
    <x v="10"/>
    <x v="12"/>
    <n v="2"/>
  </r>
  <r>
    <x v="0"/>
    <x v="1"/>
    <x v="3"/>
    <x v="6"/>
    <x v="3"/>
    <x v="10"/>
    <x v="9"/>
    <n v="1"/>
  </r>
  <r>
    <x v="0"/>
    <x v="1"/>
    <x v="3"/>
    <x v="6"/>
    <x v="3"/>
    <x v="3"/>
    <x v="12"/>
    <n v="1"/>
  </r>
  <r>
    <x v="0"/>
    <x v="1"/>
    <x v="3"/>
    <x v="6"/>
    <x v="3"/>
    <x v="4"/>
    <x v="1"/>
    <n v="5"/>
  </r>
  <r>
    <x v="0"/>
    <x v="1"/>
    <x v="3"/>
    <x v="6"/>
    <x v="3"/>
    <x v="4"/>
    <x v="12"/>
    <n v="2"/>
  </r>
  <r>
    <x v="0"/>
    <x v="1"/>
    <x v="3"/>
    <x v="6"/>
    <x v="3"/>
    <x v="4"/>
    <x v="9"/>
    <n v="1"/>
  </r>
  <r>
    <x v="0"/>
    <x v="1"/>
    <x v="3"/>
    <x v="6"/>
    <x v="3"/>
    <x v="5"/>
    <x v="1"/>
    <n v="2"/>
  </r>
  <r>
    <x v="0"/>
    <x v="1"/>
    <x v="3"/>
    <x v="6"/>
    <x v="3"/>
    <x v="5"/>
    <x v="12"/>
    <n v="2"/>
  </r>
  <r>
    <x v="0"/>
    <x v="1"/>
    <x v="3"/>
    <x v="6"/>
    <x v="3"/>
    <x v="11"/>
    <x v="10"/>
    <n v="4"/>
  </r>
  <r>
    <x v="0"/>
    <x v="1"/>
    <x v="3"/>
    <x v="6"/>
    <x v="3"/>
    <x v="11"/>
    <x v="1"/>
    <n v="1"/>
  </r>
  <r>
    <x v="0"/>
    <x v="1"/>
    <x v="3"/>
    <x v="6"/>
    <x v="3"/>
    <x v="9"/>
    <x v="6"/>
    <n v="6"/>
  </r>
  <r>
    <x v="0"/>
    <x v="1"/>
    <x v="3"/>
    <x v="6"/>
    <x v="3"/>
    <x v="9"/>
    <x v="10"/>
    <n v="2"/>
  </r>
  <r>
    <x v="0"/>
    <x v="1"/>
    <x v="3"/>
    <x v="6"/>
    <x v="3"/>
    <x v="12"/>
    <x v="6"/>
    <n v="1"/>
  </r>
  <r>
    <x v="0"/>
    <x v="1"/>
    <x v="3"/>
    <x v="6"/>
    <x v="3"/>
    <x v="1"/>
    <x v="6"/>
    <n v="2"/>
  </r>
  <r>
    <x v="0"/>
    <x v="1"/>
    <x v="3"/>
    <x v="9"/>
    <x v="5"/>
    <x v="0"/>
    <x v="1"/>
    <n v="3"/>
  </r>
  <r>
    <x v="0"/>
    <x v="3"/>
    <x v="5"/>
    <x v="5"/>
    <x v="6"/>
    <x v="14"/>
    <x v="19"/>
    <n v="10"/>
  </r>
  <r>
    <x v="0"/>
    <x v="3"/>
    <x v="5"/>
    <x v="8"/>
    <x v="7"/>
    <x v="19"/>
    <x v="19"/>
    <n v="24"/>
  </r>
  <r>
    <x v="0"/>
    <x v="3"/>
    <x v="5"/>
    <x v="8"/>
    <x v="10"/>
    <x v="5"/>
    <x v="19"/>
    <n v="1"/>
  </r>
  <r>
    <x v="0"/>
    <x v="3"/>
    <x v="5"/>
    <x v="8"/>
    <x v="10"/>
    <x v="11"/>
    <x v="14"/>
    <n v="1"/>
  </r>
  <r>
    <x v="0"/>
    <x v="3"/>
    <x v="5"/>
    <x v="8"/>
    <x v="10"/>
    <x v="12"/>
    <x v="14"/>
    <n v="1"/>
  </r>
  <r>
    <x v="0"/>
    <x v="3"/>
    <x v="5"/>
    <x v="8"/>
    <x v="18"/>
    <x v="15"/>
    <x v="19"/>
    <n v="104"/>
  </r>
  <r>
    <x v="0"/>
    <x v="3"/>
    <x v="5"/>
    <x v="11"/>
    <x v="7"/>
    <x v="3"/>
    <x v="19"/>
    <n v="1"/>
  </r>
  <r>
    <x v="0"/>
    <x v="3"/>
    <x v="5"/>
    <x v="11"/>
    <x v="7"/>
    <x v="11"/>
    <x v="19"/>
    <n v="2"/>
  </r>
  <r>
    <x v="0"/>
    <x v="3"/>
    <x v="5"/>
    <x v="12"/>
    <x v="19"/>
    <x v="7"/>
    <x v="19"/>
    <n v="1"/>
  </r>
  <r>
    <x v="0"/>
    <x v="3"/>
    <x v="5"/>
    <x v="13"/>
    <x v="17"/>
    <x v="13"/>
    <x v="17"/>
    <n v="5"/>
  </r>
  <r>
    <x v="0"/>
    <x v="3"/>
    <x v="5"/>
    <x v="13"/>
    <x v="17"/>
    <x v="13"/>
    <x v="19"/>
    <n v="120"/>
  </r>
  <r>
    <x v="0"/>
    <x v="3"/>
    <x v="5"/>
    <x v="13"/>
    <x v="17"/>
    <x v="2"/>
    <x v="11"/>
    <n v="3"/>
  </r>
  <r>
    <x v="0"/>
    <x v="3"/>
    <x v="5"/>
    <x v="13"/>
    <x v="17"/>
    <x v="2"/>
    <x v="14"/>
    <n v="2"/>
  </r>
  <r>
    <x v="0"/>
    <x v="3"/>
    <x v="5"/>
    <x v="13"/>
    <x v="17"/>
    <x v="2"/>
    <x v="17"/>
    <n v="3"/>
  </r>
  <r>
    <x v="0"/>
    <x v="3"/>
    <x v="5"/>
    <x v="13"/>
    <x v="17"/>
    <x v="2"/>
    <x v="19"/>
    <n v="86"/>
  </r>
  <r>
    <x v="0"/>
    <x v="3"/>
    <x v="5"/>
    <x v="13"/>
    <x v="17"/>
    <x v="10"/>
    <x v="13"/>
    <n v="3"/>
  </r>
  <r>
    <x v="0"/>
    <x v="3"/>
    <x v="5"/>
    <x v="13"/>
    <x v="17"/>
    <x v="10"/>
    <x v="11"/>
    <n v="1"/>
  </r>
  <r>
    <x v="0"/>
    <x v="3"/>
    <x v="5"/>
    <x v="13"/>
    <x v="17"/>
    <x v="10"/>
    <x v="14"/>
    <n v="3"/>
  </r>
  <r>
    <x v="0"/>
    <x v="3"/>
    <x v="5"/>
    <x v="13"/>
    <x v="17"/>
    <x v="10"/>
    <x v="17"/>
    <n v="7"/>
  </r>
  <r>
    <x v="0"/>
    <x v="3"/>
    <x v="5"/>
    <x v="13"/>
    <x v="17"/>
    <x v="10"/>
    <x v="19"/>
    <n v="57"/>
  </r>
  <r>
    <x v="0"/>
    <x v="3"/>
    <x v="5"/>
    <x v="13"/>
    <x v="17"/>
    <x v="3"/>
    <x v="2"/>
    <n v="1"/>
  </r>
  <r>
    <x v="0"/>
    <x v="3"/>
    <x v="5"/>
    <x v="13"/>
    <x v="17"/>
    <x v="3"/>
    <x v="11"/>
    <n v="2"/>
  </r>
  <r>
    <x v="0"/>
    <x v="3"/>
    <x v="5"/>
    <x v="13"/>
    <x v="17"/>
    <x v="3"/>
    <x v="17"/>
    <n v="2"/>
  </r>
  <r>
    <x v="0"/>
    <x v="3"/>
    <x v="5"/>
    <x v="13"/>
    <x v="17"/>
    <x v="4"/>
    <x v="13"/>
    <n v="1"/>
  </r>
  <r>
    <x v="0"/>
    <x v="3"/>
    <x v="5"/>
    <x v="13"/>
    <x v="17"/>
    <x v="4"/>
    <x v="11"/>
    <n v="2"/>
  </r>
  <r>
    <x v="0"/>
    <x v="3"/>
    <x v="5"/>
    <x v="13"/>
    <x v="17"/>
    <x v="4"/>
    <x v="14"/>
    <n v="5"/>
  </r>
  <r>
    <x v="0"/>
    <x v="3"/>
    <x v="5"/>
    <x v="13"/>
    <x v="17"/>
    <x v="5"/>
    <x v="5"/>
    <n v="1"/>
  </r>
  <r>
    <x v="0"/>
    <x v="3"/>
    <x v="5"/>
    <x v="13"/>
    <x v="17"/>
    <x v="5"/>
    <x v="2"/>
    <n v="1"/>
  </r>
  <r>
    <x v="0"/>
    <x v="3"/>
    <x v="5"/>
    <x v="13"/>
    <x v="17"/>
    <x v="5"/>
    <x v="13"/>
    <n v="2"/>
  </r>
  <r>
    <x v="0"/>
    <x v="3"/>
    <x v="5"/>
    <x v="13"/>
    <x v="17"/>
    <x v="11"/>
    <x v="13"/>
    <n v="1"/>
  </r>
  <r>
    <x v="0"/>
    <x v="3"/>
    <x v="5"/>
    <x v="13"/>
    <x v="17"/>
    <x v="7"/>
    <x v="17"/>
    <n v="1"/>
  </r>
  <r>
    <x v="0"/>
    <x v="3"/>
    <x v="5"/>
    <x v="13"/>
    <x v="17"/>
    <x v="7"/>
    <x v="19"/>
    <n v="2"/>
  </r>
  <r>
    <x v="0"/>
    <x v="3"/>
    <x v="5"/>
    <x v="13"/>
    <x v="17"/>
    <x v="1"/>
    <x v="18"/>
    <n v="1"/>
  </r>
  <r>
    <x v="0"/>
    <x v="3"/>
    <x v="5"/>
    <x v="17"/>
    <x v="2"/>
    <x v="12"/>
    <x v="19"/>
    <n v="4"/>
  </r>
  <r>
    <x v="0"/>
    <x v="3"/>
    <x v="6"/>
    <x v="0"/>
    <x v="12"/>
    <x v="19"/>
    <x v="18"/>
    <n v="3"/>
  </r>
  <r>
    <x v="0"/>
    <x v="3"/>
    <x v="6"/>
    <x v="0"/>
    <x v="12"/>
    <x v="13"/>
    <x v="19"/>
    <n v="12"/>
  </r>
  <r>
    <x v="0"/>
    <x v="3"/>
    <x v="6"/>
    <x v="3"/>
    <x v="8"/>
    <x v="14"/>
    <x v="19"/>
    <n v="2"/>
  </r>
  <r>
    <x v="0"/>
    <x v="3"/>
    <x v="6"/>
    <x v="3"/>
    <x v="8"/>
    <x v="13"/>
    <x v="19"/>
    <n v="5"/>
  </r>
  <r>
    <x v="0"/>
    <x v="3"/>
    <x v="6"/>
    <x v="3"/>
    <x v="8"/>
    <x v="2"/>
    <x v="19"/>
    <n v="1"/>
  </r>
  <r>
    <x v="0"/>
    <x v="3"/>
    <x v="6"/>
    <x v="6"/>
    <x v="2"/>
    <x v="19"/>
    <x v="19"/>
    <n v="1"/>
  </r>
  <r>
    <x v="0"/>
    <x v="3"/>
    <x v="6"/>
    <x v="6"/>
    <x v="2"/>
    <x v="16"/>
    <x v="19"/>
    <n v="1"/>
  </r>
  <r>
    <x v="0"/>
    <x v="3"/>
    <x v="6"/>
    <x v="13"/>
    <x v="6"/>
    <x v="13"/>
    <x v="19"/>
    <n v="1"/>
  </r>
  <r>
    <x v="0"/>
    <x v="3"/>
    <x v="6"/>
    <x v="13"/>
    <x v="6"/>
    <x v="2"/>
    <x v="19"/>
    <n v="4"/>
  </r>
  <r>
    <x v="0"/>
    <x v="3"/>
    <x v="6"/>
    <x v="13"/>
    <x v="6"/>
    <x v="10"/>
    <x v="19"/>
    <n v="6"/>
  </r>
  <r>
    <x v="0"/>
    <x v="3"/>
    <x v="6"/>
    <x v="13"/>
    <x v="6"/>
    <x v="3"/>
    <x v="19"/>
    <n v="8"/>
  </r>
  <r>
    <x v="0"/>
    <x v="3"/>
    <x v="6"/>
    <x v="13"/>
    <x v="6"/>
    <x v="7"/>
    <x v="19"/>
    <n v="6"/>
  </r>
  <r>
    <x v="0"/>
    <x v="3"/>
    <x v="7"/>
    <x v="1"/>
    <x v="2"/>
    <x v="2"/>
    <x v="17"/>
    <n v="1"/>
  </r>
  <r>
    <x v="0"/>
    <x v="3"/>
    <x v="7"/>
    <x v="3"/>
    <x v="8"/>
    <x v="17"/>
    <x v="19"/>
    <n v="31"/>
  </r>
  <r>
    <x v="0"/>
    <x v="3"/>
    <x v="7"/>
    <x v="3"/>
    <x v="8"/>
    <x v="19"/>
    <x v="18"/>
    <n v="1"/>
  </r>
  <r>
    <x v="0"/>
    <x v="3"/>
    <x v="7"/>
    <x v="3"/>
    <x v="8"/>
    <x v="15"/>
    <x v="19"/>
    <n v="15"/>
  </r>
  <r>
    <x v="0"/>
    <x v="3"/>
    <x v="7"/>
    <x v="3"/>
    <x v="8"/>
    <x v="14"/>
    <x v="19"/>
    <n v="10"/>
  </r>
  <r>
    <x v="0"/>
    <x v="3"/>
    <x v="7"/>
    <x v="3"/>
    <x v="8"/>
    <x v="13"/>
    <x v="19"/>
    <n v="11"/>
  </r>
  <r>
    <x v="0"/>
    <x v="3"/>
    <x v="7"/>
    <x v="5"/>
    <x v="3"/>
    <x v="16"/>
    <x v="19"/>
    <n v="1"/>
  </r>
  <r>
    <x v="0"/>
    <x v="3"/>
    <x v="7"/>
    <x v="5"/>
    <x v="3"/>
    <x v="15"/>
    <x v="11"/>
    <n v="1"/>
  </r>
  <r>
    <x v="0"/>
    <x v="3"/>
    <x v="7"/>
    <x v="5"/>
    <x v="3"/>
    <x v="15"/>
    <x v="17"/>
    <n v="1"/>
  </r>
  <r>
    <x v="0"/>
    <x v="3"/>
    <x v="7"/>
    <x v="5"/>
    <x v="3"/>
    <x v="10"/>
    <x v="18"/>
    <n v="1"/>
  </r>
  <r>
    <x v="0"/>
    <x v="3"/>
    <x v="7"/>
    <x v="5"/>
    <x v="6"/>
    <x v="19"/>
    <x v="19"/>
    <n v="1"/>
  </r>
  <r>
    <x v="0"/>
    <x v="3"/>
    <x v="7"/>
    <x v="6"/>
    <x v="2"/>
    <x v="19"/>
    <x v="17"/>
    <n v="1"/>
  </r>
  <r>
    <x v="0"/>
    <x v="3"/>
    <x v="7"/>
    <x v="6"/>
    <x v="2"/>
    <x v="19"/>
    <x v="19"/>
    <n v="1"/>
  </r>
  <r>
    <x v="0"/>
    <x v="3"/>
    <x v="7"/>
    <x v="6"/>
    <x v="15"/>
    <x v="9"/>
    <x v="19"/>
    <n v="1"/>
  </r>
  <r>
    <x v="0"/>
    <x v="3"/>
    <x v="7"/>
    <x v="7"/>
    <x v="0"/>
    <x v="6"/>
    <x v="18"/>
    <n v="1"/>
  </r>
  <r>
    <x v="0"/>
    <x v="3"/>
    <x v="7"/>
    <x v="8"/>
    <x v="7"/>
    <x v="18"/>
    <x v="19"/>
    <n v="1"/>
  </r>
  <r>
    <x v="0"/>
    <x v="3"/>
    <x v="7"/>
    <x v="13"/>
    <x v="17"/>
    <x v="16"/>
    <x v="19"/>
    <n v="34"/>
  </r>
  <r>
    <x v="0"/>
    <x v="3"/>
    <x v="7"/>
    <x v="13"/>
    <x v="17"/>
    <x v="15"/>
    <x v="17"/>
    <n v="1"/>
  </r>
  <r>
    <x v="0"/>
    <x v="3"/>
    <x v="7"/>
    <x v="13"/>
    <x v="17"/>
    <x v="15"/>
    <x v="19"/>
    <n v="19"/>
  </r>
  <r>
    <x v="0"/>
    <x v="3"/>
    <x v="7"/>
    <x v="13"/>
    <x v="17"/>
    <x v="14"/>
    <x v="19"/>
    <n v="11"/>
  </r>
  <r>
    <x v="0"/>
    <x v="3"/>
    <x v="7"/>
    <x v="17"/>
    <x v="9"/>
    <x v="18"/>
    <x v="19"/>
    <n v="2"/>
  </r>
  <r>
    <x v="0"/>
    <x v="3"/>
    <x v="7"/>
    <x v="19"/>
    <x v="7"/>
    <x v="17"/>
    <x v="19"/>
    <n v="1"/>
  </r>
  <r>
    <x v="0"/>
    <x v="3"/>
    <x v="7"/>
    <x v="19"/>
    <x v="7"/>
    <x v="14"/>
    <x v="17"/>
    <n v="1"/>
  </r>
  <r>
    <x v="0"/>
    <x v="3"/>
    <x v="7"/>
    <x v="19"/>
    <x v="7"/>
    <x v="13"/>
    <x v="13"/>
    <n v="1"/>
  </r>
  <r>
    <x v="0"/>
    <x v="3"/>
    <x v="7"/>
    <x v="19"/>
    <x v="7"/>
    <x v="2"/>
    <x v="13"/>
    <n v="1"/>
  </r>
  <r>
    <x v="0"/>
    <x v="1"/>
    <x v="5"/>
    <x v="3"/>
    <x v="6"/>
    <x v="8"/>
    <x v="17"/>
    <n v="1"/>
  </r>
  <r>
    <x v="0"/>
    <x v="1"/>
    <x v="5"/>
    <x v="3"/>
    <x v="6"/>
    <x v="8"/>
    <x v="19"/>
    <n v="1"/>
  </r>
  <r>
    <x v="0"/>
    <x v="1"/>
    <x v="5"/>
    <x v="3"/>
    <x v="6"/>
    <x v="0"/>
    <x v="0"/>
    <n v="1"/>
  </r>
  <r>
    <x v="0"/>
    <x v="1"/>
    <x v="5"/>
    <x v="4"/>
    <x v="18"/>
    <x v="2"/>
    <x v="19"/>
    <n v="2"/>
  </r>
  <r>
    <x v="0"/>
    <x v="1"/>
    <x v="5"/>
    <x v="4"/>
    <x v="18"/>
    <x v="10"/>
    <x v="17"/>
    <n v="1"/>
  </r>
  <r>
    <x v="0"/>
    <x v="1"/>
    <x v="5"/>
    <x v="4"/>
    <x v="18"/>
    <x v="10"/>
    <x v="19"/>
    <n v="3"/>
  </r>
  <r>
    <x v="0"/>
    <x v="1"/>
    <x v="5"/>
    <x v="4"/>
    <x v="18"/>
    <x v="3"/>
    <x v="19"/>
    <n v="1"/>
  </r>
  <r>
    <x v="0"/>
    <x v="1"/>
    <x v="5"/>
    <x v="4"/>
    <x v="18"/>
    <x v="4"/>
    <x v="19"/>
    <n v="2"/>
  </r>
  <r>
    <x v="0"/>
    <x v="1"/>
    <x v="5"/>
    <x v="4"/>
    <x v="18"/>
    <x v="5"/>
    <x v="19"/>
    <n v="2"/>
  </r>
  <r>
    <x v="0"/>
    <x v="1"/>
    <x v="5"/>
    <x v="5"/>
    <x v="8"/>
    <x v="5"/>
    <x v="18"/>
    <n v="1"/>
  </r>
  <r>
    <x v="0"/>
    <x v="1"/>
    <x v="5"/>
    <x v="5"/>
    <x v="8"/>
    <x v="11"/>
    <x v="0"/>
    <n v="1"/>
  </r>
  <r>
    <x v="0"/>
    <x v="1"/>
    <x v="5"/>
    <x v="5"/>
    <x v="8"/>
    <x v="11"/>
    <x v="18"/>
    <n v="1"/>
  </r>
  <r>
    <x v="0"/>
    <x v="1"/>
    <x v="5"/>
    <x v="5"/>
    <x v="8"/>
    <x v="9"/>
    <x v="0"/>
    <n v="1"/>
  </r>
  <r>
    <x v="0"/>
    <x v="1"/>
    <x v="5"/>
    <x v="5"/>
    <x v="8"/>
    <x v="9"/>
    <x v="18"/>
    <n v="1"/>
  </r>
  <r>
    <x v="0"/>
    <x v="1"/>
    <x v="5"/>
    <x v="5"/>
    <x v="8"/>
    <x v="12"/>
    <x v="18"/>
    <n v="2"/>
  </r>
  <r>
    <x v="0"/>
    <x v="1"/>
    <x v="5"/>
    <x v="5"/>
    <x v="8"/>
    <x v="7"/>
    <x v="19"/>
    <n v="9"/>
  </r>
  <r>
    <x v="0"/>
    <x v="1"/>
    <x v="5"/>
    <x v="5"/>
    <x v="8"/>
    <x v="1"/>
    <x v="18"/>
    <n v="2"/>
  </r>
  <r>
    <x v="0"/>
    <x v="1"/>
    <x v="5"/>
    <x v="5"/>
    <x v="8"/>
    <x v="0"/>
    <x v="19"/>
    <n v="9"/>
  </r>
  <r>
    <x v="0"/>
    <x v="1"/>
    <x v="5"/>
    <x v="5"/>
    <x v="6"/>
    <x v="18"/>
    <x v="19"/>
    <n v="8"/>
  </r>
  <r>
    <x v="0"/>
    <x v="1"/>
    <x v="5"/>
    <x v="5"/>
    <x v="11"/>
    <x v="10"/>
    <x v="13"/>
    <n v="1"/>
  </r>
  <r>
    <x v="0"/>
    <x v="1"/>
    <x v="5"/>
    <x v="5"/>
    <x v="11"/>
    <x v="3"/>
    <x v="2"/>
    <n v="2"/>
  </r>
  <r>
    <x v="0"/>
    <x v="1"/>
    <x v="5"/>
    <x v="5"/>
    <x v="11"/>
    <x v="3"/>
    <x v="14"/>
    <n v="1"/>
  </r>
  <r>
    <x v="0"/>
    <x v="1"/>
    <x v="5"/>
    <x v="5"/>
    <x v="11"/>
    <x v="3"/>
    <x v="19"/>
    <n v="1"/>
  </r>
  <r>
    <x v="0"/>
    <x v="1"/>
    <x v="5"/>
    <x v="5"/>
    <x v="11"/>
    <x v="4"/>
    <x v="13"/>
    <n v="2"/>
  </r>
  <r>
    <x v="0"/>
    <x v="1"/>
    <x v="5"/>
    <x v="5"/>
    <x v="11"/>
    <x v="4"/>
    <x v="11"/>
    <n v="1"/>
  </r>
  <r>
    <x v="0"/>
    <x v="1"/>
    <x v="5"/>
    <x v="5"/>
    <x v="11"/>
    <x v="4"/>
    <x v="17"/>
    <n v="1"/>
  </r>
  <r>
    <x v="0"/>
    <x v="1"/>
    <x v="5"/>
    <x v="5"/>
    <x v="11"/>
    <x v="11"/>
    <x v="14"/>
    <n v="1"/>
  </r>
  <r>
    <x v="0"/>
    <x v="1"/>
    <x v="5"/>
    <x v="5"/>
    <x v="11"/>
    <x v="6"/>
    <x v="11"/>
    <n v="1"/>
  </r>
  <r>
    <x v="0"/>
    <x v="1"/>
    <x v="5"/>
    <x v="5"/>
    <x v="11"/>
    <x v="7"/>
    <x v="14"/>
    <n v="1"/>
  </r>
  <r>
    <x v="0"/>
    <x v="1"/>
    <x v="5"/>
    <x v="6"/>
    <x v="15"/>
    <x v="8"/>
    <x v="18"/>
    <n v="1"/>
  </r>
  <r>
    <x v="0"/>
    <x v="1"/>
    <x v="5"/>
    <x v="6"/>
    <x v="15"/>
    <x v="0"/>
    <x v="19"/>
    <n v="7"/>
  </r>
  <r>
    <x v="0"/>
    <x v="1"/>
    <x v="5"/>
    <x v="8"/>
    <x v="13"/>
    <x v="16"/>
    <x v="17"/>
    <n v="2"/>
  </r>
  <r>
    <x v="0"/>
    <x v="1"/>
    <x v="5"/>
    <x v="8"/>
    <x v="13"/>
    <x v="14"/>
    <x v="2"/>
    <n v="1"/>
  </r>
  <r>
    <x v="0"/>
    <x v="1"/>
    <x v="5"/>
    <x v="8"/>
    <x v="13"/>
    <x v="2"/>
    <x v="14"/>
    <n v="4"/>
  </r>
  <r>
    <x v="0"/>
    <x v="1"/>
    <x v="5"/>
    <x v="8"/>
    <x v="13"/>
    <x v="2"/>
    <x v="17"/>
    <n v="3"/>
  </r>
  <r>
    <x v="0"/>
    <x v="1"/>
    <x v="5"/>
    <x v="8"/>
    <x v="13"/>
    <x v="2"/>
    <x v="19"/>
    <n v="21"/>
  </r>
  <r>
    <x v="0"/>
    <x v="1"/>
    <x v="5"/>
    <x v="8"/>
    <x v="13"/>
    <x v="10"/>
    <x v="11"/>
    <n v="7"/>
  </r>
  <r>
    <x v="0"/>
    <x v="1"/>
    <x v="5"/>
    <x v="8"/>
    <x v="13"/>
    <x v="10"/>
    <x v="14"/>
    <n v="7"/>
  </r>
  <r>
    <x v="0"/>
    <x v="1"/>
    <x v="5"/>
    <x v="8"/>
    <x v="13"/>
    <x v="10"/>
    <x v="17"/>
    <n v="4"/>
  </r>
  <r>
    <x v="0"/>
    <x v="1"/>
    <x v="5"/>
    <x v="8"/>
    <x v="13"/>
    <x v="10"/>
    <x v="19"/>
    <n v="27"/>
  </r>
  <r>
    <x v="0"/>
    <x v="1"/>
    <x v="5"/>
    <x v="8"/>
    <x v="13"/>
    <x v="3"/>
    <x v="11"/>
    <n v="1"/>
  </r>
  <r>
    <x v="0"/>
    <x v="1"/>
    <x v="5"/>
    <x v="8"/>
    <x v="13"/>
    <x v="3"/>
    <x v="14"/>
    <n v="4"/>
  </r>
  <r>
    <x v="0"/>
    <x v="1"/>
    <x v="5"/>
    <x v="8"/>
    <x v="13"/>
    <x v="3"/>
    <x v="17"/>
    <n v="2"/>
  </r>
  <r>
    <x v="0"/>
    <x v="1"/>
    <x v="5"/>
    <x v="8"/>
    <x v="13"/>
    <x v="3"/>
    <x v="19"/>
    <n v="18"/>
  </r>
  <r>
    <x v="0"/>
    <x v="1"/>
    <x v="5"/>
    <x v="8"/>
    <x v="13"/>
    <x v="4"/>
    <x v="11"/>
    <n v="3"/>
  </r>
  <r>
    <x v="0"/>
    <x v="1"/>
    <x v="5"/>
    <x v="8"/>
    <x v="13"/>
    <x v="4"/>
    <x v="14"/>
    <n v="3"/>
  </r>
  <r>
    <x v="0"/>
    <x v="1"/>
    <x v="5"/>
    <x v="8"/>
    <x v="13"/>
    <x v="4"/>
    <x v="19"/>
    <n v="15"/>
  </r>
  <r>
    <x v="0"/>
    <x v="1"/>
    <x v="5"/>
    <x v="8"/>
    <x v="13"/>
    <x v="5"/>
    <x v="2"/>
    <n v="2"/>
  </r>
  <r>
    <x v="0"/>
    <x v="1"/>
    <x v="5"/>
    <x v="8"/>
    <x v="13"/>
    <x v="5"/>
    <x v="13"/>
    <n v="2"/>
  </r>
  <r>
    <x v="0"/>
    <x v="1"/>
    <x v="5"/>
    <x v="8"/>
    <x v="13"/>
    <x v="5"/>
    <x v="14"/>
    <n v="1"/>
  </r>
  <r>
    <x v="0"/>
    <x v="1"/>
    <x v="5"/>
    <x v="8"/>
    <x v="13"/>
    <x v="5"/>
    <x v="17"/>
    <n v="2"/>
  </r>
  <r>
    <x v="0"/>
    <x v="1"/>
    <x v="5"/>
    <x v="8"/>
    <x v="13"/>
    <x v="11"/>
    <x v="13"/>
    <n v="3"/>
  </r>
  <r>
    <x v="0"/>
    <x v="1"/>
    <x v="5"/>
    <x v="8"/>
    <x v="13"/>
    <x v="11"/>
    <x v="14"/>
    <n v="1"/>
  </r>
  <r>
    <x v="0"/>
    <x v="1"/>
    <x v="5"/>
    <x v="8"/>
    <x v="13"/>
    <x v="6"/>
    <x v="13"/>
    <n v="1"/>
  </r>
  <r>
    <x v="0"/>
    <x v="1"/>
    <x v="5"/>
    <x v="8"/>
    <x v="13"/>
    <x v="6"/>
    <x v="11"/>
    <n v="2"/>
  </r>
  <r>
    <x v="0"/>
    <x v="1"/>
    <x v="5"/>
    <x v="8"/>
    <x v="13"/>
    <x v="12"/>
    <x v="18"/>
    <n v="1"/>
  </r>
  <r>
    <x v="0"/>
    <x v="1"/>
    <x v="5"/>
    <x v="8"/>
    <x v="13"/>
    <x v="7"/>
    <x v="17"/>
    <n v="1"/>
  </r>
  <r>
    <x v="0"/>
    <x v="1"/>
    <x v="5"/>
    <x v="8"/>
    <x v="13"/>
    <x v="7"/>
    <x v="19"/>
    <n v="3"/>
  </r>
  <r>
    <x v="0"/>
    <x v="1"/>
    <x v="5"/>
    <x v="8"/>
    <x v="13"/>
    <x v="1"/>
    <x v="18"/>
    <n v="1"/>
  </r>
  <r>
    <x v="0"/>
    <x v="1"/>
    <x v="5"/>
    <x v="8"/>
    <x v="7"/>
    <x v="17"/>
    <x v="19"/>
    <n v="15"/>
  </r>
  <r>
    <x v="0"/>
    <x v="1"/>
    <x v="5"/>
    <x v="8"/>
    <x v="10"/>
    <x v="0"/>
    <x v="19"/>
    <n v="1"/>
  </r>
  <r>
    <x v="0"/>
    <x v="1"/>
    <x v="5"/>
    <x v="8"/>
    <x v="18"/>
    <x v="16"/>
    <x v="19"/>
    <n v="26"/>
  </r>
  <r>
    <x v="0"/>
    <x v="1"/>
    <x v="5"/>
    <x v="8"/>
    <x v="18"/>
    <x v="15"/>
    <x v="19"/>
    <n v="219"/>
  </r>
  <r>
    <x v="0"/>
    <x v="1"/>
    <x v="5"/>
    <x v="8"/>
    <x v="18"/>
    <x v="14"/>
    <x v="19"/>
    <n v="108"/>
  </r>
  <r>
    <x v="0"/>
    <x v="1"/>
    <x v="5"/>
    <x v="8"/>
    <x v="18"/>
    <x v="2"/>
    <x v="19"/>
    <n v="21"/>
  </r>
  <r>
    <x v="0"/>
    <x v="1"/>
    <x v="5"/>
    <x v="8"/>
    <x v="18"/>
    <x v="10"/>
    <x v="19"/>
    <n v="16"/>
  </r>
  <r>
    <x v="0"/>
    <x v="1"/>
    <x v="5"/>
    <x v="8"/>
    <x v="18"/>
    <x v="7"/>
    <x v="19"/>
    <n v="5"/>
  </r>
  <r>
    <x v="0"/>
    <x v="1"/>
    <x v="5"/>
    <x v="8"/>
    <x v="18"/>
    <x v="8"/>
    <x v="19"/>
    <n v="2"/>
  </r>
  <r>
    <x v="0"/>
    <x v="1"/>
    <x v="5"/>
    <x v="10"/>
    <x v="9"/>
    <x v="0"/>
    <x v="19"/>
    <n v="1"/>
  </r>
  <r>
    <x v="0"/>
    <x v="1"/>
    <x v="5"/>
    <x v="11"/>
    <x v="0"/>
    <x v="6"/>
    <x v="13"/>
    <n v="2"/>
  </r>
  <r>
    <x v="0"/>
    <x v="1"/>
    <x v="5"/>
    <x v="11"/>
    <x v="0"/>
    <x v="7"/>
    <x v="0"/>
    <n v="1"/>
  </r>
  <r>
    <x v="0"/>
    <x v="1"/>
    <x v="5"/>
    <x v="11"/>
    <x v="8"/>
    <x v="2"/>
    <x v="2"/>
    <n v="1"/>
  </r>
  <r>
    <x v="0"/>
    <x v="1"/>
    <x v="2"/>
    <x v="13"/>
    <x v="3"/>
    <x v="0"/>
    <x v="19"/>
    <n v="7"/>
  </r>
  <r>
    <x v="0"/>
    <x v="1"/>
    <x v="2"/>
    <x v="13"/>
    <x v="9"/>
    <x v="0"/>
    <x v="2"/>
    <n v="1"/>
  </r>
  <r>
    <x v="0"/>
    <x v="1"/>
    <x v="2"/>
    <x v="13"/>
    <x v="9"/>
    <x v="0"/>
    <x v="11"/>
    <n v="1"/>
  </r>
  <r>
    <x v="0"/>
    <x v="1"/>
    <x v="2"/>
    <x v="14"/>
    <x v="12"/>
    <x v="0"/>
    <x v="3"/>
    <n v="1"/>
  </r>
  <r>
    <x v="0"/>
    <x v="1"/>
    <x v="2"/>
    <x v="14"/>
    <x v="12"/>
    <x v="0"/>
    <x v="4"/>
    <n v="3"/>
  </r>
  <r>
    <x v="0"/>
    <x v="1"/>
    <x v="2"/>
    <x v="14"/>
    <x v="14"/>
    <x v="0"/>
    <x v="17"/>
    <n v="1"/>
  </r>
  <r>
    <x v="0"/>
    <x v="1"/>
    <x v="2"/>
    <x v="14"/>
    <x v="14"/>
    <x v="0"/>
    <x v="19"/>
    <n v="44"/>
  </r>
  <r>
    <x v="0"/>
    <x v="1"/>
    <x v="2"/>
    <x v="14"/>
    <x v="8"/>
    <x v="0"/>
    <x v="19"/>
    <n v="1"/>
  </r>
  <r>
    <x v="0"/>
    <x v="1"/>
    <x v="2"/>
    <x v="14"/>
    <x v="10"/>
    <x v="0"/>
    <x v="3"/>
    <n v="4"/>
  </r>
  <r>
    <x v="0"/>
    <x v="1"/>
    <x v="2"/>
    <x v="14"/>
    <x v="10"/>
    <x v="0"/>
    <x v="4"/>
    <n v="2"/>
  </r>
  <r>
    <x v="0"/>
    <x v="1"/>
    <x v="2"/>
    <x v="14"/>
    <x v="10"/>
    <x v="0"/>
    <x v="5"/>
    <n v="12"/>
  </r>
  <r>
    <x v="0"/>
    <x v="1"/>
    <x v="2"/>
    <x v="14"/>
    <x v="10"/>
    <x v="0"/>
    <x v="2"/>
    <n v="3"/>
  </r>
  <r>
    <x v="0"/>
    <x v="1"/>
    <x v="2"/>
    <x v="18"/>
    <x v="0"/>
    <x v="0"/>
    <x v="0"/>
    <n v="1"/>
  </r>
  <r>
    <x v="0"/>
    <x v="1"/>
    <x v="2"/>
    <x v="18"/>
    <x v="4"/>
    <x v="0"/>
    <x v="19"/>
    <n v="7"/>
  </r>
  <r>
    <x v="0"/>
    <x v="1"/>
    <x v="2"/>
    <x v="18"/>
    <x v="8"/>
    <x v="12"/>
    <x v="19"/>
    <n v="1"/>
  </r>
  <r>
    <x v="0"/>
    <x v="1"/>
    <x v="2"/>
    <x v="18"/>
    <x v="8"/>
    <x v="1"/>
    <x v="19"/>
    <n v="2"/>
  </r>
  <r>
    <x v="0"/>
    <x v="1"/>
    <x v="2"/>
    <x v="18"/>
    <x v="8"/>
    <x v="0"/>
    <x v="11"/>
    <n v="1"/>
  </r>
  <r>
    <x v="0"/>
    <x v="1"/>
    <x v="2"/>
    <x v="18"/>
    <x v="7"/>
    <x v="0"/>
    <x v="2"/>
    <n v="2"/>
  </r>
  <r>
    <x v="0"/>
    <x v="1"/>
    <x v="2"/>
    <x v="18"/>
    <x v="7"/>
    <x v="0"/>
    <x v="11"/>
    <n v="1"/>
  </r>
  <r>
    <x v="0"/>
    <x v="1"/>
    <x v="2"/>
    <x v="16"/>
    <x v="3"/>
    <x v="0"/>
    <x v="5"/>
    <n v="2"/>
  </r>
  <r>
    <x v="0"/>
    <x v="1"/>
    <x v="2"/>
    <x v="16"/>
    <x v="18"/>
    <x v="0"/>
    <x v="19"/>
    <n v="1"/>
  </r>
  <r>
    <x v="0"/>
    <x v="1"/>
    <x v="2"/>
    <x v="17"/>
    <x v="14"/>
    <x v="0"/>
    <x v="0"/>
    <n v="2"/>
  </r>
  <r>
    <x v="0"/>
    <x v="1"/>
    <x v="2"/>
    <x v="17"/>
    <x v="14"/>
    <x v="0"/>
    <x v="18"/>
    <n v="1"/>
  </r>
  <r>
    <x v="0"/>
    <x v="1"/>
    <x v="2"/>
    <x v="17"/>
    <x v="11"/>
    <x v="0"/>
    <x v="3"/>
    <n v="4"/>
  </r>
  <r>
    <x v="0"/>
    <x v="1"/>
    <x v="2"/>
    <x v="19"/>
    <x v="5"/>
    <x v="0"/>
    <x v="9"/>
    <n v="1"/>
  </r>
  <r>
    <x v="0"/>
    <x v="1"/>
    <x v="2"/>
    <x v="19"/>
    <x v="5"/>
    <x v="0"/>
    <x v="3"/>
    <n v="1"/>
  </r>
  <r>
    <x v="0"/>
    <x v="1"/>
    <x v="2"/>
    <x v="19"/>
    <x v="5"/>
    <x v="0"/>
    <x v="4"/>
    <n v="3"/>
  </r>
  <r>
    <x v="0"/>
    <x v="1"/>
    <x v="2"/>
    <x v="19"/>
    <x v="5"/>
    <x v="0"/>
    <x v="5"/>
    <n v="5"/>
  </r>
  <r>
    <x v="0"/>
    <x v="1"/>
    <x v="2"/>
    <x v="19"/>
    <x v="5"/>
    <x v="0"/>
    <x v="2"/>
    <n v="7"/>
  </r>
  <r>
    <x v="0"/>
    <x v="1"/>
    <x v="2"/>
    <x v="19"/>
    <x v="5"/>
    <x v="0"/>
    <x v="13"/>
    <n v="2"/>
  </r>
  <r>
    <x v="0"/>
    <x v="1"/>
    <x v="2"/>
    <x v="19"/>
    <x v="5"/>
    <x v="0"/>
    <x v="18"/>
    <n v="1"/>
  </r>
  <r>
    <x v="0"/>
    <x v="1"/>
    <x v="2"/>
    <x v="19"/>
    <x v="10"/>
    <x v="1"/>
    <x v="1"/>
    <n v="3"/>
  </r>
  <r>
    <x v="0"/>
    <x v="1"/>
    <x v="2"/>
    <x v="19"/>
    <x v="10"/>
    <x v="1"/>
    <x v="12"/>
    <n v="9"/>
  </r>
  <r>
    <x v="0"/>
    <x v="1"/>
    <x v="2"/>
    <x v="19"/>
    <x v="10"/>
    <x v="1"/>
    <x v="9"/>
    <n v="2"/>
  </r>
  <r>
    <x v="0"/>
    <x v="1"/>
    <x v="2"/>
    <x v="19"/>
    <x v="10"/>
    <x v="1"/>
    <x v="3"/>
    <n v="2"/>
  </r>
  <r>
    <x v="0"/>
    <x v="1"/>
    <x v="2"/>
    <x v="19"/>
    <x v="10"/>
    <x v="1"/>
    <x v="4"/>
    <n v="3"/>
  </r>
  <r>
    <x v="0"/>
    <x v="1"/>
    <x v="2"/>
    <x v="19"/>
    <x v="10"/>
    <x v="0"/>
    <x v="6"/>
    <n v="37"/>
  </r>
  <r>
    <x v="0"/>
    <x v="1"/>
    <x v="2"/>
    <x v="19"/>
    <x v="10"/>
    <x v="0"/>
    <x v="10"/>
    <n v="223"/>
  </r>
  <r>
    <x v="0"/>
    <x v="1"/>
    <x v="2"/>
    <x v="19"/>
    <x v="10"/>
    <x v="0"/>
    <x v="12"/>
    <n v="141"/>
  </r>
  <r>
    <x v="0"/>
    <x v="1"/>
    <x v="2"/>
    <x v="19"/>
    <x v="10"/>
    <x v="0"/>
    <x v="9"/>
    <n v="72"/>
  </r>
  <r>
    <x v="0"/>
    <x v="1"/>
    <x v="2"/>
    <x v="19"/>
    <x v="10"/>
    <x v="0"/>
    <x v="3"/>
    <n v="28"/>
  </r>
  <r>
    <x v="0"/>
    <x v="1"/>
    <x v="3"/>
    <x v="0"/>
    <x v="14"/>
    <x v="5"/>
    <x v="10"/>
    <n v="2"/>
  </r>
  <r>
    <x v="0"/>
    <x v="1"/>
    <x v="3"/>
    <x v="0"/>
    <x v="14"/>
    <x v="5"/>
    <x v="1"/>
    <n v="2"/>
  </r>
  <r>
    <x v="0"/>
    <x v="1"/>
    <x v="3"/>
    <x v="0"/>
    <x v="14"/>
    <x v="11"/>
    <x v="1"/>
    <n v="1"/>
  </r>
  <r>
    <x v="0"/>
    <x v="1"/>
    <x v="3"/>
    <x v="0"/>
    <x v="14"/>
    <x v="6"/>
    <x v="6"/>
    <n v="22"/>
  </r>
  <r>
    <x v="0"/>
    <x v="1"/>
    <x v="3"/>
    <x v="0"/>
    <x v="14"/>
    <x v="6"/>
    <x v="10"/>
    <n v="2"/>
  </r>
  <r>
    <x v="0"/>
    <x v="1"/>
    <x v="3"/>
    <x v="0"/>
    <x v="14"/>
    <x v="6"/>
    <x v="1"/>
    <n v="1"/>
  </r>
  <r>
    <x v="0"/>
    <x v="1"/>
    <x v="3"/>
    <x v="0"/>
    <x v="14"/>
    <x v="9"/>
    <x v="6"/>
    <n v="12"/>
  </r>
  <r>
    <x v="0"/>
    <x v="1"/>
    <x v="3"/>
    <x v="0"/>
    <x v="14"/>
    <x v="9"/>
    <x v="10"/>
    <n v="6"/>
  </r>
  <r>
    <x v="0"/>
    <x v="1"/>
    <x v="3"/>
    <x v="0"/>
    <x v="14"/>
    <x v="12"/>
    <x v="10"/>
    <n v="16"/>
  </r>
  <r>
    <x v="0"/>
    <x v="1"/>
    <x v="3"/>
    <x v="0"/>
    <x v="14"/>
    <x v="1"/>
    <x v="10"/>
    <n v="6"/>
  </r>
  <r>
    <x v="0"/>
    <x v="1"/>
    <x v="3"/>
    <x v="0"/>
    <x v="7"/>
    <x v="12"/>
    <x v="12"/>
    <n v="1"/>
  </r>
  <r>
    <x v="0"/>
    <x v="1"/>
    <x v="3"/>
    <x v="0"/>
    <x v="6"/>
    <x v="0"/>
    <x v="0"/>
    <n v="1"/>
  </r>
  <r>
    <x v="0"/>
    <x v="1"/>
    <x v="3"/>
    <x v="0"/>
    <x v="19"/>
    <x v="3"/>
    <x v="9"/>
    <n v="1"/>
  </r>
  <r>
    <x v="0"/>
    <x v="1"/>
    <x v="3"/>
    <x v="0"/>
    <x v="19"/>
    <x v="5"/>
    <x v="8"/>
    <n v="4"/>
  </r>
  <r>
    <x v="0"/>
    <x v="1"/>
    <x v="3"/>
    <x v="0"/>
    <x v="19"/>
    <x v="5"/>
    <x v="12"/>
    <n v="1"/>
  </r>
  <r>
    <x v="0"/>
    <x v="1"/>
    <x v="3"/>
    <x v="0"/>
    <x v="19"/>
    <x v="11"/>
    <x v="8"/>
    <n v="9"/>
  </r>
  <r>
    <x v="0"/>
    <x v="1"/>
    <x v="3"/>
    <x v="0"/>
    <x v="19"/>
    <x v="6"/>
    <x v="8"/>
    <n v="8"/>
  </r>
  <r>
    <x v="0"/>
    <x v="1"/>
    <x v="3"/>
    <x v="0"/>
    <x v="19"/>
    <x v="9"/>
    <x v="8"/>
    <n v="1"/>
  </r>
  <r>
    <x v="0"/>
    <x v="1"/>
    <x v="3"/>
    <x v="1"/>
    <x v="0"/>
    <x v="7"/>
    <x v="6"/>
    <n v="6"/>
  </r>
  <r>
    <x v="0"/>
    <x v="1"/>
    <x v="3"/>
    <x v="1"/>
    <x v="0"/>
    <x v="8"/>
    <x v="6"/>
    <n v="1"/>
  </r>
  <r>
    <x v="0"/>
    <x v="1"/>
    <x v="3"/>
    <x v="1"/>
    <x v="16"/>
    <x v="10"/>
    <x v="1"/>
    <n v="1"/>
  </r>
  <r>
    <x v="0"/>
    <x v="1"/>
    <x v="3"/>
    <x v="1"/>
    <x v="16"/>
    <x v="3"/>
    <x v="1"/>
    <n v="2"/>
  </r>
  <r>
    <x v="0"/>
    <x v="1"/>
    <x v="3"/>
    <x v="1"/>
    <x v="16"/>
    <x v="5"/>
    <x v="1"/>
    <n v="2"/>
  </r>
  <r>
    <x v="0"/>
    <x v="1"/>
    <x v="3"/>
    <x v="1"/>
    <x v="16"/>
    <x v="6"/>
    <x v="10"/>
    <n v="1"/>
  </r>
  <r>
    <x v="0"/>
    <x v="1"/>
    <x v="3"/>
    <x v="1"/>
    <x v="16"/>
    <x v="6"/>
    <x v="1"/>
    <n v="1"/>
  </r>
  <r>
    <x v="0"/>
    <x v="1"/>
    <x v="3"/>
    <x v="1"/>
    <x v="16"/>
    <x v="9"/>
    <x v="10"/>
    <n v="1"/>
  </r>
  <r>
    <x v="0"/>
    <x v="1"/>
    <x v="3"/>
    <x v="1"/>
    <x v="16"/>
    <x v="9"/>
    <x v="1"/>
    <n v="2"/>
  </r>
  <r>
    <x v="0"/>
    <x v="1"/>
    <x v="3"/>
    <x v="1"/>
    <x v="16"/>
    <x v="12"/>
    <x v="5"/>
    <n v="1"/>
  </r>
  <r>
    <x v="0"/>
    <x v="1"/>
    <x v="3"/>
    <x v="1"/>
    <x v="16"/>
    <x v="1"/>
    <x v="10"/>
    <n v="5"/>
  </r>
  <r>
    <x v="0"/>
    <x v="1"/>
    <x v="3"/>
    <x v="1"/>
    <x v="16"/>
    <x v="1"/>
    <x v="4"/>
    <n v="1"/>
  </r>
  <r>
    <x v="0"/>
    <x v="1"/>
    <x v="3"/>
    <x v="1"/>
    <x v="16"/>
    <x v="0"/>
    <x v="9"/>
    <n v="2"/>
  </r>
  <r>
    <x v="0"/>
    <x v="1"/>
    <x v="3"/>
    <x v="1"/>
    <x v="16"/>
    <x v="0"/>
    <x v="3"/>
    <n v="4"/>
  </r>
  <r>
    <x v="0"/>
    <x v="1"/>
    <x v="3"/>
    <x v="1"/>
    <x v="8"/>
    <x v="0"/>
    <x v="12"/>
    <n v="9"/>
  </r>
  <r>
    <x v="0"/>
    <x v="1"/>
    <x v="3"/>
    <x v="1"/>
    <x v="8"/>
    <x v="0"/>
    <x v="9"/>
    <n v="5"/>
  </r>
  <r>
    <x v="0"/>
    <x v="1"/>
    <x v="3"/>
    <x v="1"/>
    <x v="8"/>
    <x v="0"/>
    <x v="3"/>
    <n v="3"/>
  </r>
  <r>
    <x v="0"/>
    <x v="1"/>
    <x v="3"/>
    <x v="1"/>
    <x v="8"/>
    <x v="0"/>
    <x v="4"/>
    <n v="4"/>
  </r>
  <r>
    <x v="0"/>
    <x v="1"/>
    <x v="3"/>
    <x v="1"/>
    <x v="3"/>
    <x v="14"/>
    <x v="10"/>
    <n v="1"/>
  </r>
  <r>
    <x v="0"/>
    <x v="1"/>
    <x v="3"/>
    <x v="1"/>
    <x v="3"/>
    <x v="14"/>
    <x v="1"/>
    <n v="2"/>
  </r>
  <r>
    <x v="0"/>
    <x v="1"/>
    <x v="3"/>
    <x v="1"/>
    <x v="3"/>
    <x v="13"/>
    <x v="6"/>
    <n v="2"/>
  </r>
  <r>
    <x v="0"/>
    <x v="1"/>
    <x v="3"/>
    <x v="1"/>
    <x v="3"/>
    <x v="13"/>
    <x v="5"/>
    <n v="1"/>
  </r>
  <r>
    <x v="0"/>
    <x v="1"/>
    <x v="3"/>
    <x v="1"/>
    <x v="3"/>
    <x v="3"/>
    <x v="11"/>
    <n v="1"/>
  </r>
  <r>
    <x v="0"/>
    <x v="1"/>
    <x v="3"/>
    <x v="1"/>
    <x v="3"/>
    <x v="4"/>
    <x v="1"/>
    <n v="3"/>
  </r>
  <r>
    <x v="0"/>
    <x v="1"/>
    <x v="3"/>
    <x v="1"/>
    <x v="3"/>
    <x v="5"/>
    <x v="1"/>
    <n v="2"/>
  </r>
  <r>
    <x v="0"/>
    <x v="1"/>
    <x v="3"/>
    <x v="1"/>
    <x v="3"/>
    <x v="5"/>
    <x v="2"/>
    <n v="1"/>
  </r>
  <r>
    <x v="0"/>
    <x v="1"/>
    <x v="3"/>
    <x v="1"/>
    <x v="3"/>
    <x v="5"/>
    <x v="13"/>
    <n v="1"/>
  </r>
  <r>
    <x v="0"/>
    <x v="1"/>
    <x v="3"/>
    <x v="1"/>
    <x v="3"/>
    <x v="11"/>
    <x v="10"/>
    <n v="2"/>
  </r>
  <r>
    <x v="0"/>
    <x v="1"/>
    <x v="3"/>
    <x v="1"/>
    <x v="3"/>
    <x v="6"/>
    <x v="10"/>
    <n v="1"/>
  </r>
  <r>
    <x v="0"/>
    <x v="1"/>
    <x v="3"/>
    <x v="1"/>
    <x v="3"/>
    <x v="6"/>
    <x v="9"/>
    <n v="1"/>
  </r>
  <r>
    <x v="0"/>
    <x v="1"/>
    <x v="3"/>
    <x v="1"/>
    <x v="3"/>
    <x v="6"/>
    <x v="4"/>
    <n v="1"/>
  </r>
  <r>
    <x v="0"/>
    <x v="1"/>
    <x v="3"/>
    <x v="1"/>
    <x v="3"/>
    <x v="9"/>
    <x v="6"/>
    <n v="3"/>
  </r>
  <r>
    <x v="0"/>
    <x v="1"/>
    <x v="3"/>
    <x v="1"/>
    <x v="3"/>
    <x v="9"/>
    <x v="12"/>
    <n v="2"/>
  </r>
  <r>
    <x v="0"/>
    <x v="1"/>
    <x v="3"/>
    <x v="1"/>
    <x v="3"/>
    <x v="12"/>
    <x v="6"/>
    <n v="1"/>
  </r>
  <r>
    <x v="0"/>
    <x v="1"/>
    <x v="3"/>
    <x v="1"/>
    <x v="3"/>
    <x v="12"/>
    <x v="9"/>
    <n v="1"/>
  </r>
  <r>
    <x v="0"/>
    <x v="1"/>
    <x v="3"/>
    <x v="1"/>
    <x v="7"/>
    <x v="0"/>
    <x v="9"/>
    <n v="2"/>
  </r>
  <r>
    <x v="0"/>
    <x v="1"/>
    <x v="3"/>
    <x v="1"/>
    <x v="18"/>
    <x v="1"/>
    <x v="6"/>
    <n v="1"/>
  </r>
  <r>
    <x v="0"/>
    <x v="1"/>
    <x v="3"/>
    <x v="1"/>
    <x v="18"/>
    <x v="0"/>
    <x v="6"/>
    <n v="3"/>
  </r>
  <r>
    <x v="0"/>
    <x v="1"/>
    <x v="3"/>
    <x v="1"/>
    <x v="18"/>
    <x v="0"/>
    <x v="10"/>
    <n v="11"/>
  </r>
  <r>
    <x v="0"/>
    <x v="1"/>
    <x v="3"/>
    <x v="1"/>
    <x v="18"/>
    <x v="0"/>
    <x v="1"/>
    <n v="7"/>
  </r>
  <r>
    <x v="0"/>
    <x v="1"/>
    <x v="3"/>
    <x v="2"/>
    <x v="13"/>
    <x v="11"/>
    <x v="10"/>
    <n v="1"/>
  </r>
  <r>
    <x v="0"/>
    <x v="1"/>
    <x v="3"/>
    <x v="2"/>
    <x v="13"/>
    <x v="9"/>
    <x v="12"/>
    <n v="1"/>
  </r>
  <r>
    <x v="0"/>
    <x v="1"/>
    <x v="3"/>
    <x v="2"/>
    <x v="13"/>
    <x v="12"/>
    <x v="9"/>
    <n v="1"/>
  </r>
  <r>
    <x v="0"/>
    <x v="1"/>
    <x v="3"/>
    <x v="2"/>
    <x v="13"/>
    <x v="0"/>
    <x v="9"/>
    <n v="1"/>
  </r>
  <r>
    <x v="0"/>
    <x v="1"/>
    <x v="3"/>
    <x v="2"/>
    <x v="13"/>
    <x v="0"/>
    <x v="3"/>
    <n v="1"/>
  </r>
  <r>
    <x v="0"/>
    <x v="1"/>
    <x v="3"/>
    <x v="2"/>
    <x v="14"/>
    <x v="0"/>
    <x v="12"/>
    <n v="2"/>
  </r>
  <r>
    <x v="0"/>
    <x v="1"/>
    <x v="3"/>
    <x v="2"/>
    <x v="14"/>
    <x v="0"/>
    <x v="9"/>
    <n v="2"/>
  </r>
  <r>
    <x v="0"/>
    <x v="1"/>
    <x v="3"/>
    <x v="3"/>
    <x v="16"/>
    <x v="3"/>
    <x v="3"/>
    <n v="1"/>
  </r>
  <r>
    <x v="0"/>
    <x v="1"/>
    <x v="3"/>
    <x v="3"/>
    <x v="16"/>
    <x v="4"/>
    <x v="7"/>
    <n v="1"/>
  </r>
  <r>
    <x v="0"/>
    <x v="1"/>
    <x v="3"/>
    <x v="3"/>
    <x v="16"/>
    <x v="5"/>
    <x v="7"/>
    <n v="1"/>
  </r>
  <r>
    <x v="0"/>
    <x v="1"/>
    <x v="3"/>
    <x v="3"/>
    <x v="16"/>
    <x v="7"/>
    <x v="10"/>
    <n v="1"/>
  </r>
  <r>
    <x v="0"/>
    <x v="1"/>
    <x v="3"/>
    <x v="3"/>
    <x v="6"/>
    <x v="8"/>
    <x v="6"/>
    <n v="1"/>
  </r>
  <r>
    <x v="0"/>
    <x v="1"/>
    <x v="3"/>
    <x v="3"/>
    <x v="6"/>
    <x v="0"/>
    <x v="19"/>
    <n v="1"/>
  </r>
  <r>
    <x v="0"/>
    <x v="1"/>
    <x v="3"/>
    <x v="3"/>
    <x v="11"/>
    <x v="3"/>
    <x v="1"/>
    <n v="1"/>
  </r>
  <r>
    <x v="0"/>
    <x v="1"/>
    <x v="3"/>
    <x v="3"/>
    <x v="11"/>
    <x v="5"/>
    <x v="7"/>
    <n v="19"/>
  </r>
  <r>
    <x v="0"/>
    <x v="1"/>
    <x v="3"/>
    <x v="3"/>
    <x v="11"/>
    <x v="5"/>
    <x v="6"/>
    <n v="4"/>
  </r>
  <r>
    <x v="0"/>
    <x v="1"/>
    <x v="3"/>
    <x v="3"/>
    <x v="11"/>
    <x v="5"/>
    <x v="10"/>
    <n v="2"/>
  </r>
  <r>
    <x v="0"/>
    <x v="1"/>
    <x v="3"/>
    <x v="3"/>
    <x v="11"/>
    <x v="11"/>
    <x v="7"/>
    <n v="36"/>
  </r>
  <r>
    <x v="0"/>
    <x v="1"/>
    <x v="3"/>
    <x v="3"/>
    <x v="11"/>
    <x v="11"/>
    <x v="6"/>
    <n v="8"/>
  </r>
  <r>
    <x v="0"/>
    <x v="1"/>
    <x v="3"/>
    <x v="3"/>
    <x v="11"/>
    <x v="11"/>
    <x v="10"/>
    <n v="2"/>
  </r>
  <r>
    <x v="0"/>
    <x v="1"/>
    <x v="3"/>
    <x v="3"/>
    <x v="11"/>
    <x v="6"/>
    <x v="7"/>
    <n v="18"/>
  </r>
  <r>
    <x v="0"/>
    <x v="1"/>
    <x v="3"/>
    <x v="3"/>
    <x v="11"/>
    <x v="6"/>
    <x v="6"/>
    <n v="15"/>
  </r>
  <r>
    <x v="0"/>
    <x v="1"/>
    <x v="3"/>
    <x v="3"/>
    <x v="11"/>
    <x v="6"/>
    <x v="10"/>
    <n v="2"/>
  </r>
  <r>
    <x v="0"/>
    <x v="1"/>
    <x v="3"/>
    <x v="3"/>
    <x v="11"/>
    <x v="9"/>
    <x v="7"/>
    <n v="12"/>
  </r>
  <r>
    <x v="0"/>
    <x v="1"/>
    <x v="3"/>
    <x v="3"/>
    <x v="11"/>
    <x v="9"/>
    <x v="6"/>
    <n v="27"/>
  </r>
  <r>
    <x v="0"/>
    <x v="1"/>
    <x v="3"/>
    <x v="3"/>
    <x v="11"/>
    <x v="12"/>
    <x v="7"/>
    <n v="12"/>
  </r>
  <r>
    <x v="0"/>
    <x v="1"/>
    <x v="3"/>
    <x v="3"/>
    <x v="11"/>
    <x v="12"/>
    <x v="6"/>
    <n v="25"/>
  </r>
  <r>
    <x v="0"/>
    <x v="1"/>
    <x v="3"/>
    <x v="4"/>
    <x v="4"/>
    <x v="16"/>
    <x v="12"/>
    <n v="1"/>
  </r>
  <r>
    <x v="0"/>
    <x v="1"/>
    <x v="3"/>
    <x v="4"/>
    <x v="4"/>
    <x v="16"/>
    <x v="9"/>
    <n v="1"/>
  </r>
  <r>
    <x v="0"/>
    <x v="1"/>
    <x v="3"/>
    <x v="4"/>
    <x v="4"/>
    <x v="16"/>
    <x v="3"/>
    <n v="1"/>
  </r>
  <r>
    <x v="0"/>
    <x v="1"/>
    <x v="3"/>
    <x v="4"/>
    <x v="4"/>
    <x v="15"/>
    <x v="12"/>
    <n v="1"/>
  </r>
  <r>
    <x v="0"/>
    <x v="1"/>
    <x v="3"/>
    <x v="4"/>
    <x v="4"/>
    <x v="15"/>
    <x v="9"/>
    <n v="1"/>
  </r>
  <r>
    <x v="0"/>
    <x v="1"/>
    <x v="3"/>
    <x v="4"/>
    <x v="4"/>
    <x v="14"/>
    <x v="12"/>
    <n v="4"/>
  </r>
  <r>
    <x v="0"/>
    <x v="1"/>
    <x v="3"/>
    <x v="4"/>
    <x v="4"/>
    <x v="14"/>
    <x v="9"/>
    <n v="2"/>
  </r>
  <r>
    <x v="0"/>
    <x v="1"/>
    <x v="3"/>
    <x v="4"/>
    <x v="16"/>
    <x v="0"/>
    <x v="19"/>
    <n v="2"/>
  </r>
  <r>
    <x v="0"/>
    <x v="1"/>
    <x v="3"/>
    <x v="4"/>
    <x v="5"/>
    <x v="0"/>
    <x v="2"/>
    <n v="2"/>
  </r>
  <r>
    <x v="0"/>
    <x v="1"/>
    <x v="3"/>
    <x v="4"/>
    <x v="7"/>
    <x v="0"/>
    <x v="1"/>
    <n v="1"/>
  </r>
  <r>
    <x v="0"/>
    <x v="1"/>
    <x v="3"/>
    <x v="4"/>
    <x v="9"/>
    <x v="0"/>
    <x v="1"/>
    <n v="8"/>
  </r>
  <r>
    <x v="0"/>
    <x v="1"/>
    <x v="3"/>
    <x v="4"/>
    <x v="18"/>
    <x v="9"/>
    <x v="18"/>
    <n v="1"/>
  </r>
  <r>
    <x v="0"/>
    <x v="1"/>
    <x v="3"/>
    <x v="5"/>
    <x v="15"/>
    <x v="0"/>
    <x v="14"/>
    <n v="1"/>
  </r>
  <r>
    <x v="0"/>
    <x v="1"/>
    <x v="3"/>
    <x v="5"/>
    <x v="15"/>
    <x v="0"/>
    <x v="17"/>
    <n v="1"/>
  </r>
  <r>
    <x v="0"/>
    <x v="1"/>
    <x v="3"/>
    <x v="5"/>
    <x v="10"/>
    <x v="6"/>
    <x v="1"/>
    <n v="2"/>
  </r>
  <r>
    <x v="0"/>
    <x v="1"/>
    <x v="3"/>
    <x v="5"/>
    <x v="10"/>
    <x v="9"/>
    <x v="10"/>
    <n v="2"/>
  </r>
  <r>
    <x v="0"/>
    <x v="1"/>
    <x v="3"/>
    <x v="5"/>
    <x v="10"/>
    <x v="9"/>
    <x v="1"/>
    <n v="2"/>
  </r>
  <r>
    <x v="0"/>
    <x v="1"/>
    <x v="3"/>
    <x v="5"/>
    <x v="10"/>
    <x v="12"/>
    <x v="10"/>
    <n v="1"/>
  </r>
  <r>
    <x v="0"/>
    <x v="1"/>
    <x v="3"/>
    <x v="7"/>
    <x v="1"/>
    <x v="0"/>
    <x v="10"/>
    <n v="6"/>
  </r>
  <r>
    <x v="0"/>
    <x v="1"/>
    <x v="3"/>
    <x v="7"/>
    <x v="1"/>
    <x v="0"/>
    <x v="1"/>
    <n v="2"/>
  </r>
  <r>
    <x v="0"/>
    <x v="1"/>
    <x v="3"/>
    <x v="7"/>
    <x v="14"/>
    <x v="8"/>
    <x v="1"/>
    <n v="2"/>
  </r>
  <r>
    <x v="0"/>
    <x v="1"/>
    <x v="3"/>
    <x v="7"/>
    <x v="15"/>
    <x v="0"/>
    <x v="17"/>
    <n v="1"/>
  </r>
  <r>
    <x v="0"/>
    <x v="1"/>
    <x v="3"/>
    <x v="7"/>
    <x v="6"/>
    <x v="8"/>
    <x v="10"/>
    <n v="1"/>
  </r>
  <r>
    <x v="0"/>
    <x v="1"/>
    <x v="3"/>
    <x v="8"/>
    <x v="2"/>
    <x v="0"/>
    <x v="9"/>
    <n v="1"/>
  </r>
  <r>
    <x v="0"/>
    <x v="1"/>
    <x v="3"/>
    <x v="8"/>
    <x v="16"/>
    <x v="0"/>
    <x v="1"/>
    <n v="1"/>
  </r>
  <r>
    <x v="0"/>
    <x v="1"/>
    <x v="3"/>
    <x v="8"/>
    <x v="13"/>
    <x v="15"/>
    <x v="2"/>
    <n v="1"/>
  </r>
  <r>
    <x v="0"/>
    <x v="1"/>
    <x v="3"/>
    <x v="8"/>
    <x v="13"/>
    <x v="14"/>
    <x v="5"/>
    <n v="4"/>
  </r>
  <r>
    <x v="0"/>
    <x v="1"/>
    <x v="3"/>
    <x v="8"/>
    <x v="13"/>
    <x v="13"/>
    <x v="4"/>
    <n v="1"/>
  </r>
  <r>
    <x v="0"/>
    <x v="1"/>
    <x v="3"/>
    <x v="8"/>
    <x v="13"/>
    <x v="13"/>
    <x v="5"/>
    <n v="2"/>
  </r>
  <r>
    <x v="0"/>
    <x v="1"/>
    <x v="3"/>
    <x v="8"/>
    <x v="13"/>
    <x v="13"/>
    <x v="2"/>
    <n v="1"/>
  </r>
  <r>
    <x v="0"/>
    <x v="1"/>
    <x v="3"/>
    <x v="8"/>
    <x v="13"/>
    <x v="13"/>
    <x v="13"/>
    <n v="3"/>
  </r>
  <r>
    <x v="0"/>
    <x v="1"/>
    <x v="3"/>
    <x v="8"/>
    <x v="13"/>
    <x v="13"/>
    <x v="0"/>
    <n v="2"/>
  </r>
  <r>
    <x v="0"/>
    <x v="1"/>
    <x v="3"/>
    <x v="8"/>
    <x v="13"/>
    <x v="13"/>
    <x v="18"/>
    <n v="1"/>
  </r>
  <r>
    <x v="0"/>
    <x v="1"/>
    <x v="3"/>
    <x v="8"/>
    <x v="13"/>
    <x v="2"/>
    <x v="4"/>
    <n v="1"/>
  </r>
  <r>
    <x v="0"/>
    <x v="1"/>
    <x v="3"/>
    <x v="8"/>
    <x v="13"/>
    <x v="2"/>
    <x v="5"/>
    <n v="5"/>
  </r>
  <r>
    <x v="0"/>
    <x v="1"/>
    <x v="3"/>
    <x v="8"/>
    <x v="13"/>
    <x v="2"/>
    <x v="0"/>
    <n v="2"/>
  </r>
  <r>
    <x v="0"/>
    <x v="1"/>
    <x v="3"/>
    <x v="8"/>
    <x v="13"/>
    <x v="10"/>
    <x v="0"/>
    <n v="2"/>
  </r>
  <r>
    <x v="0"/>
    <x v="1"/>
    <x v="3"/>
    <x v="8"/>
    <x v="13"/>
    <x v="4"/>
    <x v="9"/>
    <n v="1"/>
  </r>
  <r>
    <x v="0"/>
    <x v="1"/>
    <x v="3"/>
    <x v="8"/>
    <x v="14"/>
    <x v="12"/>
    <x v="6"/>
    <n v="2"/>
  </r>
  <r>
    <x v="0"/>
    <x v="1"/>
    <x v="3"/>
    <x v="8"/>
    <x v="14"/>
    <x v="1"/>
    <x v="7"/>
    <n v="3"/>
  </r>
  <r>
    <x v="0"/>
    <x v="1"/>
    <x v="3"/>
    <x v="8"/>
    <x v="8"/>
    <x v="8"/>
    <x v="6"/>
    <n v="1"/>
  </r>
  <r>
    <x v="0"/>
    <x v="1"/>
    <x v="3"/>
    <x v="8"/>
    <x v="11"/>
    <x v="6"/>
    <x v="6"/>
    <n v="1"/>
  </r>
  <r>
    <x v="0"/>
    <x v="1"/>
    <x v="3"/>
    <x v="8"/>
    <x v="11"/>
    <x v="9"/>
    <x v="6"/>
    <n v="2"/>
  </r>
  <r>
    <x v="0"/>
    <x v="1"/>
    <x v="3"/>
    <x v="8"/>
    <x v="11"/>
    <x v="12"/>
    <x v="6"/>
    <n v="2"/>
  </r>
  <r>
    <x v="0"/>
    <x v="1"/>
    <x v="3"/>
    <x v="8"/>
    <x v="11"/>
    <x v="8"/>
    <x v="3"/>
    <n v="1"/>
  </r>
  <r>
    <x v="0"/>
    <x v="1"/>
    <x v="3"/>
    <x v="8"/>
    <x v="17"/>
    <x v="0"/>
    <x v="12"/>
    <n v="4"/>
  </r>
  <r>
    <x v="0"/>
    <x v="1"/>
    <x v="3"/>
    <x v="8"/>
    <x v="17"/>
    <x v="0"/>
    <x v="9"/>
    <n v="8"/>
  </r>
  <r>
    <x v="0"/>
    <x v="1"/>
    <x v="3"/>
    <x v="8"/>
    <x v="19"/>
    <x v="6"/>
    <x v="3"/>
    <n v="1"/>
  </r>
  <r>
    <x v="0"/>
    <x v="1"/>
    <x v="3"/>
    <x v="8"/>
    <x v="19"/>
    <x v="12"/>
    <x v="12"/>
    <n v="1"/>
  </r>
  <r>
    <x v="0"/>
    <x v="1"/>
    <x v="3"/>
    <x v="8"/>
    <x v="19"/>
    <x v="0"/>
    <x v="12"/>
    <n v="3"/>
  </r>
  <r>
    <x v="0"/>
    <x v="1"/>
    <x v="3"/>
    <x v="10"/>
    <x v="4"/>
    <x v="0"/>
    <x v="9"/>
    <n v="3"/>
  </r>
  <r>
    <x v="0"/>
    <x v="1"/>
    <x v="3"/>
    <x v="10"/>
    <x v="16"/>
    <x v="5"/>
    <x v="9"/>
    <n v="1"/>
  </r>
  <r>
    <x v="0"/>
    <x v="1"/>
    <x v="3"/>
    <x v="10"/>
    <x v="16"/>
    <x v="9"/>
    <x v="12"/>
    <n v="1"/>
  </r>
  <r>
    <x v="0"/>
    <x v="1"/>
    <x v="3"/>
    <x v="10"/>
    <x v="16"/>
    <x v="12"/>
    <x v="12"/>
    <n v="1"/>
  </r>
  <r>
    <x v="0"/>
    <x v="1"/>
    <x v="3"/>
    <x v="10"/>
    <x v="7"/>
    <x v="7"/>
    <x v="10"/>
    <n v="14"/>
  </r>
  <r>
    <x v="0"/>
    <x v="1"/>
    <x v="3"/>
    <x v="10"/>
    <x v="7"/>
    <x v="7"/>
    <x v="1"/>
    <n v="1"/>
  </r>
  <r>
    <x v="0"/>
    <x v="1"/>
    <x v="3"/>
    <x v="10"/>
    <x v="7"/>
    <x v="8"/>
    <x v="10"/>
    <n v="8"/>
  </r>
  <r>
    <x v="0"/>
    <x v="1"/>
    <x v="3"/>
    <x v="10"/>
    <x v="7"/>
    <x v="0"/>
    <x v="3"/>
    <n v="2"/>
  </r>
  <r>
    <x v="0"/>
    <x v="1"/>
    <x v="3"/>
    <x v="10"/>
    <x v="7"/>
    <x v="0"/>
    <x v="4"/>
    <n v="1"/>
  </r>
  <r>
    <x v="0"/>
    <x v="1"/>
    <x v="3"/>
    <x v="10"/>
    <x v="18"/>
    <x v="0"/>
    <x v="19"/>
    <n v="1"/>
  </r>
  <r>
    <x v="0"/>
    <x v="1"/>
    <x v="3"/>
    <x v="10"/>
    <x v="19"/>
    <x v="14"/>
    <x v="6"/>
    <n v="15"/>
  </r>
  <r>
    <x v="0"/>
    <x v="1"/>
    <x v="3"/>
    <x v="10"/>
    <x v="19"/>
    <x v="14"/>
    <x v="10"/>
    <n v="6"/>
  </r>
  <r>
    <x v="0"/>
    <x v="1"/>
    <x v="3"/>
    <x v="10"/>
    <x v="19"/>
    <x v="13"/>
    <x v="7"/>
    <n v="47"/>
  </r>
  <r>
    <x v="0"/>
    <x v="1"/>
    <x v="3"/>
    <x v="10"/>
    <x v="19"/>
    <x v="13"/>
    <x v="6"/>
    <n v="25"/>
  </r>
  <r>
    <x v="0"/>
    <x v="1"/>
    <x v="3"/>
    <x v="10"/>
    <x v="19"/>
    <x v="2"/>
    <x v="8"/>
    <n v="102"/>
  </r>
  <r>
    <x v="0"/>
    <x v="1"/>
    <x v="3"/>
    <x v="10"/>
    <x v="19"/>
    <x v="2"/>
    <x v="7"/>
    <n v="86"/>
  </r>
  <r>
    <x v="0"/>
    <x v="1"/>
    <x v="3"/>
    <x v="10"/>
    <x v="19"/>
    <x v="10"/>
    <x v="8"/>
    <n v="447"/>
  </r>
  <r>
    <x v="0"/>
    <x v="1"/>
    <x v="3"/>
    <x v="10"/>
    <x v="19"/>
    <x v="10"/>
    <x v="7"/>
    <n v="81"/>
  </r>
  <r>
    <x v="0"/>
    <x v="1"/>
    <x v="3"/>
    <x v="10"/>
    <x v="19"/>
    <x v="10"/>
    <x v="13"/>
    <n v="3"/>
  </r>
  <r>
    <x v="0"/>
    <x v="1"/>
    <x v="3"/>
    <x v="10"/>
    <x v="19"/>
    <x v="10"/>
    <x v="11"/>
    <n v="1"/>
  </r>
  <r>
    <x v="0"/>
    <x v="1"/>
    <x v="3"/>
    <x v="10"/>
    <x v="19"/>
    <x v="10"/>
    <x v="14"/>
    <n v="2"/>
  </r>
  <r>
    <x v="0"/>
    <x v="1"/>
    <x v="3"/>
    <x v="10"/>
    <x v="19"/>
    <x v="3"/>
    <x v="8"/>
    <n v="660"/>
  </r>
  <r>
    <x v="0"/>
    <x v="1"/>
    <x v="3"/>
    <x v="10"/>
    <x v="19"/>
    <x v="3"/>
    <x v="13"/>
    <n v="2"/>
  </r>
  <r>
    <x v="0"/>
    <x v="1"/>
    <x v="3"/>
    <x v="10"/>
    <x v="19"/>
    <x v="4"/>
    <x v="8"/>
    <n v="327"/>
  </r>
  <r>
    <x v="0"/>
    <x v="1"/>
    <x v="3"/>
    <x v="10"/>
    <x v="19"/>
    <x v="4"/>
    <x v="5"/>
    <n v="1"/>
  </r>
  <r>
    <x v="0"/>
    <x v="1"/>
    <x v="3"/>
    <x v="10"/>
    <x v="19"/>
    <x v="5"/>
    <x v="8"/>
    <n v="154"/>
  </r>
  <r>
    <x v="0"/>
    <x v="1"/>
    <x v="3"/>
    <x v="10"/>
    <x v="19"/>
    <x v="5"/>
    <x v="5"/>
    <n v="1"/>
  </r>
  <r>
    <x v="0"/>
    <x v="1"/>
    <x v="3"/>
    <x v="10"/>
    <x v="19"/>
    <x v="11"/>
    <x v="8"/>
    <n v="33"/>
  </r>
  <r>
    <x v="0"/>
    <x v="1"/>
    <x v="3"/>
    <x v="10"/>
    <x v="19"/>
    <x v="9"/>
    <x v="12"/>
    <n v="1"/>
  </r>
  <r>
    <x v="0"/>
    <x v="1"/>
    <x v="3"/>
    <x v="10"/>
    <x v="19"/>
    <x v="7"/>
    <x v="7"/>
    <n v="3"/>
  </r>
  <r>
    <x v="0"/>
    <x v="1"/>
    <x v="3"/>
    <x v="11"/>
    <x v="0"/>
    <x v="12"/>
    <x v="10"/>
    <n v="2"/>
  </r>
  <r>
    <x v="0"/>
    <x v="1"/>
    <x v="3"/>
    <x v="11"/>
    <x v="0"/>
    <x v="12"/>
    <x v="1"/>
    <n v="1"/>
  </r>
  <r>
    <x v="0"/>
    <x v="1"/>
    <x v="3"/>
    <x v="11"/>
    <x v="0"/>
    <x v="1"/>
    <x v="10"/>
    <n v="2"/>
  </r>
  <r>
    <x v="0"/>
    <x v="1"/>
    <x v="3"/>
    <x v="11"/>
    <x v="0"/>
    <x v="1"/>
    <x v="1"/>
    <n v="1"/>
  </r>
  <r>
    <x v="0"/>
    <x v="1"/>
    <x v="3"/>
    <x v="11"/>
    <x v="0"/>
    <x v="0"/>
    <x v="6"/>
    <n v="55"/>
  </r>
  <r>
    <x v="0"/>
    <x v="1"/>
    <x v="3"/>
    <x v="11"/>
    <x v="0"/>
    <x v="0"/>
    <x v="10"/>
    <n v="24"/>
  </r>
  <r>
    <x v="0"/>
    <x v="1"/>
    <x v="3"/>
    <x v="11"/>
    <x v="0"/>
    <x v="0"/>
    <x v="1"/>
    <n v="5"/>
  </r>
  <r>
    <x v="0"/>
    <x v="1"/>
    <x v="3"/>
    <x v="11"/>
    <x v="5"/>
    <x v="12"/>
    <x v="10"/>
    <n v="2"/>
  </r>
  <r>
    <x v="0"/>
    <x v="1"/>
    <x v="3"/>
    <x v="11"/>
    <x v="5"/>
    <x v="8"/>
    <x v="12"/>
    <n v="2"/>
  </r>
  <r>
    <x v="0"/>
    <x v="1"/>
    <x v="3"/>
    <x v="11"/>
    <x v="8"/>
    <x v="14"/>
    <x v="12"/>
    <n v="1"/>
  </r>
  <r>
    <x v="0"/>
    <x v="1"/>
    <x v="3"/>
    <x v="11"/>
    <x v="8"/>
    <x v="14"/>
    <x v="9"/>
    <n v="1"/>
  </r>
  <r>
    <x v="0"/>
    <x v="1"/>
    <x v="3"/>
    <x v="11"/>
    <x v="8"/>
    <x v="14"/>
    <x v="3"/>
    <n v="1"/>
  </r>
  <r>
    <x v="0"/>
    <x v="1"/>
    <x v="3"/>
    <x v="11"/>
    <x v="8"/>
    <x v="14"/>
    <x v="4"/>
    <n v="2"/>
  </r>
  <r>
    <x v="0"/>
    <x v="1"/>
    <x v="3"/>
    <x v="11"/>
    <x v="8"/>
    <x v="13"/>
    <x v="12"/>
    <n v="1"/>
  </r>
  <r>
    <x v="0"/>
    <x v="1"/>
    <x v="3"/>
    <x v="11"/>
    <x v="8"/>
    <x v="13"/>
    <x v="9"/>
    <n v="2"/>
  </r>
  <r>
    <x v="0"/>
    <x v="1"/>
    <x v="3"/>
    <x v="11"/>
    <x v="8"/>
    <x v="2"/>
    <x v="6"/>
    <n v="8"/>
  </r>
  <r>
    <x v="0"/>
    <x v="1"/>
    <x v="3"/>
    <x v="11"/>
    <x v="8"/>
    <x v="2"/>
    <x v="10"/>
    <n v="8"/>
  </r>
  <r>
    <x v="0"/>
    <x v="1"/>
    <x v="3"/>
    <x v="11"/>
    <x v="8"/>
    <x v="2"/>
    <x v="1"/>
    <n v="7"/>
  </r>
  <r>
    <x v="0"/>
    <x v="1"/>
    <x v="3"/>
    <x v="11"/>
    <x v="8"/>
    <x v="10"/>
    <x v="6"/>
    <n v="3"/>
  </r>
  <r>
    <x v="0"/>
    <x v="1"/>
    <x v="3"/>
    <x v="11"/>
    <x v="8"/>
    <x v="10"/>
    <x v="10"/>
    <n v="1"/>
  </r>
  <r>
    <x v="0"/>
    <x v="1"/>
    <x v="3"/>
    <x v="11"/>
    <x v="8"/>
    <x v="10"/>
    <x v="1"/>
    <n v="3"/>
  </r>
  <r>
    <x v="0"/>
    <x v="1"/>
    <x v="3"/>
    <x v="11"/>
    <x v="8"/>
    <x v="3"/>
    <x v="7"/>
    <n v="21"/>
  </r>
  <r>
    <x v="0"/>
    <x v="1"/>
    <x v="3"/>
    <x v="11"/>
    <x v="8"/>
    <x v="3"/>
    <x v="6"/>
    <n v="6"/>
  </r>
  <r>
    <x v="0"/>
    <x v="1"/>
    <x v="3"/>
    <x v="11"/>
    <x v="8"/>
    <x v="3"/>
    <x v="10"/>
    <n v="4"/>
  </r>
  <r>
    <x v="0"/>
    <x v="1"/>
    <x v="3"/>
    <x v="11"/>
    <x v="8"/>
    <x v="4"/>
    <x v="7"/>
    <n v="16"/>
  </r>
  <r>
    <x v="0"/>
    <x v="1"/>
    <x v="3"/>
    <x v="11"/>
    <x v="8"/>
    <x v="4"/>
    <x v="6"/>
    <n v="4"/>
  </r>
  <r>
    <x v="0"/>
    <x v="1"/>
    <x v="3"/>
    <x v="11"/>
    <x v="8"/>
    <x v="4"/>
    <x v="10"/>
    <n v="3"/>
  </r>
  <r>
    <x v="0"/>
    <x v="1"/>
    <x v="3"/>
    <x v="11"/>
    <x v="8"/>
    <x v="5"/>
    <x v="7"/>
    <n v="26"/>
  </r>
  <r>
    <x v="0"/>
    <x v="1"/>
    <x v="3"/>
    <x v="11"/>
    <x v="8"/>
    <x v="5"/>
    <x v="6"/>
    <n v="6"/>
  </r>
  <r>
    <x v="0"/>
    <x v="1"/>
    <x v="3"/>
    <x v="11"/>
    <x v="8"/>
    <x v="11"/>
    <x v="7"/>
    <n v="47"/>
  </r>
  <r>
    <x v="0"/>
    <x v="1"/>
    <x v="3"/>
    <x v="11"/>
    <x v="8"/>
    <x v="11"/>
    <x v="6"/>
    <n v="3"/>
  </r>
  <r>
    <x v="0"/>
    <x v="1"/>
    <x v="3"/>
    <x v="11"/>
    <x v="8"/>
    <x v="6"/>
    <x v="8"/>
    <n v="5"/>
  </r>
  <r>
    <x v="0"/>
    <x v="1"/>
    <x v="3"/>
    <x v="11"/>
    <x v="8"/>
    <x v="6"/>
    <x v="7"/>
    <n v="48"/>
  </r>
  <r>
    <x v="0"/>
    <x v="1"/>
    <x v="3"/>
    <x v="11"/>
    <x v="8"/>
    <x v="9"/>
    <x v="7"/>
    <n v="21"/>
  </r>
  <r>
    <x v="0"/>
    <x v="1"/>
    <x v="3"/>
    <x v="11"/>
    <x v="8"/>
    <x v="7"/>
    <x v="6"/>
    <n v="17"/>
  </r>
  <r>
    <x v="0"/>
    <x v="1"/>
    <x v="3"/>
    <x v="11"/>
    <x v="8"/>
    <x v="7"/>
    <x v="10"/>
    <n v="2"/>
  </r>
  <r>
    <x v="0"/>
    <x v="1"/>
    <x v="3"/>
    <x v="11"/>
    <x v="8"/>
    <x v="8"/>
    <x v="6"/>
    <n v="2"/>
  </r>
  <r>
    <x v="0"/>
    <x v="1"/>
    <x v="3"/>
    <x v="11"/>
    <x v="8"/>
    <x v="8"/>
    <x v="10"/>
    <n v="2"/>
  </r>
  <r>
    <x v="0"/>
    <x v="1"/>
    <x v="3"/>
    <x v="11"/>
    <x v="8"/>
    <x v="8"/>
    <x v="1"/>
    <n v="2"/>
  </r>
  <r>
    <x v="0"/>
    <x v="1"/>
    <x v="3"/>
    <x v="11"/>
    <x v="6"/>
    <x v="0"/>
    <x v="9"/>
    <n v="2"/>
  </r>
  <r>
    <x v="0"/>
    <x v="1"/>
    <x v="3"/>
    <x v="12"/>
    <x v="4"/>
    <x v="0"/>
    <x v="10"/>
    <n v="13"/>
  </r>
  <r>
    <x v="0"/>
    <x v="1"/>
    <x v="3"/>
    <x v="12"/>
    <x v="4"/>
    <x v="0"/>
    <x v="1"/>
    <n v="2"/>
  </r>
  <r>
    <x v="0"/>
    <x v="1"/>
    <x v="3"/>
    <x v="12"/>
    <x v="6"/>
    <x v="19"/>
    <x v="11"/>
    <n v="1"/>
  </r>
  <r>
    <x v="0"/>
    <x v="1"/>
    <x v="3"/>
    <x v="12"/>
    <x v="6"/>
    <x v="15"/>
    <x v="1"/>
    <n v="1"/>
  </r>
  <r>
    <x v="0"/>
    <x v="1"/>
    <x v="3"/>
    <x v="12"/>
    <x v="6"/>
    <x v="15"/>
    <x v="12"/>
    <n v="1"/>
  </r>
  <r>
    <x v="0"/>
    <x v="1"/>
    <x v="3"/>
    <x v="12"/>
    <x v="6"/>
    <x v="15"/>
    <x v="9"/>
    <n v="2"/>
  </r>
  <r>
    <x v="0"/>
    <x v="1"/>
    <x v="3"/>
    <x v="12"/>
    <x v="6"/>
    <x v="14"/>
    <x v="10"/>
    <n v="3"/>
  </r>
  <r>
    <x v="0"/>
    <x v="1"/>
    <x v="3"/>
    <x v="12"/>
    <x v="6"/>
    <x v="14"/>
    <x v="1"/>
    <n v="2"/>
  </r>
  <r>
    <x v="0"/>
    <x v="1"/>
    <x v="3"/>
    <x v="12"/>
    <x v="6"/>
    <x v="13"/>
    <x v="6"/>
    <n v="5"/>
  </r>
  <r>
    <x v="0"/>
    <x v="1"/>
    <x v="3"/>
    <x v="12"/>
    <x v="6"/>
    <x v="13"/>
    <x v="10"/>
    <n v="2"/>
  </r>
  <r>
    <x v="0"/>
    <x v="1"/>
    <x v="3"/>
    <x v="12"/>
    <x v="6"/>
    <x v="2"/>
    <x v="6"/>
    <n v="6"/>
  </r>
  <r>
    <x v="0"/>
    <x v="1"/>
    <x v="3"/>
    <x v="12"/>
    <x v="6"/>
    <x v="10"/>
    <x v="6"/>
    <n v="7"/>
  </r>
  <r>
    <x v="0"/>
    <x v="1"/>
    <x v="3"/>
    <x v="12"/>
    <x v="6"/>
    <x v="3"/>
    <x v="11"/>
    <n v="1"/>
  </r>
  <r>
    <x v="0"/>
    <x v="1"/>
    <x v="3"/>
    <x v="12"/>
    <x v="6"/>
    <x v="4"/>
    <x v="11"/>
    <n v="1"/>
  </r>
  <r>
    <x v="0"/>
    <x v="1"/>
    <x v="3"/>
    <x v="12"/>
    <x v="6"/>
    <x v="6"/>
    <x v="4"/>
    <n v="1"/>
  </r>
  <r>
    <x v="0"/>
    <x v="1"/>
    <x v="3"/>
    <x v="12"/>
    <x v="6"/>
    <x v="6"/>
    <x v="2"/>
    <n v="1"/>
  </r>
  <r>
    <x v="0"/>
    <x v="1"/>
    <x v="3"/>
    <x v="12"/>
    <x v="6"/>
    <x v="9"/>
    <x v="3"/>
    <n v="2"/>
  </r>
  <r>
    <x v="0"/>
    <x v="1"/>
    <x v="3"/>
    <x v="12"/>
    <x v="6"/>
    <x v="9"/>
    <x v="5"/>
    <n v="1"/>
  </r>
  <r>
    <x v="0"/>
    <x v="1"/>
    <x v="3"/>
    <x v="12"/>
    <x v="6"/>
    <x v="12"/>
    <x v="9"/>
    <n v="1"/>
  </r>
  <r>
    <x v="0"/>
    <x v="1"/>
    <x v="3"/>
    <x v="12"/>
    <x v="6"/>
    <x v="12"/>
    <x v="3"/>
    <n v="2"/>
  </r>
  <r>
    <x v="0"/>
    <x v="1"/>
    <x v="3"/>
    <x v="12"/>
    <x v="6"/>
    <x v="12"/>
    <x v="4"/>
    <n v="1"/>
  </r>
  <r>
    <x v="0"/>
    <x v="1"/>
    <x v="3"/>
    <x v="12"/>
    <x v="6"/>
    <x v="1"/>
    <x v="12"/>
    <n v="2"/>
  </r>
  <r>
    <x v="0"/>
    <x v="1"/>
    <x v="3"/>
    <x v="12"/>
    <x v="6"/>
    <x v="0"/>
    <x v="12"/>
    <n v="1"/>
  </r>
  <r>
    <x v="0"/>
    <x v="1"/>
    <x v="3"/>
    <x v="12"/>
    <x v="6"/>
    <x v="0"/>
    <x v="9"/>
    <n v="1"/>
  </r>
  <r>
    <x v="0"/>
    <x v="1"/>
    <x v="3"/>
    <x v="12"/>
    <x v="19"/>
    <x v="7"/>
    <x v="17"/>
    <n v="1"/>
  </r>
  <r>
    <x v="0"/>
    <x v="1"/>
    <x v="3"/>
    <x v="13"/>
    <x v="12"/>
    <x v="0"/>
    <x v="4"/>
    <n v="1"/>
  </r>
  <r>
    <x v="0"/>
    <x v="1"/>
    <x v="3"/>
    <x v="13"/>
    <x v="12"/>
    <x v="0"/>
    <x v="5"/>
    <n v="1"/>
  </r>
  <r>
    <x v="0"/>
    <x v="1"/>
    <x v="3"/>
    <x v="13"/>
    <x v="12"/>
    <x v="0"/>
    <x v="2"/>
    <n v="1"/>
  </r>
  <r>
    <x v="0"/>
    <x v="1"/>
    <x v="3"/>
    <x v="13"/>
    <x v="15"/>
    <x v="7"/>
    <x v="10"/>
    <n v="4"/>
  </r>
  <r>
    <x v="0"/>
    <x v="1"/>
    <x v="3"/>
    <x v="13"/>
    <x v="15"/>
    <x v="7"/>
    <x v="1"/>
    <n v="6"/>
  </r>
  <r>
    <x v="0"/>
    <x v="1"/>
    <x v="3"/>
    <x v="13"/>
    <x v="15"/>
    <x v="0"/>
    <x v="3"/>
    <n v="2"/>
  </r>
  <r>
    <x v="0"/>
    <x v="1"/>
    <x v="3"/>
    <x v="13"/>
    <x v="15"/>
    <x v="0"/>
    <x v="4"/>
    <n v="1"/>
  </r>
  <r>
    <x v="0"/>
    <x v="1"/>
    <x v="3"/>
    <x v="13"/>
    <x v="15"/>
    <x v="0"/>
    <x v="5"/>
    <n v="2"/>
  </r>
  <r>
    <x v="0"/>
    <x v="1"/>
    <x v="3"/>
    <x v="13"/>
    <x v="7"/>
    <x v="12"/>
    <x v="9"/>
    <n v="1"/>
  </r>
  <r>
    <x v="0"/>
    <x v="1"/>
    <x v="3"/>
    <x v="14"/>
    <x v="12"/>
    <x v="0"/>
    <x v="4"/>
    <n v="3"/>
  </r>
  <r>
    <x v="0"/>
    <x v="1"/>
    <x v="3"/>
    <x v="18"/>
    <x v="13"/>
    <x v="0"/>
    <x v="5"/>
    <n v="1"/>
  </r>
  <r>
    <x v="0"/>
    <x v="1"/>
    <x v="3"/>
    <x v="18"/>
    <x v="3"/>
    <x v="3"/>
    <x v="7"/>
    <n v="3"/>
  </r>
  <r>
    <x v="0"/>
    <x v="1"/>
    <x v="3"/>
    <x v="18"/>
    <x v="3"/>
    <x v="7"/>
    <x v="6"/>
    <n v="1"/>
  </r>
  <r>
    <x v="0"/>
    <x v="1"/>
    <x v="3"/>
    <x v="18"/>
    <x v="3"/>
    <x v="0"/>
    <x v="12"/>
    <n v="1"/>
  </r>
  <r>
    <x v="0"/>
    <x v="1"/>
    <x v="3"/>
    <x v="15"/>
    <x v="1"/>
    <x v="12"/>
    <x v="12"/>
    <n v="1"/>
  </r>
  <r>
    <x v="0"/>
    <x v="1"/>
    <x v="3"/>
    <x v="15"/>
    <x v="1"/>
    <x v="1"/>
    <x v="1"/>
    <n v="2"/>
  </r>
  <r>
    <x v="0"/>
    <x v="1"/>
    <x v="3"/>
    <x v="15"/>
    <x v="1"/>
    <x v="0"/>
    <x v="12"/>
    <n v="1"/>
  </r>
  <r>
    <x v="0"/>
    <x v="1"/>
    <x v="3"/>
    <x v="5"/>
    <x v="11"/>
    <x v="4"/>
    <x v="7"/>
    <n v="1"/>
  </r>
  <r>
    <x v="0"/>
    <x v="1"/>
    <x v="3"/>
    <x v="5"/>
    <x v="11"/>
    <x v="4"/>
    <x v="6"/>
    <n v="3"/>
  </r>
  <r>
    <x v="0"/>
    <x v="1"/>
    <x v="3"/>
    <x v="5"/>
    <x v="11"/>
    <x v="5"/>
    <x v="7"/>
    <n v="12"/>
  </r>
  <r>
    <x v="0"/>
    <x v="1"/>
    <x v="3"/>
    <x v="5"/>
    <x v="11"/>
    <x v="5"/>
    <x v="6"/>
    <n v="4"/>
  </r>
  <r>
    <x v="0"/>
    <x v="1"/>
    <x v="3"/>
    <x v="5"/>
    <x v="11"/>
    <x v="11"/>
    <x v="7"/>
    <n v="11"/>
  </r>
  <r>
    <x v="0"/>
    <x v="1"/>
    <x v="3"/>
    <x v="5"/>
    <x v="11"/>
    <x v="11"/>
    <x v="0"/>
    <n v="1"/>
  </r>
  <r>
    <x v="0"/>
    <x v="1"/>
    <x v="3"/>
    <x v="5"/>
    <x v="11"/>
    <x v="7"/>
    <x v="6"/>
    <n v="1"/>
  </r>
  <r>
    <x v="0"/>
    <x v="1"/>
    <x v="3"/>
    <x v="5"/>
    <x v="11"/>
    <x v="7"/>
    <x v="10"/>
    <n v="8"/>
  </r>
  <r>
    <x v="0"/>
    <x v="1"/>
    <x v="3"/>
    <x v="5"/>
    <x v="11"/>
    <x v="7"/>
    <x v="3"/>
    <n v="1"/>
  </r>
  <r>
    <x v="0"/>
    <x v="1"/>
    <x v="3"/>
    <x v="5"/>
    <x v="11"/>
    <x v="7"/>
    <x v="4"/>
    <n v="1"/>
  </r>
  <r>
    <x v="0"/>
    <x v="1"/>
    <x v="3"/>
    <x v="5"/>
    <x v="11"/>
    <x v="7"/>
    <x v="13"/>
    <n v="1"/>
  </r>
  <r>
    <x v="0"/>
    <x v="1"/>
    <x v="3"/>
    <x v="5"/>
    <x v="17"/>
    <x v="0"/>
    <x v="4"/>
    <n v="3"/>
  </r>
  <r>
    <x v="0"/>
    <x v="1"/>
    <x v="3"/>
    <x v="5"/>
    <x v="17"/>
    <x v="0"/>
    <x v="5"/>
    <n v="1"/>
  </r>
  <r>
    <x v="0"/>
    <x v="1"/>
    <x v="3"/>
    <x v="5"/>
    <x v="18"/>
    <x v="15"/>
    <x v="12"/>
    <n v="1"/>
  </r>
  <r>
    <x v="0"/>
    <x v="1"/>
    <x v="3"/>
    <x v="5"/>
    <x v="18"/>
    <x v="2"/>
    <x v="3"/>
    <n v="1"/>
  </r>
  <r>
    <x v="0"/>
    <x v="1"/>
    <x v="3"/>
    <x v="6"/>
    <x v="2"/>
    <x v="14"/>
    <x v="0"/>
    <n v="1"/>
  </r>
  <r>
    <x v="0"/>
    <x v="1"/>
    <x v="3"/>
    <x v="6"/>
    <x v="4"/>
    <x v="0"/>
    <x v="14"/>
    <n v="1"/>
  </r>
  <r>
    <x v="0"/>
    <x v="1"/>
    <x v="3"/>
    <x v="6"/>
    <x v="3"/>
    <x v="13"/>
    <x v="1"/>
    <n v="9"/>
  </r>
  <r>
    <x v="0"/>
    <x v="1"/>
    <x v="3"/>
    <x v="6"/>
    <x v="3"/>
    <x v="9"/>
    <x v="1"/>
    <n v="1"/>
  </r>
  <r>
    <x v="0"/>
    <x v="1"/>
    <x v="3"/>
    <x v="6"/>
    <x v="3"/>
    <x v="12"/>
    <x v="1"/>
    <n v="1"/>
  </r>
  <r>
    <x v="0"/>
    <x v="1"/>
    <x v="3"/>
    <x v="6"/>
    <x v="3"/>
    <x v="7"/>
    <x v="7"/>
    <n v="3"/>
  </r>
  <r>
    <x v="0"/>
    <x v="1"/>
    <x v="3"/>
    <x v="6"/>
    <x v="11"/>
    <x v="12"/>
    <x v="19"/>
    <n v="1"/>
  </r>
  <r>
    <x v="0"/>
    <x v="1"/>
    <x v="3"/>
    <x v="6"/>
    <x v="11"/>
    <x v="1"/>
    <x v="19"/>
    <n v="1"/>
  </r>
  <r>
    <x v="0"/>
    <x v="1"/>
    <x v="3"/>
    <x v="6"/>
    <x v="11"/>
    <x v="0"/>
    <x v="19"/>
    <n v="1"/>
  </r>
  <r>
    <x v="0"/>
    <x v="1"/>
    <x v="3"/>
    <x v="9"/>
    <x v="12"/>
    <x v="0"/>
    <x v="4"/>
    <n v="1"/>
  </r>
  <r>
    <x v="0"/>
    <x v="1"/>
    <x v="3"/>
    <x v="9"/>
    <x v="12"/>
    <x v="0"/>
    <x v="5"/>
    <n v="1"/>
  </r>
  <r>
    <x v="0"/>
    <x v="1"/>
    <x v="3"/>
    <x v="9"/>
    <x v="12"/>
    <x v="0"/>
    <x v="2"/>
    <n v="1"/>
  </r>
  <r>
    <x v="0"/>
    <x v="1"/>
    <x v="3"/>
    <x v="9"/>
    <x v="7"/>
    <x v="0"/>
    <x v="19"/>
    <n v="1"/>
  </r>
  <r>
    <x v="0"/>
    <x v="1"/>
    <x v="3"/>
    <x v="9"/>
    <x v="17"/>
    <x v="0"/>
    <x v="5"/>
    <n v="1"/>
  </r>
  <r>
    <x v="0"/>
    <x v="1"/>
    <x v="3"/>
    <x v="9"/>
    <x v="17"/>
    <x v="0"/>
    <x v="13"/>
    <n v="1"/>
  </r>
  <r>
    <x v="0"/>
    <x v="1"/>
    <x v="3"/>
    <x v="7"/>
    <x v="15"/>
    <x v="0"/>
    <x v="19"/>
    <n v="1"/>
  </r>
  <r>
    <x v="0"/>
    <x v="1"/>
    <x v="3"/>
    <x v="7"/>
    <x v="6"/>
    <x v="0"/>
    <x v="1"/>
    <n v="1"/>
  </r>
  <r>
    <x v="0"/>
    <x v="1"/>
    <x v="3"/>
    <x v="7"/>
    <x v="19"/>
    <x v="0"/>
    <x v="2"/>
    <n v="1"/>
  </r>
  <r>
    <x v="0"/>
    <x v="1"/>
    <x v="3"/>
    <x v="8"/>
    <x v="5"/>
    <x v="0"/>
    <x v="17"/>
    <n v="1"/>
  </r>
  <r>
    <x v="0"/>
    <x v="1"/>
    <x v="3"/>
    <x v="8"/>
    <x v="13"/>
    <x v="4"/>
    <x v="0"/>
    <n v="1"/>
  </r>
  <r>
    <x v="0"/>
    <x v="1"/>
    <x v="3"/>
    <x v="8"/>
    <x v="13"/>
    <x v="7"/>
    <x v="11"/>
    <n v="1"/>
  </r>
  <r>
    <x v="0"/>
    <x v="1"/>
    <x v="3"/>
    <x v="8"/>
    <x v="14"/>
    <x v="9"/>
    <x v="8"/>
    <n v="1"/>
  </r>
  <r>
    <x v="0"/>
    <x v="1"/>
    <x v="3"/>
    <x v="8"/>
    <x v="14"/>
    <x v="12"/>
    <x v="8"/>
    <n v="1"/>
  </r>
  <r>
    <x v="0"/>
    <x v="1"/>
    <x v="3"/>
    <x v="8"/>
    <x v="14"/>
    <x v="7"/>
    <x v="10"/>
    <n v="1"/>
  </r>
  <r>
    <x v="0"/>
    <x v="1"/>
    <x v="3"/>
    <x v="8"/>
    <x v="11"/>
    <x v="1"/>
    <x v="12"/>
    <n v="1"/>
  </r>
  <r>
    <x v="0"/>
    <x v="1"/>
    <x v="3"/>
    <x v="8"/>
    <x v="11"/>
    <x v="8"/>
    <x v="10"/>
    <n v="2"/>
  </r>
  <r>
    <x v="0"/>
    <x v="1"/>
    <x v="3"/>
    <x v="8"/>
    <x v="17"/>
    <x v="0"/>
    <x v="3"/>
    <n v="1"/>
  </r>
  <r>
    <x v="0"/>
    <x v="1"/>
    <x v="3"/>
    <x v="8"/>
    <x v="19"/>
    <x v="9"/>
    <x v="10"/>
    <n v="10"/>
  </r>
  <r>
    <x v="0"/>
    <x v="1"/>
    <x v="3"/>
    <x v="8"/>
    <x v="19"/>
    <x v="9"/>
    <x v="1"/>
    <n v="3"/>
  </r>
  <r>
    <x v="0"/>
    <x v="1"/>
    <x v="3"/>
    <x v="8"/>
    <x v="19"/>
    <x v="12"/>
    <x v="10"/>
    <n v="5"/>
  </r>
  <r>
    <x v="0"/>
    <x v="1"/>
    <x v="3"/>
    <x v="8"/>
    <x v="19"/>
    <x v="12"/>
    <x v="1"/>
    <n v="2"/>
  </r>
  <r>
    <x v="0"/>
    <x v="1"/>
    <x v="3"/>
    <x v="8"/>
    <x v="19"/>
    <x v="1"/>
    <x v="1"/>
    <n v="4"/>
  </r>
  <r>
    <x v="0"/>
    <x v="1"/>
    <x v="3"/>
    <x v="8"/>
    <x v="19"/>
    <x v="0"/>
    <x v="1"/>
    <n v="2"/>
  </r>
  <r>
    <x v="0"/>
    <x v="1"/>
    <x v="3"/>
    <x v="8"/>
    <x v="19"/>
    <x v="0"/>
    <x v="9"/>
    <n v="3"/>
  </r>
  <r>
    <x v="0"/>
    <x v="1"/>
    <x v="3"/>
    <x v="10"/>
    <x v="5"/>
    <x v="0"/>
    <x v="13"/>
    <n v="1"/>
  </r>
  <r>
    <x v="0"/>
    <x v="1"/>
    <x v="3"/>
    <x v="10"/>
    <x v="13"/>
    <x v="0"/>
    <x v="19"/>
    <n v="1"/>
  </r>
  <r>
    <x v="0"/>
    <x v="1"/>
    <x v="3"/>
    <x v="10"/>
    <x v="7"/>
    <x v="0"/>
    <x v="1"/>
    <n v="15"/>
  </r>
  <r>
    <x v="0"/>
    <x v="1"/>
    <x v="3"/>
    <x v="10"/>
    <x v="17"/>
    <x v="0"/>
    <x v="9"/>
    <n v="5"/>
  </r>
  <r>
    <x v="0"/>
    <x v="1"/>
    <x v="3"/>
    <x v="10"/>
    <x v="17"/>
    <x v="0"/>
    <x v="3"/>
    <n v="12"/>
  </r>
  <r>
    <x v="0"/>
    <x v="1"/>
    <x v="3"/>
    <x v="10"/>
    <x v="19"/>
    <x v="14"/>
    <x v="1"/>
    <n v="1"/>
  </r>
  <r>
    <x v="0"/>
    <x v="1"/>
    <x v="3"/>
    <x v="10"/>
    <x v="19"/>
    <x v="13"/>
    <x v="10"/>
    <n v="9"/>
  </r>
  <r>
    <x v="0"/>
    <x v="1"/>
    <x v="3"/>
    <x v="10"/>
    <x v="19"/>
    <x v="13"/>
    <x v="1"/>
    <n v="4"/>
  </r>
  <r>
    <x v="0"/>
    <x v="1"/>
    <x v="3"/>
    <x v="10"/>
    <x v="19"/>
    <x v="13"/>
    <x v="5"/>
    <n v="3"/>
  </r>
  <r>
    <x v="0"/>
    <x v="1"/>
    <x v="3"/>
    <x v="10"/>
    <x v="19"/>
    <x v="13"/>
    <x v="2"/>
    <n v="1"/>
  </r>
  <r>
    <x v="0"/>
    <x v="1"/>
    <x v="3"/>
    <x v="10"/>
    <x v="19"/>
    <x v="13"/>
    <x v="11"/>
    <n v="1"/>
  </r>
  <r>
    <x v="0"/>
    <x v="1"/>
    <x v="3"/>
    <x v="10"/>
    <x v="19"/>
    <x v="2"/>
    <x v="15"/>
    <n v="254"/>
  </r>
  <r>
    <x v="0"/>
    <x v="1"/>
    <x v="3"/>
    <x v="10"/>
    <x v="19"/>
    <x v="10"/>
    <x v="15"/>
    <n v="473"/>
  </r>
  <r>
    <x v="0"/>
    <x v="1"/>
    <x v="3"/>
    <x v="10"/>
    <x v="19"/>
    <x v="3"/>
    <x v="15"/>
    <n v="14"/>
  </r>
  <r>
    <x v="0"/>
    <x v="1"/>
    <x v="3"/>
    <x v="10"/>
    <x v="19"/>
    <x v="5"/>
    <x v="1"/>
    <n v="3"/>
  </r>
  <r>
    <x v="0"/>
    <x v="1"/>
    <x v="3"/>
    <x v="10"/>
    <x v="19"/>
    <x v="11"/>
    <x v="1"/>
    <n v="4"/>
  </r>
  <r>
    <x v="0"/>
    <x v="1"/>
    <x v="3"/>
    <x v="10"/>
    <x v="19"/>
    <x v="11"/>
    <x v="2"/>
    <n v="1"/>
  </r>
  <r>
    <x v="0"/>
    <x v="1"/>
    <x v="3"/>
    <x v="10"/>
    <x v="19"/>
    <x v="6"/>
    <x v="10"/>
    <n v="14"/>
  </r>
  <r>
    <x v="0"/>
    <x v="1"/>
    <x v="3"/>
    <x v="10"/>
    <x v="19"/>
    <x v="6"/>
    <x v="1"/>
    <n v="1"/>
  </r>
  <r>
    <x v="0"/>
    <x v="1"/>
    <x v="3"/>
    <x v="10"/>
    <x v="19"/>
    <x v="6"/>
    <x v="5"/>
    <n v="1"/>
  </r>
  <r>
    <x v="0"/>
    <x v="1"/>
    <x v="3"/>
    <x v="10"/>
    <x v="19"/>
    <x v="9"/>
    <x v="10"/>
    <n v="8"/>
  </r>
  <r>
    <x v="0"/>
    <x v="1"/>
    <x v="3"/>
    <x v="10"/>
    <x v="19"/>
    <x v="9"/>
    <x v="1"/>
    <n v="2"/>
  </r>
  <r>
    <x v="0"/>
    <x v="1"/>
    <x v="3"/>
    <x v="10"/>
    <x v="19"/>
    <x v="9"/>
    <x v="5"/>
    <n v="2"/>
  </r>
  <r>
    <x v="0"/>
    <x v="1"/>
    <x v="3"/>
    <x v="15"/>
    <x v="15"/>
    <x v="0"/>
    <x v="19"/>
    <n v="3"/>
  </r>
  <r>
    <x v="0"/>
    <x v="1"/>
    <x v="3"/>
    <x v="15"/>
    <x v="9"/>
    <x v="0"/>
    <x v="3"/>
    <n v="2"/>
  </r>
  <r>
    <x v="0"/>
    <x v="1"/>
    <x v="3"/>
    <x v="15"/>
    <x v="9"/>
    <x v="0"/>
    <x v="5"/>
    <n v="3"/>
  </r>
  <r>
    <x v="0"/>
    <x v="1"/>
    <x v="3"/>
    <x v="15"/>
    <x v="9"/>
    <x v="0"/>
    <x v="2"/>
    <n v="1"/>
  </r>
  <r>
    <x v="0"/>
    <x v="1"/>
    <x v="3"/>
    <x v="15"/>
    <x v="9"/>
    <x v="0"/>
    <x v="11"/>
    <n v="2"/>
  </r>
  <r>
    <x v="0"/>
    <x v="1"/>
    <x v="3"/>
    <x v="16"/>
    <x v="12"/>
    <x v="0"/>
    <x v="9"/>
    <n v="1"/>
  </r>
  <r>
    <x v="0"/>
    <x v="1"/>
    <x v="3"/>
    <x v="16"/>
    <x v="12"/>
    <x v="0"/>
    <x v="3"/>
    <n v="1"/>
  </r>
  <r>
    <x v="0"/>
    <x v="1"/>
    <x v="3"/>
    <x v="16"/>
    <x v="12"/>
    <x v="0"/>
    <x v="4"/>
    <n v="1"/>
  </r>
  <r>
    <x v="0"/>
    <x v="1"/>
    <x v="3"/>
    <x v="16"/>
    <x v="1"/>
    <x v="13"/>
    <x v="18"/>
    <n v="2"/>
  </r>
  <r>
    <x v="0"/>
    <x v="1"/>
    <x v="3"/>
    <x v="16"/>
    <x v="1"/>
    <x v="2"/>
    <x v="0"/>
    <n v="3"/>
  </r>
  <r>
    <x v="0"/>
    <x v="1"/>
    <x v="3"/>
    <x v="16"/>
    <x v="1"/>
    <x v="2"/>
    <x v="18"/>
    <n v="1"/>
  </r>
  <r>
    <x v="0"/>
    <x v="1"/>
    <x v="3"/>
    <x v="16"/>
    <x v="1"/>
    <x v="10"/>
    <x v="0"/>
    <n v="2"/>
  </r>
  <r>
    <x v="0"/>
    <x v="1"/>
    <x v="3"/>
    <x v="16"/>
    <x v="1"/>
    <x v="3"/>
    <x v="10"/>
    <n v="4"/>
  </r>
  <r>
    <x v="0"/>
    <x v="1"/>
    <x v="3"/>
    <x v="16"/>
    <x v="1"/>
    <x v="3"/>
    <x v="1"/>
    <n v="1"/>
  </r>
  <r>
    <x v="0"/>
    <x v="1"/>
    <x v="3"/>
    <x v="16"/>
    <x v="1"/>
    <x v="4"/>
    <x v="10"/>
    <n v="1"/>
  </r>
  <r>
    <x v="0"/>
    <x v="1"/>
    <x v="3"/>
    <x v="16"/>
    <x v="1"/>
    <x v="5"/>
    <x v="6"/>
    <n v="1"/>
  </r>
  <r>
    <x v="0"/>
    <x v="1"/>
    <x v="3"/>
    <x v="16"/>
    <x v="1"/>
    <x v="5"/>
    <x v="10"/>
    <n v="2"/>
  </r>
  <r>
    <x v="0"/>
    <x v="1"/>
    <x v="3"/>
    <x v="16"/>
    <x v="1"/>
    <x v="11"/>
    <x v="10"/>
    <n v="2"/>
  </r>
  <r>
    <x v="0"/>
    <x v="1"/>
    <x v="3"/>
    <x v="16"/>
    <x v="1"/>
    <x v="6"/>
    <x v="6"/>
    <n v="3"/>
  </r>
  <r>
    <x v="0"/>
    <x v="1"/>
    <x v="3"/>
    <x v="16"/>
    <x v="1"/>
    <x v="9"/>
    <x v="6"/>
    <n v="2"/>
  </r>
  <r>
    <x v="0"/>
    <x v="1"/>
    <x v="3"/>
    <x v="17"/>
    <x v="10"/>
    <x v="0"/>
    <x v="12"/>
    <n v="12"/>
  </r>
  <r>
    <x v="0"/>
    <x v="1"/>
    <x v="3"/>
    <x v="17"/>
    <x v="10"/>
    <x v="0"/>
    <x v="9"/>
    <n v="4"/>
  </r>
  <r>
    <x v="0"/>
    <x v="1"/>
    <x v="3"/>
    <x v="17"/>
    <x v="10"/>
    <x v="0"/>
    <x v="3"/>
    <n v="4"/>
  </r>
  <r>
    <x v="0"/>
    <x v="1"/>
    <x v="3"/>
    <x v="17"/>
    <x v="10"/>
    <x v="0"/>
    <x v="13"/>
    <n v="1"/>
  </r>
  <r>
    <x v="0"/>
    <x v="1"/>
    <x v="3"/>
    <x v="17"/>
    <x v="18"/>
    <x v="0"/>
    <x v="19"/>
    <n v="1"/>
  </r>
  <r>
    <x v="0"/>
    <x v="1"/>
    <x v="3"/>
    <x v="19"/>
    <x v="0"/>
    <x v="0"/>
    <x v="19"/>
    <n v="4"/>
  </r>
  <r>
    <x v="0"/>
    <x v="1"/>
    <x v="3"/>
    <x v="19"/>
    <x v="12"/>
    <x v="8"/>
    <x v="13"/>
    <n v="1"/>
  </r>
  <r>
    <x v="0"/>
    <x v="1"/>
    <x v="3"/>
    <x v="19"/>
    <x v="12"/>
    <x v="0"/>
    <x v="12"/>
    <n v="14"/>
  </r>
  <r>
    <x v="0"/>
    <x v="1"/>
    <x v="3"/>
    <x v="19"/>
    <x v="12"/>
    <x v="0"/>
    <x v="9"/>
    <n v="8"/>
  </r>
  <r>
    <x v="0"/>
    <x v="1"/>
    <x v="3"/>
    <x v="19"/>
    <x v="12"/>
    <x v="0"/>
    <x v="3"/>
    <n v="4"/>
  </r>
  <r>
    <x v="0"/>
    <x v="1"/>
    <x v="3"/>
    <x v="19"/>
    <x v="12"/>
    <x v="0"/>
    <x v="0"/>
    <n v="2"/>
  </r>
  <r>
    <x v="0"/>
    <x v="1"/>
    <x v="3"/>
    <x v="19"/>
    <x v="12"/>
    <x v="0"/>
    <x v="18"/>
    <n v="1"/>
  </r>
  <r>
    <x v="0"/>
    <x v="1"/>
    <x v="3"/>
    <x v="19"/>
    <x v="15"/>
    <x v="0"/>
    <x v="0"/>
    <n v="1"/>
  </r>
  <r>
    <x v="0"/>
    <x v="1"/>
    <x v="3"/>
    <x v="19"/>
    <x v="7"/>
    <x v="15"/>
    <x v="6"/>
    <n v="1"/>
  </r>
  <r>
    <x v="0"/>
    <x v="1"/>
    <x v="3"/>
    <x v="19"/>
    <x v="10"/>
    <x v="12"/>
    <x v="10"/>
    <n v="5"/>
  </r>
  <r>
    <x v="0"/>
    <x v="1"/>
    <x v="3"/>
    <x v="19"/>
    <x v="10"/>
    <x v="0"/>
    <x v="6"/>
    <n v="1"/>
  </r>
  <r>
    <x v="0"/>
    <x v="1"/>
    <x v="3"/>
    <x v="19"/>
    <x v="11"/>
    <x v="0"/>
    <x v="9"/>
    <n v="1"/>
  </r>
  <r>
    <x v="0"/>
    <x v="1"/>
    <x v="3"/>
    <x v="19"/>
    <x v="11"/>
    <x v="0"/>
    <x v="3"/>
    <n v="1"/>
  </r>
  <r>
    <x v="0"/>
    <x v="1"/>
    <x v="3"/>
    <x v="19"/>
    <x v="18"/>
    <x v="0"/>
    <x v="12"/>
    <n v="45"/>
  </r>
  <r>
    <x v="0"/>
    <x v="1"/>
    <x v="3"/>
    <x v="19"/>
    <x v="18"/>
    <x v="0"/>
    <x v="9"/>
    <n v="42"/>
  </r>
  <r>
    <x v="0"/>
    <x v="1"/>
    <x v="3"/>
    <x v="19"/>
    <x v="18"/>
    <x v="0"/>
    <x v="3"/>
    <n v="22"/>
  </r>
  <r>
    <x v="0"/>
    <x v="1"/>
    <x v="3"/>
    <x v="19"/>
    <x v="18"/>
    <x v="0"/>
    <x v="4"/>
    <n v="5"/>
  </r>
  <r>
    <x v="0"/>
    <x v="1"/>
    <x v="4"/>
    <x v="0"/>
    <x v="1"/>
    <x v="6"/>
    <x v="8"/>
    <n v="16"/>
  </r>
  <r>
    <x v="0"/>
    <x v="1"/>
    <x v="4"/>
    <x v="0"/>
    <x v="1"/>
    <x v="9"/>
    <x v="8"/>
    <n v="43"/>
  </r>
  <r>
    <x v="0"/>
    <x v="1"/>
    <x v="4"/>
    <x v="0"/>
    <x v="1"/>
    <x v="9"/>
    <x v="14"/>
    <n v="1"/>
  </r>
  <r>
    <x v="0"/>
    <x v="1"/>
    <x v="4"/>
    <x v="0"/>
    <x v="1"/>
    <x v="12"/>
    <x v="8"/>
    <n v="11"/>
  </r>
  <r>
    <x v="0"/>
    <x v="1"/>
    <x v="4"/>
    <x v="0"/>
    <x v="1"/>
    <x v="12"/>
    <x v="5"/>
    <n v="1"/>
  </r>
  <r>
    <x v="0"/>
    <x v="1"/>
    <x v="4"/>
    <x v="0"/>
    <x v="1"/>
    <x v="7"/>
    <x v="6"/>
    <n v="9"/>
  </r>
  <r>
    <x v="0"/>
    <x v="1"/>
    <x v="4"/>
    <x v="0"/>
    <x v="1"/>
    <x v="1"/>
    <x v="9"/>
    <n v="1"/>
  </r>
  <r>
    <x v="0"/>
    <x v="1"/>
    <x v="4"/>
    <x v="0"/>
    <x v="1"/>
    <x v="1"/>
    <x v="3"/>
    <n v="1"/>
  </r>
  <r>
    <x v="0"/>
    <x v="1"/>
    <x v="4"/>
    <x v="0"/>
    <x v="1"/>
    <x v="1"/>
    <x v="4"/>
    <n v="1"/>
  </r>
  <r>
    <x v="0"/>
    <x v="1"/>
    <x v="4"/>
    <x v="0"/>
    <x v="1"/>
    <x v="1"/>
    <x v="5"/>
    <n v="2"/>
  </r>
  <r>
    <x v="0"/>
    <x v="1"/>
    <x v="4"/>
    <x v="0"/>
    <x v="1"/>
    <x v="1"/>
    <x v="2"/>
    <n v="1"/>
  </r>
  <r>
    <x v="0"/>
    <x v="1"/>
    <x v="4"/>
    <x v="0"/>
    <x v="1"/>
    <x v="8"/>
    <x v="7"/>
    <n v="40"/>
  </r>
  <r>
    <x v="0"/>
    <x v="1"/>
    <x v="4"/>
    <x v="0"/>
    <x v="1"/>
    <x v="8"/>
    <x v="6"/>
    <n v="45"/>
  </r>
  <r>
    <x v="0"/>
    <x v="1"/>
    <x v="4"/>
    <x v="0"/>
    <x v="1"/>
    <x v="0"/>
    <x v="12"/>
    <n v="32"/>
  </r>
  <r>
    <x v="0"/>
    <x v="1"/>
    <x v="4"/>
    <x v="0"/>
    <x v="1"/>
    <x v="0"/>
    <x v="9"/>
    <n v="15"/>
  </r>
  <r>
    <x v="0"/>
    <x v="1"/>
    <x v="4"/>
    <x v="0"/>
    <x v="1"/>
    <x v="0"/>
    <x v="3"/>
    <n v="5"/>
  </r>
  <r>
    <x v="0"/>
    <x v="1"/>
    <x v="4"/>
    <x v="0"/>
    <x v="1"/>
    <x v="0"/>
    <x v="4"/>
    <n v="1"/>
  </r>
  <r>
    <x v="0"/>
    <x v="1"/>
    <x v="4"/>
    <x v="0"/>
    <x v="1"/>
    <x v="0"/>
    <x v="5"/>
    <n v="3"/>
  </r>
  <r>
    <x v="0"/>
    <x v="1"/>
    <x v="4"/>
    <x v="0"/>
    <x v="1"/>
    <x v="0"/>
    <x v="2"/>
    <n v="2"/>
  </r>
  <r>
    <x v="0"/>
    <x v="1"/>
    <x v="4"/>
    <x v="0"/>
    <x v="1"/>
    <x v="0"/>
    <x v="13"/>
    <n v="2"/>
  </r>
  <r>
    <x v="0"/>
    <x v="1"/>
    <x v="4"/>
    <x v="0"/>
    <x v="1"/>
    <x v="0"/>
    <x v="0"/>
    <n v="1"/>
  </r>
  <r>
    <x v="0"/>
    <x v="1"/>
    <x v="4"/>
    <x v="0"/>
    <x v="19"/>
    <x v="5"/>
    <x v="7"/>
    <n v="2"/>
  </r>
  <r>
    <x v="0"/>
    <x v="1"/>
    <x v="4"/>
    <x v="0"/>
    <x v="19"/>
    <x v="5"/>
    <x v="6"/>
    <n v="1"/>
  </r>
  <r>
    <x v="0"/>
    <x v="1"/>
    <x v="4"/>
    <x v="0"/>
    <x v="19"/>
    <x v="5"/>
    <x v="10"/>
    <n v="1"/>
  </r>
  <r>
    <x v="0"/>
    <x v="1"/>
    <x v="4"/>
    <x v="0"/>
    <x v="19"/>
    <x v="11"/>
    <x v="7"/>
    <n v="2"/>
  </r>
  <r>
    <x v="0"/>
    <x v="1"/>
    <x v="4"/>
    <x v="0"/>
    <x v="19"/>
    <x v="11"/>
    <x v="10"/>
    <n v="2"/>
  </r>
  <r>
    <x v="0"/>
    <x v="1"/>
    <x v="4"/>
    <x v="0"/>
    <x v="19"/>
    <x v="6"/>
    <x v="7"/>
    <n v="7"/>
  </r>
  <r>
    <x v="0"/>
    <x v="1"/>
    <x v="4"/>
    <x v="0"/>
    <x v="19"/>
    <x v="6"/>
    <x v="6"/>
    <n v="1"/>
  </r>
  <r>
    <x v="0"/>
    <x v="1"/>
    <x v="4"/>
    <x v="0"/>
    <x v="19"/>
    <x v="9"/>
    <x v="7"/>
    <n v="21"/>
  </r>
  <r>
    <x v="0"/>
    <x v="1"/>
    <x v="4"/>
    <x v="0"/>
    <x v="19"/>
    <x v="9"/>
    <x v="6"/>
    <n v="5"/>
  </r>
  <r>
    <x v="0"/>
    <x v="1"/>
    <x v="3"/>
    <x v="10"/>
    <x v="19"/>
    <x v="9"/>
    <x v="13"/>
    <n v="1"/>
  </r>
  <r>
    <x v="0"/>
    <x v="1"/>
    <x v="3"/>
    <x v="10"/>
    <x v="19"/>
    <x v="12"/>
    <x v="6"/>
    <n v="79"/>
  </r>
  <r>
    <x v="0"/>
    <x v="1"/>
    <x v="3"/>
    <x v="10"/>
    <x v="19"/>
    <x v="12"/>
    <x v="10"/>
    <n v="10"/>
  </r>
  <r>
    <x v="0"/>
    <x v="1"/>
    <x v="3"/>
    <x v="10"/>
    <x v="19"/>
    <x v="12"/>
    <x v="1"/>
    <n v="2"/>
  </r>
  <r>
    <x v="0"/>
    <x v="1"/>
    <x v="3"/>
    <x v="10"/>
    <x v="19"/>
    <x v="12"/>
    <x v="2"/>
    <n v="1"/>
  </r>
  <r>
    <x v="0"/>
    <x v="1"/>
    <x v="3"/>
    <x v="10"/>
    <x v="19"/>
    <x v="1"/>
    <x v="6"/>
    <n v="16"/>
  </r>
  <r>
    <x v="0"/>
    <x v="1"/>
    <x v="3"/>
    <x v="10"/>
    <x v="19"/>
    <x v="1"/>
    <x v="10"/>
    <n v="20"/>
  </r>
  <r>
    <x v="0"/>
    <x v="1"/>
    <x v="3"/>
    <x v="10"/>
    <x v="19"/>
    <x v="1"/>
    <x v="1"/>
    <n v="1"/>
  </r>
  <r>
    <x v="0"/>
    <x v="1"/>
    <x v="3"/>
    <x v="10"/>
    <x v="19"/>
    <x v="1"/>
    <x v="3"/>
    <n v="1"/>
  </r>
  <r>
    <x v="0"/>
    <x v="1"/>
    <x v="3"/>
    <x v="10"/>
    <x v="19"/>
    <x v="0"/>
    <x v="10"/>
    <n v="14"/>
  </r>
  <r>
    <x v="0"/>
    <x v="1"/>
    <x v="3"/>
    <x v="10"/>
    <x v="19"/>
    <x v="0"/>
    <x v="1"/>
    <n v="8"/>
  </r>
  <r>
    <x v="0"/>
    <x v="1"/>
    <x v="3"/>
    <x v="11"/>
    <x v="0"/>
    <x v="9"/>
    <x v="7"/>
    <n v="1"/>
  </r>
  <r>
    <x v="0"/>
    <x v="1"/>
    <x v="3"/>
    <x v="11"/>
    <x v="0"/>
    <x v="12"/>
    <x v="7"/>
    <n v="3"/>
  </r>
  <r>
    <x v="0"/>
    <x v="1"/>
    <x v="3"/>
    <x v="11"/>
    <x v="0"/>
    <x v="12"/>
    <x v="6"/>
    <n v="2"/>
  </r>
  <r>
    <x v="0"/>
    <x v="1"/>
    <x v="3"/>
    <x v="11"/>
    <x v="0"/>
    <x v="7"/>
    <x v="14"/>
    <n v="1"/>
  </r>
  <r>
    <x v="0"/>
    <x v="1"/>
    <x v="3"/>
    <x v="11"/>
    <x v="0"/>
    <x v="1"/>
    <x v="7"/>
    <n v="9"/>
  </r>
  <r>
    <x v="0"/>
    <x v="1"/>
    <x v="3"/>
    <x v="11"/>
    <x v="0"/>
    <x v="1"/>
    <x v="6"/>
    <n v="2"/>
  </r>
  <r>
    <x v="0"/>
    <x v="1"/>
    <x v="3"/>
    <x v="11"/>
    <x v="0"/>
    <x v="1"/>
    <x v="9"/>
    <n v="1"/>
  </r>
  <r>
    <x v="0"/>
    <x v="1"/>
    <x v="3"/>
    <x v="11"/>
    <x v="0"/>
    <x v="0"/>
    <x v="7"/>
    <n v="35"/>
  </r>
  <r>
    <x v="0"/>
    <x v="1"/>
    <x v="3"/>
    <x v="11"/>
    <x v="0"/>
    <x v="0"/>
    <x v="12"/>
    <n v="1"/>
  </r>
  <r>
    <x v="0"/>
    <x v="1"/>
    <x v="3"/>
    <x v="11"/>
    <x v="1"/>
    <x v="0"/>
    <x v="13"/>
    <n v="1"/>
  </r>
  <r>
    <x v="0"/>
    <x v="1"/>
    <x v="3"/>
    <x v="11"/>
    <x v="5"/>
    <x v="12"/>
    <x v="1"/>
    <n v="1"/>
  </r>
  <r>
    <x v="0"/>
    <x v="1"/>
    <x v="3"/>
    <x v="11"/>
    <x v="5"/>
    <x v="1"/>
    <x v="1"/>
    <n v="3"/>
  </r>
  <r>
    <x v="0"/>
    <x v="1"/>
    <x v="3"/>
    <x v="11"/>
    <x v="8"/>
    <x v="2"/>
    <x v="8"/>
    <n v="34"/>
  </r>
  <r>
    <x v="0"/>
    <x v="1"/>
    <x v="3"/>
    <x v="11"/>
    <x v="8"/>
    <x v="2"/>
    <x v="7"/>
    <n v="23"/>
  </r>
  <r>
    <x v="0"/>
    <x v="1"/>
    <x v="3"/>
    <x v="11"/>
    <x v="8"/>
    <x v="10"/>
    <x v="8"/>
    <n v="53"/>
  </r>
  <r>
    <x v="0"/>
    <x v="1"/>
    <x v="3"/>
    <x v="11"/>
    <x v="8"/>
    <x v="10"/>
    <x v="7"/>
    <n v="20"/>
  </r>
  <r>
    <x v="0"/>
    <x v="1"/>
    <x v="3"/>
    <x v="11"/>
    <x v="8"/>
    <x v="3"/>
    <x v="8"/>
    <n v="130"/>
  </r>
  <r>
    <x v="0"/>
    <x v="1"/>
    <x v="3"/>
    <x v="11"/>
    <x v="8"/>
    <x v="4"/>
    <x v="8"/>
    <n v="94"/>
  </r>
  <r>
    <x v="0"/>
    <x v="1"/>
    <x v="3"/>
    <x v="11"/>
    <x v="8"/>
    <x v="5"/>
    <x v="8"/>
    <n v="72"/>
  </r>
  <r>
    <x v="0"/>
    <x v="1"/>
    <x v="3"/>
    <x v="11"/>
    <x v="8"/>
    <x v="11"/>
    <x v="8"/>
    <n v="16"/>
  </r>
  <r>
    <x v="0"/>
    <x v="1"/>
    <x v="3"/>
    <x v="11"/>
    <x v="8"/>
    <x v="7"/>
    <x v="7"/>
    <n v="2"/>
  </r>
  <r>
    <x v="0"/>
    <x v="1"/>
    <x v="3"/>
    <x v="11"/>
    <x v="8"/>
    <x v="0"/>
    <x v="1"/>
    <n v="2"/>
  </r>
  <r>
    <x v="0"/>
    <x v="1"/>
    <x v="3"/>
    <x v="11"/>
    <x v="6"/>
    <x v="0"/>
    <x v="4"/>
    <n v="1"/>
  </r>
  <r>
    <x v="0"/>
    <x v="1"/>
    <x v="3"/>
    <x v="11"/>
    <x v="6"/>
    <x v="0"/>
    <x v="5"/>
    <n v="2"/>
  </r>
  <r>
    <x v="0"/>
    <x v="1"/>
    <x v="3"/>
    <x v="11"/>
    <x v="6"/>
    <x v="0"/>
    <x v="13"/>
    <n v="1"/>
  </r>
  <r>
    <x v="0"/>
    <x v="1"/>
    <x v="3"/>
    <x v="12"/>
    <x v="12"/>
    <x v="9"/>
    <x v="6"/>
    <n v="1"/>
  </r>
  <r>
    <x v="0"/>
    <x v="1"/>
    <x v="3"/>
    <x v="12"/>
    <x v="4"/>
    <x v="7"/>
    <x v="7"/>
    <n v="2"/>
  </r>
  <r>
    <x v="0"/>
    <x v="1"/>
    <x v="3"/>
    <x v="12"/>
    <x v="4"/>
    <x v="8"/>
    <x v="6"/>
    <n v="5"/>
  </r>
  <r>
    <x v="0"/>
    <x v="1"/>
    <x v="3"/>
    <x v="12"/>
    <x v="14"/>
    <x v="0"/>
    <x v="19"/>
    <n v="5"/>
  </r>
  <r>
    <x v="0"/>
    <x v="1"/>
    <x v="3"/>
    <x v="12"/>
    <x v="6"/>
    <x v="6"/>
    <x v="1"/>
    <n v="1"/>
  </r>
  <r>
    <x v="0"/>
    <x v="1"/>
    <x v="3"/>
    <x v="12"/>
    <x v="6"/>
    <x v="9"/>
    <x v="1"/>
    <n v="2"/>
  </r>
  <r>
    <x v="0"/>
    <x v="1"/>
    <x v="3"/>
    <x v="12"/>
    <x v="6"/>
    <x v="9"/>
    <x v="13"/>
    <n v="1"/>
  </r>
  <r>
    <x v="0"/>
    <x v="1"/>
    <x v="3"/>
    <x v="12"/>
    <x v="6"/>
    <x v="12"/>
    <x v="10"/>
    <n v="1"/>
  </r>
  <r>
    <x v="0"/>
    <x v="1"/>
    <x v="3"/>
    <x v="12"/>
    <x v="6"/>
    <x v="12"/>
    <x v="1"/>
    <n v="1"/>
  </r>
  <r>
    <x v="0"/>
    <x v="1"/>
    <x v="3"/>
    <x v="12"/>
    <x v="6"/>
    <x v="12"/>
    <x v="11"/>
    <n v="1"/>
  </r>
  <r>
    <x v="0"/>
    <x v="1"/>
    <x v="3"/>
    <x v="12"/>
    <x v="6"/>
    <x v="1"/>
    <x v="1"/>
    <n v="1"/>
  </r>
  <r>
    <x v="0"/>
    <x v="1"/>
    <x v="3"/>
    <x v="12"/>
    <x v="6"/>
    <x v="1"/>
    <x v="5"/>
    <n v="1"/>
  </r>
  <r>
    <x v="0"/>
    <x v="1"/>
    <x v="3"/>
    <x v="12"/>
    <x v="6"/>
    <x v="1"/>
    <x v="2"/>
    <n v="1"/>
  </r>
  <r>
    <x v="0"/>
    <x v="1"/>
    <x v="3"/>
    <x v="12"/>
    <x v="6"/>
    <x v="0"/>
    <x v="3"/>
    <n v="1"/>
  </r>
  <r>
    <x v="0"/>
    <x v="1"/>
    <x v="3"/>
    <x v="13"/>
    <x v="15"/>
    <x v="6"/>
    <x v="17"/>
    <n v="1"/>
  </r>
  <r>
    <x v="0"/>
    <x v="1"/>
    <x v="3"/>
    <x v="13"/>
    <x v="15"/>
    <x v="7"/>
    <x v="12"/>
    <n v="2"/>
  </r>
  <r>
    <x v="0"/>
    <x v="1"/>
    <x v="3"/>
    <x v="13"/>
    <x v="15"/>
    <x v="1"/>
    <x v="1"/>
    <n v="11"/>
  </r>
  <r>
    <x v="0"/>
    <x v="1"/>
    <x v="3"/>
    <x v="13"/>
    <x v="15"/>
    <x v="8"/>
    <x v="12"/>
    <n v="1"/>
  </r>
  <r>
    <x v="0"/>
    <x v="1"/>
    <x v="3"/>
    <x v="13"/>
    <x v="15"/>
    <x v="0"/>
    <x v="1"/>
    <n v="4"/>
  </r>
  <r>
    <x v="0"/>
    <x v="1"/>
    <x v="3"/>
    <x v="13"/>
    <x v="7"/>
    <x v="6"/>
    <x v="1"/>
    <n v="3"/>
  </r>
  <r>
    <x v="0"/>
    <x v="1"/>
    <x v="3"/>
    <x v="13"/>
    <x v="7"/>
    <x v="9"/>
    <x v="1"/>
    <n v="1"/>
  </r>
  <r>
    <x v="0"/>
    <x v="1"/>
    <x v="3"/>
    <x v="13"/>
    <x v="7"/>
    <x v="12"/>
    <x v="10"/>
    <n v="1"/>
  </r>
  <r>
    <x v="0"/>
    <x v="1"/>
    <x v="3"/>
    <x v="14"/>
    <x v="2"/>
    <x v="0"/>
    <x v="19"/>
    <n v="1"/>
  </r>
  <r>
    <x v="0"/>
    <x v="1"/>
    <x v="3"/>
    <x v="14"/>
    <x v="1"/>
    <x v="0"/>
    <x v="3"/>
    <n v="1"/>
  </r>
  <r>
    <x v="0"/>
    <x v="1"/>
    <x v="3"/>
    <x v="14"/>
    <x v="1"/>
    <x v="0"/>
    <x v="13"/>
    <n v="1"/>
  </r>
  <r>
    <x v="0"/>
    <x v="1"/>
    <x v="3"/>
    <x v="14"/>
    <x v="9"/>
    <x v="0"/>
    <x v="9"/>
    <n v="3"/>
  </r>
  <r>
    <x v="0"/>
    <x v="1"/>
    <x v="3"/>
    <x v="14"/>
    <x v="9"/>
    <x v="0"/>
    <x v="3"/>
    <n v="2"/>
  </r>
  <r>
    <x v="0"/>
    <x v="1"/>
    <x v="3"/>
    <x v="14"/>
    <x v="11"/>
    <x v="8"/>
    <x v="10"/>
    <n v="1"/>
  </r>
  <r>
    <x v="0"/>
    <x v="1"/>
    <x v="3"/>
    <x v="14"/>
    <x v="11"/>
    <x v="0"/>
    <x v="1"/>
    <n v="7"/>
  </r>
  <r>
    <x v="0"/>
    <x v="1"/>
    <x v="3"/>
    <x v="18"/>
    <x v="4"/>
    <x v="0"/>
    <x v="19"/>
    <n v="2"/>
  </r>
  <r>
    <x v="0"/>
    <x v="1"/>
    <x v="3"/>
    <x v="18"/>
    <x v="5"/>
    <x v="0"/>
    <x v="12"/>
    <n v="2"/>
  </r>
  <r>
    <x v="0"/>
    <x v="1"/>
    <x v="3"/>
    <x v="18"/>
    <x v="5"/>
    <x v="0"/>
    <x v="9"/>
    <n v="1"/>
  </r>
  <r>
    <x v="0"/>
    <x v="1"/>
    <x v="3"/>
    <x v="18"/>
    <x v="13"/>
    <x v="0"/>
    <x v="2"/>
    <n v="1"/>
  </r>
  <r>
    <x v="0"/>
    <x v="1"/>
    <x v="3"/>
    <x v="18"/>
    <x v="3"/>
    <x v="11"/>
    <x v="1"/>
    <n v="1"/>
  </r>
  <r>
    <x v="0"/>
    <x v="1"/>
    <x v="3"/>
    <x v="18"/>
    <x v="3"/>
    <x v="6"/>
    <x v="1"/>
    <n v="1"/>
  </r>
  <r>
    <x v="0"/>
    <x v="1"/>
    <x v="3"/>
    <x v="18"/>
    <x v="3"/>
    <x v="9"/>
    <x v="10"/>
    <n v="5"/>
  </r>
  <r>
    <x v="0"/>
    <x v="1"/>
    <x v="3"/>
    <x v="18"/>
    <x v="3"/>
    <x v="12"/>
    <x v="10"/>
    <n v="4"/>
  </r>
  <r>
    <x v="0"/>
    <x v="1"/>
    <x v="3"/>
    <x v="18"/>
    <x v="3"/>
    <x v="12"/>
    <x v="1"/>
    <n v="1"/>
  </r>
  <r>
    <x v="0"/>
    <x v="1"/>
    <x v="3"/>
    <x v="18"/>
    <x v="3"/>
    <x v="1"/>
    <x v="10"/>
    <n v="2"/>
  </r>
  <r>
    <x v="0"/>
    <x v="1"/>
    <x v="3"/>
    <x v="18"/>
    <x v="3"/>
    <x v="1"/>
    <x v="1"/>
    <n v="1"/>
  </r>
  <r>
    <x v="0"/>
    <x v="1"/>
    <x v="3"/>
    <x v="18"/>
    <x v="3"/>
    <x v="0"/>
    <x v="1"/>
    <n v="1"/>
  </r>
  <r>
    <x v="0"/>
    <x v="1"/>
    <x v="3"/>
    <x v="18"/>
    <x v="9"/>
    <x v="0"/>
    <x v="9"/>
    <n v="6"/>
  </r>
  <r>
    <x v="0"/>
    <x v="1"/>
    <x v="3"/>
    <x v="15"/>
    <x v="9"/>
    <x v="0"/>
    <x v="1"/>
    <n v="11"/>
  </r>
  <r>
    <x v="0"/>
    <x v="1"/>
    <x v="3"/>
    <x v="15"/>
    <x v="10"/>
    <x v="0"/>
    <x v="19"/>
    <n v="1"/>
  </r>
  <r>
    <x v="0"/>
    <x v="1"/>
    <x v="3"/>
    <x v="15"/>
    <x v="18"/>
    <x v="8"/>
    <x v="10"/>
    <n v="2"/>
  </r>
  <r>
    <x v="0"/>
    <x v="1"/>
    <x v="3"/>
    <x v="16"/>
    <x v="4"/>
    <x v="0"/>
    <x v="10"/>
    <n v="1"/>
  </r>
  <r>
    <x v="0"/>
    <x v="1"/>
    <x v="3"/>
    <x v="16"/>
    <x v="4"/>
    <x v="0"/>
    <x v="1"/>
    <n v="6"/>
  </r>
  <r>
    <x v="0"/>
    <x v="1"/>
    <x v="3"/>
    <x v="16"/>
    <x v="4"/>
    <x v="0"/>
    <x v="11"/>
    <n v="1"/>
  </r>
  <r>
    <x v="0"/>
    <x v="1"/>
    <x v="3"/>
    <x v="16"/>
    <x v="4"/>
    <x v="0"/>
    <x v="14"/>
    <n v="1"/>
  </r>
  <r>
    <x v="0"/>
    <x v="1"/>
    <x v="3"/>
    <x v="16"/>
    <x v="1"/>
    <x v="13"/>
    <x v="5"/>
    <n v="1"/>
  </r>
  <r>
    <x v="0"/>
    <x v="1"/>
    <x v="3"/>
    <x v="16"/>
    <x v="1"/>
    <x v="2"/>
    <x v="19"/>
    <n v="2"/>
  </r>
  <r>
    <x v="0"/>
    <x v="1"/>
    <x v="3"/>
    <x v="16"/>
    <x v="1"/>
    <x v="10"/>
    <x v="17"/>
    <n v="3"/>
  </r>
  <r>
    <x v="0"/>
    <x v="1"/>
    <x v="3"/>
    <x v="16"/>
    <x v="1"/>
    <x v="3"/>
    <x v="14"/>
    <n v="2"/>
  </r>
  <r>
    <x v="0"/>
    <x v="1"/>
    <x v="3"/>
    <x v="16"/>
    <x v="1"/>
    <x v="5"/>
    <x v="11"/>
    <n v="1"/>
  </r>
  <r>
    <x v="0"/>
    <x v="1"/>
    <x v="3"/>
    <x v="16"/>
    <x v="1"/>
    <x v="5"/>
    <x v="14"/>
    <n v="1"/>
  </r>
  <r>
    <x v="0"/>
    <x v="1"/>
    <x v="3"/>
    <x v="16"/>
    <x v="1"/>
    <x v="5"/>
    <x v="17"/>
    <n v="1"/>
  </r>
  <r>
    <x v="0"/>
    <x v="1"/>
    <x v="3"/>
    <x v="16"/>
    <x v="1"/>
    <x v="11"/>
    <x v="13"/>
    <n v="1"/>
  </r>
  <r>
    <x v="0"/>
    <x v="1"/>
    <x v="3"/>
    <x v="16"/>
    <x v="1"/>
    <x v="6"/>
    <x v="19"/>
    <n v="1"/>
  </r>
  <r>
    <x v="0"/>
    <x v="1"/>
    <x v="3"/>
    <x v="16"/>
    <x v="1"/>
    <x v="9"/>
    <x v="10"/>
    <n v="1"/>
  </r>
  <r>
    <x v="0"/>
    <x v="1"/>
    <x v="3"/>
    <x v="16"/>
    <x v="1"/>
    <x v="12"/>
    <x v="5"/>
    <n v="1"/>
  </r>
  <r>
    <x v="0"/>
    <x v="1"/>
    <x v="3"/>
    <x v="16"/>
    <x v="1"/>
    <x v="12"/>
    <x v="13"/>
    <n v="1"/>
  </r>
  <r>
    <x v="0"/>
    <x v="1"/>
    <x v="3"/>
    <x v="16"/>
    <x v="1"/>
    <x v="12"/>
    <x v="14"/>
    <n v="1"/>
  </r>
  <r>
    <x v="0"/>
    <x v="1"/>
    <x v="3"/>
    <x v="16"/>
    <x v="1"/>
    <x v="1"/>
    <x v="4"/>
    <n v="1"/>
  </r>
  <r>
    <x v="0"/>
    <x v="1"/>
    <x v="3"/>
    <x v="17"/>
    <x v="0"/>
    <x v="0"/>
    <x v="5"/>
    <n v="1"/>
  </r>
  <r>
    <x v="0"/>
    <x v="1"/>
    <x v="3"/>
    <x v="17"/>
    <x v="0"/>
    <x v="0"/>
    <x v="11"/>
    <n v="1"/>
  </r>
  <r>
    <x v="0"/>
    <x v="1"/>
    <x v="3"/>
    <x v="17"/>
    <x v="5"/>
    <x v="0"/>
    <x v="19"/>
    <n v="1"/>
  </r>
  <r>
    <x v="0"/>
    <x v="1"/>
    <x v="3"/>
    <x v="17"/>
    <x v="10"/>
    <x v="0"/>
    <x v="1"/>
    <n v="7"/>
  </r>
  <r>
    <x v="0"/>
    <x v="1"/>
    <x v="3"/>
    <x v="19"/>
    <x v="10"/>
    <x v="11"/>
    <x v="7"/>
    <n v="3"/>
  </r>
  <r>
    <x v="0"/>
    <x v="1"/>
    <x v="3"/>
    <x v="19"/>
    <x v="10"/>
    <x v="6"/>
    <x v="7"/>
    <n v="13"/>
  </r>
  <r>
    <x v="0"/>
    <x v="1"/>
    <x v="3"/>
    <x v="19"/>
    <x v="10"/>
    <x v="6"/>
    <x v="6"/>
    <n v="3"/>
  </r>
  <r>
    <x v="0"/>
    <x v="1"/>
    <x v="3"/>
    <x v="19"/>
    <x v="10"/>
    <x v="6"/>
    <x v="10"/>
    <n v="1"/>
  </r>
  <r>
    <x v="0"/>
    <x v="1"/>
    <x v="3"/>
    <x v="19"/>
    <x v="10"/>
    <x v="6"/>
    <x v="12"/>
    <n v="1"/>
  </r>
  <r>
    <x v="0"/>
    <x v="1"/>
    <x v="3"/>
    <x v="19"/>
    <x v="10"/>
    <x v="9"/>
    <x v="7"/>
    <n v="15"/>
  </r>
  <r>
    <x v="0"/>
    <x v="1"/>
    <x v="3"/>
    <x v="19"/>
    <x v="10"/>
    <x v="9"/>
    <x v="6"/>
    <n v="5"/>
  </r>
  <r>
    <x v="0"/>
    <x v="1"/>
    <x v="3"/>
    <x v="19"/>
    <x v="10"/>
    <x v="9"/>
    <x v="10"/>
    <n v="2"/>
  </r>
  <r>
    <x v="0"/>
    <x v="1"/>
    <x v="3"/>
    <x v="19"/>
    <x v="10"/>
    <x v="12"/>
    <x v="7"/>
    <n v="9"/>
  </r>
  <r>
    <x v="0"/>
    <x v="1"/>
    <x v="3"/>
    <x v="19"/>
    <x v="10"/>
    <x v="12"/>
    <x v="6"/>
    <n v="8"/>
  </r>
  <r>
    <x v="0"/>
    <x v="1"/>
    <x v="3"/>
    <x v="19"/>
    <x v="10"/>
    <x v="1"/>
    <x v="6"/>
    <n v="21"/>
  </r>
  <r>
    <x v="0"/>
    <x v="1"/>
    <x v="3"/>
    <x v="19"/>
    <x v="10"/>
    <x v="8"/>
    <x v="10"/>
    <n v="8"/>
  </r>
  <r>
    <x v="0"/>
    <x v="1"/>
    <x v="3"/>
    <x v="19"/>
    <x v="10"/>
    <x v="8"/>
    <x v="1"/>
    <n v="4"/>
  </r>
  <r>
    <x v="0"/>
    <x v="1"/>
    <x v="3"/>
    <x v="19"/>
    <x v="11"/>
    <x v="0"/>
    <x v="19"/>
    <n v="1"/>
  </r>
  <r>
    <x v="0"/>
    <x v="1"/>
    <x v="3"/>
    <x v="19"/>
    <x v="18"/>
    <x v="0"/>
    <x v="10"/>
    <n v="3"/>
  </r>
  <r>
    <x v="0"/>
    <x v="1"/>
    <x v="3"/>
    <x v="19"/>
    <x v="18"/>
    <x v="0"/>
    <x v="1"/>
    <n v="42"/>
  </r>
  <r>
    <x v="0"/>
    <x v="1"/>
    <x v="3"/>
    <x v="19"/>
    <x v="18"/>
    <x v="0"/>
    <x v="13"/>
    <n v="1"/>
  </r>
  <r>
    <x v="0"/>
    <x v="1"/>
    <x v="3"/>
    <x v="19"/>
    <x v="18"/>
    <x v="0"/>
    <x v="17"/>
    <n v="1"/>
  </r>
  <r>
    <x v="0"/>
    <x v="1"/>
    <x v="4"/>
    <x v="0"/>
    <x v="1"/>
    <x v="11"/>
    <x v="4"/>
    <n v="1"/>
  </r>
  <r>
    <x v="0"/>
    <x v="1"/>
    <x v="4"/>
    <x v="0"/>
    <x v="1"/>
    <x v="6"/>
    <x v="7"/>
    <n v="2"/>
  </r>
  <r>
    <x v="0"/>
    <x v="1"/>
    <x v="4"/>
    <x v="0"/>
    <x v="1"/>
    <x v="6"/>
    <x v="6"/>
    <n v="2"/>
  </r>
  <r>
    <x v="0"/>
    <x v="1"/>
    <x v="4"/>
    <x v="0"/>
    <x v="1"/>
    <x v="6"/>
    <x v="9"/>
    <n v="1"/>
  </r>
  <r>
    <x v="0"/>
    <x v="1"/>
    <x v="4"/>
    <x v="0"/>
    <x v="1"/>
    <x v="9"/>
    <x v="7"/>
    <n v="7"/>
  </r>
  <r>
    <x v="0"/>
    <x v="1"/>
    <x v="4"/>
    <x v="0"/>
    <x v="1"/>
    <x v="12"/>
    <x v="7"/>
    <n v="34"/>
  </r>
  <r>
    <x v="0"/>
    <x v="1"/>
    <x v="4"/>
    <x v="0"/>
    <x v="1"/>
    <x v="12"/>
    <x v="12"/>
    <n v="2"/>
  </r>
  <r>
    <x v="0"/>
    <x v="1"/>
    <x v="4"/>
    <x v="0"/>
    <x v="1"/>
    <x v="12"/>
    <x v="9"/>
    <n v="1"/>
  </r>
  <r>
    <x v="0"/>
    <x v="1"/>
    <x v="4"/>
    <x v="0"/>
    <x v="1"/>
    <x v="7"/>
    <x v="10"/>
    <n v="6"/>
  </r>
  <r>
    <x v="0"/>
    <x v="1"/>
    <x v="4"/>
    <x v="0"/>
    <x v="1"/>
    <x v="7"/>
    <x v="1"/>
    <n v="2"/>
  </r>
  <r>
    <x v="0"/>
    <x v="1"/>
    <x v="4"/>
    <x v="0"/>
    <x v="1"/>
    <x v="1"/>
    <x v="12"/>
    <n v="1"/>
  </r>
  <r>
    <x v="0"/>
    <x v="1"/>
    <x v="4"/>
    <x v="0"/>
    <x v="1"/>
    <x v="8"/>
    <x v="10"/>
    <n v="6"/>
  </r>
  <r>
    <x v="0"/>
    <x v="1"/>
    <x v="4"/>
    <x v="0"/>
    <x v="1"/>
    <x v="8"/>
    <x v="1"/>
    <n v="1"/>
  </r>
  <r>
    <x v="0"/>
    <x v="1"/>
    <x v="4"/>
    <x v="0"/>
    <x v="19"/>
    <x v="5"/>
    <x v="8"/>
    <n v="3"/>
  </r>
  <r>
    <x v="0"/>
    <x v="1"/>
    <x v="4"/>
    <x v="0"/>
    <x v="19"/>
    <x v="11"/>
    <x v="8"/>
    <n v="26"/>
  </r>
  <r>
    <x v="0"/>
    <x v="1"/>
    <x v="4"/>
    <x v="0"/>
    <x v="19"/>
    <x v="11"/>
    <x v="0"/>
    <n v="1"/>
  </r>
  <r>
    <x v="0"/>
    <x v="1"/>
    <x v="4"/>
    <x v="0"/>
    <x v="19"/>
    <x v="6"/>
    <x v="8"/>
    <n v="34"/>
  </r>
  <r>
    <x v="0"/>
    <x v="1"/>
    <x v="4"/>
    <x v="0"/>
    <x v="19"/>
    <x v="9"/>
    <x v="8"/>
    <n v="23"/>
  </r>
  <r>
    <x v="0"/>
    <x v="1"/>
    <x v="4"/>
    <x v="0"/>
    <x v="19"/>
    <x v="7"/>
    <x v="6"/>
    <n v="3"/>
  </r>
  <r>
    <x v="0"/>
    <x v="1"/>
    <x v="4"/>
    <x v="0"/>
    <x v="19"/>
    <x v="7"/>
    <x v="4"/>
    <n v="1"/>
  </r>
  <r>
    <x v="0"/>
    <x v="1"/>
    <x v="4"/>
    <x v="0"/>
    <x v="19"/>
    <x v="7"/>
    <x v="5"/>
    <n v="1"/>
  </r>
  <r>
    <x v="0"/>
    <x v="1"/>
    <x v="4"/>
    <x v="1"/>
    <x v="1"/>
    <x v="1"/>
    <x v="8"/>
    <n v="1"/>
  </r>
  <r>
    <x v="0"/>
    <x v="1"/>
    <x v="4"/>
    <x v="1"/>
    <x v="1"/>
    <x v="1"/>
    <x v="7"/>
    <n v="6"/>
  </r>
  <r>
    <x v="0"/>
    <x v="1"/>
    <x v="4"/>
    <x v="0"/>
    <x v="19"/>
    <x v="12"/>
    <x v="8"/>
    <n v="13"/>
  </r>
  <r>
    <x v="0"/>
    <x v="1"/>
    <x v="4"/>
    <x v="0"/>
    <x v="19"/>
    <x v="12"/>
    <x v="7"/>
    <n v="39"/>
  </r>
  <r>
    <x v="0"/>
    <x v="1"/>
    <x v="4"/>
    <x v="0"/>
    <x v="19"/>
    <x v="12"/>
    <x v="6"/>
    <n v="4"/>
  </r>
  <r>
    <x v="0"/>
    <x v="1"/>
    <x v="4"/>
    <x v="0"/>
    <x v="19"/>
    <x v="7"/>
    <x v="10"/>
    <n v="1"/>
  </r>
  <r>
    <x v="0"/>
    <x v="1"/>
    <x v="4"/>
    <x v="0"/>
    <x v="19"/>
    <x v="1"/>
    <x v="7"/>
    <n v="52"/>
  </r>
  <r>
    <x v="0"/>
    <x v="1"/>
    <x v="4"/>
    <x v="0"/>
    <x v="19"/>
    <x v="8"/>
    <x v="6"/>
    <n v="17"/>
  </r>
  <r>
    <x v="0"/>
    <x v="1"/>
    <x v="4"/>
    <x v="0"/>
    <x v="19"/>
    <x v="8"/>
    <x v="10"/>
    <n v="1"/>
  </r>
  <r>
    <x v="0"/>
    <x v="1"/>
    <x v="4"/>
    <x v="0"/>
    <x v="19"/>
    <x v="8"/>
    <x v="1"/>
    <n v="1"/>
  </r>
  <r>
    <x v="0"/>
    <x v="1"/>
    <x v="4"/>
    <x v="0"/>
    <x v="19"/>
    <x v="0"/>
    <x v="7"/>
    <n v="3"/>
  </r>
  <r>
    <x v="0"/>
    <x v="1"/>
    <x v="4"/>
    <x v="1"/>
    <x v="0"/>
    <x v="1"/>
    <x v="6"/>
    <n v="1"/>
  </r>
  <r>
    <x v="0"/>
    <x v="1"/>
    <x v="4"/>
    <x v="1"/>
    <x v="0"/>
    <x v="0"/>
    <x v="6"/>
    <n v="2"/>
  </r>
  <r>
    <x v="0"/>
    <x v="1"/>
    <x v="4"/>
    <x v="1"/>
    <x v="0"/>
    <x v="0"/>
    <x v="10"/>
    <n v="7"/>
  </r>
  <r>
    <x v="0"/>
    <x v="1"/>
    <x v="4"/>
    <x v="1"/>
    <x v="0"/>
    <x v="0"/>
    <x v="1"/>
    <n v="9"/>
  </r>
  <r>
    <x v="0"/>
    <x v="1"/>
    <x v="4"/>
    <x v="1"/>
    <x v="1"/>
    <x v="6"/>
    <x v="12"/>
    <n v="1"/>
  </r>
  <r>
    <x v="0"/>
    <x v="1"/>
    <x v="4"/>
    <x v="1"/>
    <x v="1"/>
    <x v="9"/>
    <x v="1"/>
    <n v="1"/>
  </r>
  <r>
    <x v="0"/>
    <x v="1"/>
    <x v="4"/>
    <x v="1"/>
    <x v="1"/>
    <x v="12"/>
    <x v="6"/>
    <n v="1"/>
  </r>
  <r>
    <x v="0"/>
    <x v="1"/>
    <x v="4"/>
    <x v="1"/>
    <x v="1"/>
    <x v="12"/>
    <x v="10"/>
    <n v="1"/>
  </r>
  <r>
    <x v="0"/>
    <x v="1"/>
    <x v="4"/>
    <x v="1"/>
    <x v="1"/>
    <x v="7"/>
    <x v="3"/>
    <n v="1"/>
  </r>
  <r>
    <x v="0"/>
    <x v="1"/>
    <x v="4"/>
    <x v="1"/>
    <x v="1"/>
    <x v="1"/>
    <x v="1"/>
    <n v="1"/>
  </r>
  <r>
    <x v="0"/>
    <x v="1"/>
    <x v="4"/>
    <x v="1"/>
    <x v="1"/>
    <x v="0"/>
    <x v="7"/>
    <n v="20"/>
  </r>
  <r>
    <x v="0"/>
    <x v="1"/>
    <x v="4"/>
    <x v="1"/>
    <x v="1"/>
    <x v="0"/>
    <x v="6"/>
    <n v="28"/>
  </r>
  <r>
    <x v="0"/>
    <x v="1"/>
    <x v="4"/>
    <x v="1"/>
    <x v="1"/>
    <x v="0"/>
    <x v="10"/>
    <n v="22"/>
  </r>
  <r>
    <x v="0"/>
    <x v="1"/>
    <x v="4"/>
    <x v="1"/>
    <x v="1"/>
    <x v="0"/>
    <x v="1"/>
    <n v="9"/>
  </r>
  <r>
    <x v="0"/>
    <x v="1"/>
    <x v="4"/>
    <x v="1"/>
    <x v="10"/>
    <x v="0"/>
    <x v="12"/>
    <n v="3"/>
  </r>
  <r>
    <x v="0"/>
    <x v="1"/>
    <x v="4"/>
    <x v="1"/>
    <x v="10"/>
    <x v="0"/>
    <x v="9"/>
    <n v="1"/>
  </r>
  <r>
    <x v="0"/>
    <x v="1"/>
    <x v="4"/>
    <x v="1"/>
    <x v="11"/>
    <x v="0"/>
    <x v="5"/>
    <n v="1"/>
  </r>
  <r>
    <x v="0"/>
    <x v="1"/>
    <x v="4"/>
    <x v="1"/>
    <x v="18"/>
    <x v="8"/>
    <x v="1"/>
    <n v="2"/>
  </r>
  <r>
    <x v="0"/>
    <x v="1"/>
    <x v="4"/>
    <x v="2"/>
    <x v="4"/>
    <x v="0"/>
    <x v="1"/>
    <n v="3"/>
  </r>
  <r>
    <x v="0"/>
    <x v="1"/>
    <x v="4"/>
    <x v="2"/>
    <x v="15"/>
    <x v="8"/>
    <x v="7"/>
    <n v="2"/>
  </r>
  <r>
    <x v="0"/>
    <x v="1"/>
    <x v="4"/>
    <x v="2"/>
    <x v="15"/>
    <x v="8"/>
    <x v="6"/>
    <n v="1"/>
  </r>
  <r>
    <x v="0"/>
    <x v="1"/>
    <x v="4"/>
    <x v="2"/>
    <x v="15"/>
    <x v="0"/>
    <x v="12"/>
    <n v="7"/>
  </r>
  <r>
    <x v="0"/>
    <x v="1"/>
    <x v="4"/>
    <x v="2"/>
    <x v="15"/>
    <x v="0"/>
    <x v="3"/>
    <n v="1"/>
  </r>
  <r>
    <x v="0"/>
    <x v="1"/>
    <x v="4"/>
    <x v="2"/>
    <x v="3"/>
    <x v="0"/>
    <x v="12"/>
    <n v="1"/>
  </r>
  <r>
    <x v="0"/>
    <x v="1"/>
    <x v="4"/>
    <x v="2"/>
    <x v="7"/>
    <x v="12"/>
    <x v="12"/>
    <n v="1"/>
  </r>
  <r>
    <x v="0"/>
    <x v="1"/>
    <x v="4"/>
    <x v="2"/>
    <x v="7"/>
    <x v="1"/>
    <x v="9"/>
    <n v="1"/>
  </r>
  <r>
    <x v="0"/>
    <x v="1"/>
    <x v="4"/>
    <x v="2"/>
    <x v="7"/>
    <x v="0"/>
    <x v="9"/>
    <n v="1"/>
  </r>
  <r>
    <x v="0"/>
    <x v="1"/>
    <x v="4"/>
    <x v="2"/>
    <x v="6"/>
    <x v="11"/>
    <x v="12"/>
    <n v="1"/>
  </r>
  <r>
    <x v="0"/>
    <x v="1"/>
    <x v="4"/>
    <x v="2"/>
    <x v="6"/>
    <x v="6"/>
    <x v="12"/>
    <n v="2"/>
  </r>
  <r>
    <x v="0"/>
    <x v="1"/>
    <x v="4"/>
    <x v="2"/>
    <x v="6"/>
    <x v="9"/>
    <x v="4"/>
    <n v="2"/>
  </r>
  <r>
    <x v="0"/>
    <x v="1"/>
    <x v="4"/>
    <x v="2"/>
    <x v="6"/>
    <x v="12"/>
    <x v="12"/>
    <n v="2"/>
  </r>
  <r>
    <x v="0"/>
    <x v="1"/>
    <x v="4"/>
    <x v="2"/>
    <x v="6"/>
    <x v="12"/>
    <x v="9"/>
    <n v="3"/>
  </r>
  <r>
    <x v="0"/>
    <x v="1"/>
    <x v="4"/>
    <x v="2"/>
    <x v="6"/>
    <x v="12"/>
    <x v="3"/>
    <n v="1"/>
  </r>
  <r>
    <x v="0"/>
    <x v="1"/>
    <x v="4"/>
    <x v="2"/>
    <x v="6"/>
    <x v="1"/>
    <x v="1"/>
    <n v="4"/>
  </r>
  <r>
    <x v="0"/>
    <x v="1"/>
    <x v="4"/>
    <x v="2"/>
    <x v="6"/>
    <x v="1"/>
    <x v="12"/>
    <n v="3"/>
  </r>
  <r>
    <x v="0"/>
    <x v="1"/>
    <x v="4"/>
    <x v="2"/>
    <x v="6"/>
    <x v="1"/>
    <x v="9"/>
    <n v="2"/>
  </r>
  <r>
    <x v="0"/>
    <x v="1"/>
    <x v="4"/>
    <x v="2"/>
    <x v="6"/>
    <x v="8"/>
    <x v="4"/>
    <n v="1"/>
  </r>
  <r>
    <x v="0"/>
    <x v="1"/>
    <x v="4"/>
    <x v="2"/>
    <x v="6"/>
    <x v="0"/>
    <x v="1"/>
    <n v="151"/>
  </r>
  <r>
    <x v="0"/>
    <x v="1"/>
    <x v="4"/>
    <x v="2"/>
    <x v="6"/>
    <x v="0"/>
    <x v="12"/>
    <n v="65"/>
  </r>
  <r>
    <x v="0"/>
    <x v="1"/>
    <x v="4"/>
    <x v="3"/>
    <x v="0"/>
    <x v="0"/>
    <x v="13"/>
    <n v="1"/>
  </r>
  <r>
    <x v="0"/>
    <x v="1"/>
    <x v="4"/>
    <x v="3"/>
    <x v="0"/>
    <x v="0"/>
    <x v="11"/>
    <n v="3"/>
  </r>
  <r>
    <x v="0"/>
    <x v="1"/>
    <x v="4"/>
    <x v="3"/>
    <x v="15"/>
    <x v="0"/>
    <x v="12"/>
    <n v="5"/>
  </r>
  <r>
    <x v="0"/>
    <x v="1"/>
    <x v="4"/>
    <x v="3"/>
    <x v="19"/>
    <x v="0"/>
    <x v="14"/>
    <n v="2"/>
  </r>
  <r>
    <x v="0"/>
    <x v="1"/>
    <x v="4"/>
    <x v="4"/>
    <x v="1"/>
    <x v="7"/>
    <x v="7"/>
    <n v="16"/>
  </r>
  <r>
    <x v="0"/>
    <x v="1"/>
    <x v="4"/>
    <x v="4"/>
    <x v="1"/>
    <x v="7"/>
    <x v="6"/>
    <n v="10"/>
  </r>
  <r>
    <x v="0"/>
    <x v="1"/>
    <x v="4"/>
    <x v="4"/>
    <x v="1"/>
    <x v="7"/>
    <x v="10"/>
    <n v="1"/>
  </r>
  <r>
    <x v="0"/>
    <x v="1"/>
    <x v="4"/>
    <x v="4"/>
    <x v="1"/>
    <x v="1"/>
    <x v="8"/>
    <n v="68"/>
  </r>
  <r>
    <x v="0"/>
    <x v="1"/>
    <x v="4"/>
    <x v="4"/>
    <x v="1"/>
    <x v="8"/>
    <x v="7"/>
    <n v="145"/>
  </r>
  <r>
    <x v="0"/>
    <x v="1"/>
    <x v="4"/>
    <x v="4"/>
    <x v="1"/>
    <x v="8"/>
    <x v="6"/>
    <n v="27"/>
  </r>
  <r>
    <x v="0"/>
    <x v="1"/>
    <x v="4"/>
    <x v="4"/>
    <x v="1"/>
    <x v="0"/>
    <x v="9"/>
    <n v="12"/>
  </r>
  <r>
    <x v="0"/>
    <x v="1"/>
    <x v="4"/>
    <x v="4"/>
    <x v="1"/>
    <x v="0"/>
    <x v="3"/>
    <n v="4"/>
  </r>
  <r>
    <x v="0"/>
    <x v="1"/>
    <x v="4"/>
    <x v="4"/>
    <x v="1"/>
    <x v="0"/>
    <x v="4"/>
    <n v="1"/>
  </r>
  <r>
    <x v="0"/>
    <x v="1"/>
    <x v="4"/>
    <x v="4"/>
    <x v="1"/>
    <x v="0"/>
    <x v="5"/>
    <n v="2"/>
  </r>
  <r>
    <x v="0"/>
    <x v="1"/>
    <x v="4"/>
    <x v="4"/>
    <x v="15"/>
    <x v="0"/>
    <x v="10"/>
    <n v="4"/>
  </r>
  <r>
    <x v="0"/>
    <x v="1"/>
    <x v="4"/>
    <x v="4"/>
    <x v="15"/>
    <x v="0"/>
    <x v="1"/>
    <n v="3"/>
  </r>
  <r>
    <x v="0"/>
    <x v="1"/>
    <x v="4"/>
    <x v="4"/>
    <x v="7"/>
    <x v="7"/>
    <x v="3"/>
    <n v="1"/>
  </r>
  <r>
    <x v="0"/>
    <x v="1"/>
    <x v="4"/>
    <x v="4"/>
    <x v="19"/>
    <x v="0"/>
    <x v="13"/>
    <n v="1"/>
  </r>
  <r>
    <x v="0"/>
    <x v="1"/>
    <x v="4"/>
    <x v="5"/>
    <x v="16"/>
    <x v="0"/>
    <x v="5"/>
    <n v="1"/>
  </r>
  <r>
    <x v="0"/>
    <x v="1"/>
    <x v="4"/>
    <x v="5"/>
    <x v="1"/>
    <x v="0"/>
    <x v="12"/>
    <n v="1"/>
  </r>
  <r>
    <x v="0"/>
    <x v="1"/>
    <x v="4"/>
    <x v="5"/>
    <x v="5"/>
    <x v="11"/>
    <x v="3"/>
    <n v="1"/>
  </r>
  <r>
    <x v="0"/>
    <x v="1"/>
    <x v="4"/>
    <x v="5"/>
    <x v="5"/>
    <x v="9"/>
    <x v="12"/>
    <n v="4"/>
  </r>
  <r>
    <x v="0"/>
    <x v="1"/>
    <x v="4"/>
    <x v="5"/>
    <x v="5"/>
    <x v="9"/>
    <x v="9"/>
    <n v="1"/>
  </r>
  <r>
    <x v="0"/>
    <x v="1"/>
    <x v="4"/>
    <x v="5"/>
    <x v="5"/>
    <x v="12"/>
    <x v="12"/>
    <n v="3"/>
  </r>
  <r>
    <x v="0"/>
    <x v="1"/>
    <x v="4"/>
    <x v="1"/>
    <x v="10"/>
    <x v="8"/>
    <x v="6"/>
    <n v="1"/>
  </r>
  <r>
    <x v="0"/>
    <x v="1"/>
    <x v="4"/>
    <x v="1"/>
    <x v="11"/>
    <x v="0"/>
    <x v="4"/>
    <n v="4"/>
  </r>
  <r>
    <x v="0"/>
    <x v="1"/>
    <x v="4"/>
    <x v="1"/>
    <x v="18"/>
    <x v="1"/>
    <x v="1"/>
    <n v="1"/>
  </r>
  <r>
    <x v="0"/>
    <x v="1"/>
    <x v="4"/>
    <x v="1"/>
    <x v="18"/>
    <x v="0"/>
    <x v="6"/>
    <n v="8"/>
  </r>
  <r>
    <x v="0"/>
    <x v="1"/>
    <x v="4"/>
    <x v="1"/>
    <x v="18"/>
    <x v="0"/>
    <x v="10"/>
    <n v="12"/>
  </r>
  <r>
    <x v="0"/>
    <x v="1"/>
    <x v="4"/>
    <x v="1"/>
    <x v="18"/>
    <x v="0"/>
    <x v="3"/>
    <n v="3"/>
  </r>
  <r>
    <x v="0"/>
    <x v="1"/>
    <x v="4"/>
    <x v="2"/>
    <x v="7"/>
    <x v="7"/>
    <x v="1"/>
    <n v="1"/>
  </r>
  <r>
    <x v="0"/>
    <x v="1"/>
    <x v="4"/>
    <x v="2"/>
    <x v="6"/>
    <x v="7"/>
    <x v="7"/>
    <n v="5"/>
  </r>
  <r>
    <x v="0"/>
    <x v="1"/>
    <x v="4"/>
    <x v="2"/>
    <x v="6"/>
    <x v="7"/>
    <x v="6"/>
    <n v="76"/>
  </r>
  <r>
    <x v="0"/>
    <x v="1"/>
    <x v="4"/>
    <x v="2"/>
    <x v="6"/>
    <x v="7"/>
    <x v="10"/>
    <n v="4"/>
  </r>
  <r>
    <x v="0"/>
    <x v="1"/>
    <x v="4"/>
    <x v="2"/>
    <x v="6"/>
    <x v="7"/>
    <x v="4"/>
    <n v="1"/>
  </r>
  <r>
    <x v="0"/>
    <x v="1"/>
    <x v="4"/>
    <x v="2"/>
    <x v="6"/>
    <x v="8"/>
    <x v="6"/>
    <n v="30"/>
  </r>
  <r>
    <x v="0"/>
    <x v="1"/>
    <x v="4"/>
    <x v="2"/>
    <x v="6"/>
    <x v="8"/>
    <x v="10"/>
    <n v="82"/>
  </r>
  <r>
    <x v="0"/>
    <x v="1"/>
    <x v="4"/>
    <x v="2"/>
    <x v="6"/>
    <x v="8"/>
    <x v="3"/>
    <n v="2"/>
  </r>
  <r>
    <x v="0"/>
    <x v="1"/>
    <x v="4"/>
    <x v="3"/>
    <x v="15"/>
    <x v="8"/>
    <x v="3"/>
    <n v="1"/>
  </r>
  <r>
    <x v="0"/>
    <x v="1"/>
    <x v="4"/>
    <x v="3"/>
    <x v="19"/>
    <x v="0"/>
    <x v="9"/>
    <n v="7"/>
  </r>
  <r>
    <x v="0"/>
    <x v="1"/>
    <x v="4"/>
    <x v="3"/>
    <x v="19"/>
    <x v="0"/>
    <x v="3"/>
    <n v="12"/>
  </r>
  <r>
    <x v="0"/>
    <x v="1"/>
    <x v="4"/>
    <x v="3"/>
    <x v="19"/>
    <x v="0"/>
    <x v="4"/>
    <n v="6"/>
  </r>
  <r>
    <x v="0"/>
    <x v="1"/>
    <x v="4"/>
    <x v="3"/>
    <x v="19"/>
    <x v="0"/>
    <x v="5"/>
    <n v="7"/>
  </r>
  <r>
    <x v="0"/>
    <x v="1"/>
    <x v="4"/>
    <x v="3"/>
    <x v="19"/>
    <x v="0"/>
    <x v="2"/>
    <n v="2"/>
  </r>
  <r>
    <x v="0"/>
    <x v="1"/>
    <x v="4"/>
    <x v="3"/>
    <x v="19"/>
    <x v="0"/>
    <x v="13"/>
    <n v="1"/>
  </r>
  <r>
    <x v="0"/>
    <x v="1"/>
    <x v="4"/>
    <x v="3"/>
    <x v="19"/>
    <x v="0"/>
    <x v="11"/>
    <n v="1"/>
  </r>
  <r>
    <x v="0"/>
    <x v="1"/>
    <x v="4"/>
    <x v="4"/>
    <x v="1"/>
    <x v="1"/>
    <x v="1"/>
    <n v="5"/>
  </r>
  <r>
    <x v="0"/>
    <x v="1"/>
    <x v="4"/>
    <x v="4"/>
    <x v="1"/>
    <x v="8"/>
    <x v="12"/>
    <n v="1"/>
  </r>
  <r>
    <x v="0"/>
    <x v="1"/>
    <x v="4"/>
    <x v="4"/>
    <x v="1"/>
    <x v="0"/>
    <x v="10"/>
    <n v="175"/>
  </r>
  <r>
    <x v="0"/>
    <x v="1"/>
    <x v="4"/>
    <x v="4"/>
    <x v="1"/>
    <x v="0"/>
    <x v="1"/>
    <n v="78"/>
  </r>
  <r>
    <x v="0"/>
    <x v="1"/>
    <x v="4"/>
    <x v="4"/>
    <x v="1"/>
    <x v="0"/>
    <x v="2"/>
    <n v="3"/>
  </r>
  <r>
    <x v="0"/>
    <x v="1"/>
    <x v="4"/>
    <x v="4"/>
    <x v="1"/>
    <x v="0"/>
    <x v="13"/>
    <n v="1"/>
  </r>
  <r>
    <x v="0"/>
    <x v="1"/>
    <x v="4"/>
    <x v="4"/>
    <x v="8"/>
    <x v="7"/>
    <x v="6"/>
    <n v="1"/>
  </r>
  <r>
    <x v="0"/>
    <x v="1"/>
    <x v="4"/>
    <x v="4"/>
    <x v="8"/>
    <x v="0"/>
    <x v="1"/>
    <n v="1"/>
  </r>
  <r>
    <x v="0"/>
    <x v="1"/>
    <x v="4"/>
    <x v="4"/>
    <x v="7"/>
    <x v="0"/>
    <x v="10"/>
    <n v="1"/>
  </r>
  <r>
    <x v="0"/>
    <x v="1"/>
    <x v="4"/>
    <x v="4"/>
    <x v="7"/>
    <x v="0"/>
    <x v="1"/>
    <n v="12"/>
  </r>
  <r>
    <x v="0"/>
    <x v="1"/>
    <x v="4"/>
    <x v="4"/>
    <x v="9"/>
    <x v="0"/>
    <x v="3"/>
    <n v="3"/>
  </r>
  <r>
    <x v="0"/>
    <x v="1"/>
    <x v="4"/>
    <x v="4"/>
    <x v="17"/>
    <x v="1"/>
    <x v="6"/>
    <n v="1"/>
  </r>
  <r>
    <x v="0"/>
    <x v="1"/>
    <x v="4"/>
    <x v="4"/>
    <x v="19"/>
    <x v="0"/>
    <x v="9"/>
    <n v="2"/>
  </r>
  <r>
    <x v="0"/>
    <x v="1"/>
    <x v="4"/>
    <x v="4"/>
    <x v="19"/>
    <x v="0"/>
    <x v="3"/>
    <n v="1"/>
  </r>
  <r>
    <x v="0"/>
    <x v="1"/>
    <x v="4"/>
    <x v="5"/>
    <x v="16"/>
    <x v="0"/>
    <x v="2"/>
    <n v="1"/>
  </r>
  <r>
    <x v="0"/>
    <x v="1"/>
    <x v="4"/>
    <x v="5"/>
    <x v="5"/>
    <x v="6"/>
    <x v="1"/>
    <n v="1"/>
  </r>
  <r>
    <x v="0"/>
    <x v="1"/>
    <x v="4"/>
    <x v="5"/>
    <x v="5"/>
    <x v="9"/>
    <x v="10"/>
    <n v="1"/>
  </r>
  <r>
    <x v="0"/>
    <x v="1"/>
    <x v="4"/>
    <x v="5"/>
    <x v="5"/>
    <x v="9"/>
    <x v="1"/>
    <n v="1"/>
  </r>
  <r>
    <x v="0"/>
    <x v="1"/>
    <x v="4"/>
    <x v="5"/>
    <x v="5"/>
    <x v="12"/>
    <x v="10"/>
    <n v="1"/>
  </r>
  <r>
    <x v="0"/>
    <x v="1"/>
    <x v="4"/>
    <x v="5"/>
    <x v="5"/>
    <x v="12"/>
    <x v="1"/>
    <n v="1"/>
  </r>
  <r>
    <x v="0"/>
    <x v="1"/>
    <x v="4"/>
    <x v="5"/>
    <x v="5"/>
    <x v="1"/>
    <x v="10"/>
    <n v="5"/>
  </r>
  <r>
    <x v="0"/>
    <x v="1"/>
    <x v="4"/>
    <x v="5"/>
    <x v="5"/>
    <x v="1"/>
    <x v="1"/>
    <n v="2"/>
  </r>
  <r>
    <x v="0"/>
    <x v="1"/>
    <x v="4"/>
    <x v="5"/>
    <x v="5"/>
    <x v="1"/>
    <x v="4"/>
    <n v="1"/>
  </r>
  <r>
    <x v="0"/>
    <x v="1"/>
    <x v="4"/>
    <x v="5"/>
    <x v="5"/>
    <x v="0"/>
    <x v="1"/>
    <n v="1"/>
  </r>
  <r>
    <x v="0"/>
    <x v="1"/>
    <x v="4"/>
    <x v="5"/>
    <x v="5"/>
    <x v="0"/>
    <x v="9"/>
    <n v="1"/>
  </r>
  <r>
    <x v="0"/>
    <x v="1"/>
    <x v="4"/>
    <x v="5"/>
    <x v="9"/>
    <x v="0"/>
    <x v="2"/>
    <n v="2"/>
  </r>
  <r>
    <x v="0"/>
    <x v="1"/>
    <x v="4"/>
    <x v="5"/>
    <x v="10"/>
    <x v="0"/>
    <x v="12"/>
    <n v="1"/>
  </r>
  <r>
    <x v="0"/>
    <x v="1"/>
    <x v="4"/>
    <x v="6"/>
    <x v="16"/>
    <x v="1"/>
    <x v="1"/>
    <n v="1"/>
  </r>
  <r>
    <x v="0"/>
    <x v="1"/>
    <x v="4"/>
    <x v="6"/>
    <x v="16"/>
    <x v="0"/>
    <x v="4"/>
    <n v="1"/>
  </r>
  <r>
    <x v="0"/>
    <x v="1"/>
    <x v="4"/>
    <x v="6"/>
    <x v="3"/>
    <x v="11"/>
    <x v="1"/>
    <n v="1"/>
  </r>
  <r>
    <x v="0"/>
    <x v="1"/>
    <x v="4"/>
    <x v="6"/>
    <x v="3"/>
    <x v="6"/>
    <x v="1"/>
    <n v="2"/>
  </r>
  <r>
    <x v="0"/>
    <x v="1"/>
    <x v="4"/>
    <x v="6"/>
    <x v="3"/>
    <x v="9"/>
    <x v="10"/>
    <n v="1"/>
  </r>
  <r>
    <x v="0"/>
    <x v="1"/>
    <x v="4"/>
    <x v="6"/>
    <x v="10"/>
    <x v="0"/>
    <x v="9"/>
    <n v="1"/>
  </r>
  <r>
    <x v="0"/>
    <x v="1"/>
    <x v="4"/>
    <x v="6"/>
    <x v="17"/>
    <x v="0"/>
    <x v="12"/>
    <n v="3"/>
  </r>
  <r>
    <x v="0"/>
    <x v="1"/>
    <x v="4"/>
    <x v="6"/>
    <x v="17"/>
    <x v="0"/>
    <x v="9"/>
    <n v="1"/>
  </r>
  <r>
    <x v="0"/>
    <x v="1"/>
    <x v="4"/>
    <x v="6"/>
    <x v="19"/>
    <x v="0"/>
    <x v="9"/>
    <n v="2"/>
  </r>
  <r>
    <x v="0"/>
    <x v="1"/>
    <x v="4"/>
    <x v="7"/>
    <x v="0"/>
    <x v="4"/>
    <x v="11"/>
    <n v="1"/>
  </r>
  <r>
    <x v="0"/>
    <x v="1"/>
    <x v="4"/>
    <x v="7"/>
    <x v="0"/>
    <x v="4"/>
    <x v="14"/>
    <n v="1"/>
  </r>
  <r>
    <x v="0"/>
    <x v="1"/>
    <x v="4"/>
    <x v="7"/>
    <x v="0"/>
    <x v="11"/>
    <x v="13"/>
    <n v="1"/>
  </r>
  <r>
    <x v="0"/>
    <x v="1"/>
    <x v="4"/>
    <x v="7"/>
    <x v="0"/>
    <x v="6"/>
    <x v="5"/>
    <n v="1"/>
  </r>
  <r>
    <x v="0"/>
    <x v="1"/>
    <x v="4"/>
    <x v="7"/>
    <x v="0"/>
    <x v="6"/>
    <x v="2"/>
    <n v="1"/>
  </r>
  <r>
    <x v="0"/>
    <x v="1"/>
    <x v="4"/>
    <x v="7"/>
    <x v="12"/>
    <x v="0"/>
    <x v="12"/>
    <n v="27"/>
  </r>
  <r>
    <x v="0"/>
    <x v="1"/>
    <x v="4"/>
    <x v="7"/>
    <x v="12"/>
    <x v="0"/>
    <x v="9"/>
    <n v="14"/>
  </r>
  <r>
    <x v="0"/>
    <x v="1"/>
    <x v="4"/>
    <x v="7"/>
    <x v="12"/>
    <x v="0"/>
    <x v="3"/>
    <n v="19"/>
  </r>
  <r>
    <x v="0"/>
    <x v="1"/>
    <x v="4"/>
    <x v="7"/>
    <x v="12"/>
    <x v="0"/>
    <x v="4"/>
    <n v="9"/>
  </r>
  <r>
    <x v="0"/>
    <x v="1"/>
    <x v="4"/>
    <x v="7"/>
    <x v="6"/>
    <x v="7"/>
    <x v="9"/>
    <n v="1"/>
  </r>
  <r>
    <x v="0"/>
    <x v="1"/>
    <x v="4"/>
    <x v="7"/>
    <x v="6"/>
    <x v="0"/>
    <x v="10"/>
    <n v="13"/>
  </r>
  <r>
    <x v="0"/>
    <x v="1"/>
    <x v="4"/>
    <x v="7"/>
    <x v="6"/>
    <x v="0"/>
    <x v="1"/>
    <n v="13"/>
  </r>
  <r>
    <x v="0"/>
    <x v="1"/>
    <x v="4"/>
    <x v="8"/>
    <x v="1"/>
    <x v="0"/>
    <x v="13"/>
    <n v="1"/>
  </r>
  <r>
    <x v="0"/>
    <x v="1"/>
    <x v="4"/>
    <x v="8"/>
    <x v="14"/>
    <x v="9"/>
    <x v="8"/>
    <n v="1"/>
  </r>
  <r>
    <x v="0"/>
    <x v="1"/>
    <x v="4"/>
    <x v="5"/>
    <x v="5"/>
    <x v="12"/>
    <x v="9"/>
    <n v="2"/>
  </r>
  <r>
    <x v="0"/>
    <x v="1"/>
    <x v="4"/>
    <x v="5"/>
    <x v="5"/>
    <x v="0"/>
    <x v="12"/>
    <n v="2"/>
  </r>
  <r>
    <x v="0"/>
    <x v="1"/>
    <x v="4"/>
    <x v="6"/>
    <x v="16"/>
    <x v="0"/>
    <x v="12"/>
    <n v="1"/>
  </r>
  <r>
    <x v="0"/>
    <x v="1"/>
    <x v="4"/>
    <x v="6"/>
    <x v="16"/>
    <x v="0"/>
    <x v="9"/>
    <n v="3"/>
  </r>
  <r>
    <x v="0"/>
    <x v="1"/>
    <x v="4"/>
    <x v="6"/>
    <x v="3"/>
    <x v="3"/>
    <x v="12"/>
    <n v="1"/>
  </r>
  <r>
    <x v="0"/>
    <x v="1"/>
    <x v="4"/>
    <x v="6"/>
    <x v="3"/>
    <x v="4"/>
    <x v="10"/>
    <n v="1"/>
  </r>
  <r>
    <x v="0"/>
    <x v="1"/>
    <x v="4"/>
    <x v="6"/>
    <x v="3"/>
    <x v="5"/>
    <x v="10"/>
    <n v="1"/>
  </r>
  <r>
    <x v="0"/>
    <x v="1"/>
    <x v="4"/>
    <x v="6"/>
    <x v="3"/>
    <x v="5"/>
    <x v="1"/>
    <n v="1"/>
  </r>
  <r>
    <x v="0"/>
    <x v="1"/>
    <x v="4"/>
    <x v="6"/>
    <x v="3"/>
    <x v="11"/>
    <x v="6"/>
    <n v="2"/>
  </r>
  <r>
    <x v="0"/>
    <x v="1"/>
    <x v="4"/>
    <x v="6"/>
    <x v="3"/>
    <x v="6"/>
    <x v="6"/>
    <n v="2"/>
  </r>
  <r>
    <x v="0"/>
    <x v="1"/>
    <x v="4"/>
    <x v="6"/>
    <x v="3"/>
    <x v="6"/>
    <x v="10"/>
    <n v="2"/>
  </r>
  <r>
    <x v="0"/>
    <x v="1"/>
    <x v="4"/>
    <x v="6"/>
    <x v="3"/>
    <x v="9"/>
    <x v="6"/>
    <n v="2"/>
  </r>
  <r>
    <x v="0"/>
    <x v="1"/>
    <x v="4"/>
    <x v="6"/>
    <x v="3"/>
    <x v="12"/>
    <x v="6"/>
    <n v="1"/>
  </r>
  <r>
    <x v="0"/>
    <x v="1"/>
    <x v="4"/>
    <x v="6"/>
    <x v="19"/>
    <x v="0"/>
    <x v="3"/>
    <n v="3"/>
  </r>
  <r>
    <x v="0"/>
    <x v="1"/>
    <x v="4"/>
    <x v="9"/>
    <x v="16"/>
    <x v="0"/>
    <x v="12"/>
    <n v="1"/>
  </r>
  <r>
    <x v="0"/>
    <x v="1"/>
    <x v="4"/>
    <x v="9"/>
    <x v="6"/>
    <x v="0"/>
    <x v="3"/>
    <n v="1"/>
  </r>
  <r>
    <x v="0"/>
    <x v="1"/>
    <x v="4"/>
    <x v="9"/>
    <x v="6"/>
    <x v="0"/>
    <x v="5"/>
    <n v="1"/>
  </r>
  <r>
    <x v="0"/>
    <x v="1"/>
    <x v="4"/>
    <x v="9"/>
    <x v="10"/>
    <x v="3"/>
    <x v="17"/>
    <n v="1"/>
  </r>
  <r>
    <x v="0"/>
    <x v="1"/>
    <x v="4"/>
    <x v="7"/>
    <x v="0"/>
    <x v="10"/>
    <x v="11"/>
    <n v="1"/>
  </r>
  <r>
    <x v="0"/>
    <x v="1"/>
    <x v="4"/>
    <x v="7"/>
    <x v="0"/>
    <x v="3"/>
    <x v="2"/>
    <n v="1"/>
  </r>
  <r>
    <x v="0"/>
    <x v="1"/>
    <x v="4"/>
    <x v="7"/>
    <x v="0"/>
    <x v="3"/>
    <x v="13"/>
    <n v="1"/>
  </r>
  <r>
    <x v="0"/>
    <x v="1"/>
    <x v="4"/>
    <x v="7"/>
    <x v="0"/>
    <x v="3"/>
    <x v="11"/>
    <n v="1"/>
  </r>
  <r>
    <x v="0"/>
    <x v="1"/>
    <x v="4"/>
    <x v="7"/>
    <x v="0"/>
    <x v="4"/>
    <x v="2"/>
    <n v="1"/>
  </r>
  <r>
    <x v="0"/>
    <x v="1"/>
    <x v="4"/>
    <x v="7"/>
    <x v="0"/>
    <x v="4"/>
    <x v="18"/>
    <n v="2"/>
  </r>
  <r>
    <x v="0"/>
    <x v="1"/>
    <x v="4"/>
    <x v="7"/>
    <x v="0"/>
    <x v="11"/>
    <x v="9"/>
    <n v="1"/>
  </r>
  <r>
    <x v="0"/>
    <x v="1"/>
    <x v="4"/>
    <x v="7"/>
    <x v="0"/>
    <x v="11"/>
    <x v="5"/>
    <n v="1"/>
  </r>
  <r>
    <x v="0"/>
    <x v="1"/>
    <x v="4"/>
    <x v="7"/>
    <x v="0"/>
    <x v="11"/>
    <x v="0"/>
    <n v="2"/>
  </r>
  <r>
    <x v="0"/>
    <x v="1"/>
    <x v="4"/>
    <x v="7"/>
    <x v="0"/>
    <x v="9"/>
    <x v="9"/>
    <n v="1"/>
  </r>
  <r>
    <x v="0"/>
    <x v="1"/>
    <x v="4"/>
    <x v="7"/>
    <x v="12"/>
    <x v="0"/>
    <x v="5"/>
    <n v="4"/>
  </r>
  <r>
    <x v="0"/>
    <x v="1"/>
    <x v="4"/>
    <x v="7"/>
    <x v="12"/>
    <x v="0"/>
    <x v="11"/>
    <n v="2"/>
  </r>
  <r>
    <x v="0"/>
    <x v="1"/>
    <x v="4"/>
    <x v="7"/>
    <x v="16"/>
    <x v="0"/>
    <x v="10"/>
    <n v="4"/>
  </r>
  <r>
    <x v="0"/>
    <x v="1"/>
    <x v="4"/>
    <x v="7"/>
    <x v="16"/>
    <x v="0"/>
    <x v="1"/>
    <n v="1"/>
  </r>
  <r>
    <x v="0"/>
    <x v="1"/>
    <x v="4"/>
    <x v="7"/>
    <x v="6"/>
    <x v="7"/>
    <x v="6"/>
    <n v="2"/>
  </r>
  <r>
    <x v="0"/>
    <x v="1"/>
    <x v="4"/>
    <x v="7"/>
    <x v="6"/>
    <x v="8"/>
    <x v="10"/>
    <n v="7"/>
  </r>
  <r>
    <x v="0"/>
    <x v="1"/>
    <x v="4"/>
    <x v="7"/>
    <x v="6"/>
    <x v="0"/>
    <x v="9"/>
    <n v="3"/>
  </r>
  <r>
    <x v="0"/>
    <x v="1"/>
    <x v="4"/>
    <x v="7"/>
    <x v="6"/>
    <x v="0"/>
    <x v="3"/>
    <n v="2"/>
  </r>
  <r>
    <x v="0"/>
    <x v="1"/>
    <x v="4"/>
    <x v="7"/>
    <x v="6"/>
    <x v="0"/>
    <x v="4"/>
    <n v="1"/>
  </r>
  <r>
    <x v="0"/>
    <x v="1"/>
    <x v="4"/>
    <x v="8"/>
    <x v="16"/>
    <x v="0"/>
    <x v="1"/>
    <n v="2"/>
  </r>
  <r>
    <x v="0"/>
    <x v="1"/>
    <x v="4"/>
    <x v="8"/>
    <x v="14"/>
    <x v="12"/>
    <x v="7"/>
    <n v="1"/>
  </r>
  <r>
    <x v="0"/>
    <x v="1"/>
    <x v="4"/>
    <x v="8"/>
    <x v="14"/>
    <x v="1"/>
    <x v="7"/>
    <n v="11"/>
  </r>
  <r>
    <x v="0"/>
    <x v="1"/>
    <x v="4"/>
    <x v="8"/>
    <x v="14"/>
    <x v="8"/>
    <x v="6"/>
    <n v="1"/>
  </r>
  <r>
    <x v="0"/>
    <x v="1"/>
    <x v="4"/>
    <x v="8"/>
    <x v="14"/>
    <x v="8"/>
    <x v="10"/>
    <n v="1"/>
  </r>
  <r>
    <x v="0"/>
    <x v="1"/>
    <x v="4"/>
    <x v="10"/>
    <x v="16"/>
    <x v="12"/>
    <x v="10"/>
    <n v="1"/>
  </r>
  <r>
    <x v="0"/>
    <x v="1"/>
    <x v="4"/>
    <x v="11"/>
    <x v="0"/>
    <x v="0"/>
    <x v="6"/>
    <n v="2"/>
  </r>
  <r>
    <x v="0"/>
    <x v="1"/>
    <x v="4"/>
    <x v="11"/>
    <x v="12"/>
    <x v="0"/>
    <x v="9"/>
    <n v="1"/>
  </r>
  <r>
    <x v="0"/>
    <x v="1"/>
    <x v="4"/>
    <x v="11"/>
    <x v="12"/>
    <x v="0"/>
    <x v="3"/>
    <n v="2"/>
  </r>
  <r>
    <x v="0"/>
    <x v="1"/>
    <x v="4"/>
    <x v="11"/>
    <x v="12"/>
    <x v="0"/>
    <x v="4"/>
    <n v="1"/>
  </r>
  <r>
    <x v="0"/>
    <x v="1"/>
    <x v="4"/>
    <x v="11"/>
    <x v="12"/>
    <x v="0"/>
    <x v="2"/>
    <n v="1"/>
  </r>
  <r>
    <x v="0"/>
    <x v="1"/>
    <x v="4"/>
    <x v="11"/>
    <x v="8"/>
    <x v="6"/>
    <x v="8"/>
    <n v="6"/>
  </r>
  <r>
    <x v="0"/>
    <x v="1"/>
    <x v="4"/>
    <x v="11"/>
    <x v="8"/>
    <x v="7"/>
    <x v="7"/>
    <n v="4"/>
  </r>
  <r>
    <x v="0"/>
    <x v="1"/>
    <x v="4"/>
    <x v="11"/>
    <x v="8"/>
    <x v="7"/>
    <x v="6"/>
    <n v="3"/>
  </r>
  <r>
    <x v="0"/>
    <x v="1"/>
    <x v="4"/>
    <x v="11"/>
    <x v="8"/>
    <x v="7"/>
    <x v="10"/>
    <n v="1"/>
  </r>
  <r>
    <x v="0"/>
    <x v="1"/>
    <x v="4"/>
    <x v="11"/>
    <x v="8"/>
    <x v="8"/>
    <x v="10"/>
    <n v="1"/>
  </r>
  <r>
    <x v="0"/>
    <x v="1"/>
    <x v="4"/>
    <x v="11"/>
    <x v="11"/>
    <x v="0"/>
    <x v="2"/>
    <n v="1"/>
  </r>
  <r>
    <x v="0"/>
    <x v="1"/>
    <x v="4"/>
    <x v="11"/>
    <x v="18"/>
    <x v="0"/>
    <x v="5"/>
    <n v="1"/>
  </r>
  <r>
    <x v="0"/>
    <x v="1"/>
    <x v="4"/>
    <x v="12"/>
    <x v="12"/>
    <x v="11"/>
    <x v="8"/>
    <n v="1"/>
  </r>
  <r>
    <x v="0"/>
    <x v="1"/>
    <x v="4"/>
    <x v="12"/>
    <x v="12"/>
    <x v="6"/>
    <x v="8"/>
    <n v="2"/>
  </r>
  <r>
    <x v="0"/>
    <x v="1"/>
    <x v="4"/>
    <x v="12"/>
    <x v="12"/>
    <x v="9"/>
    <x v="8"/>
    <n v="2"/>
  </r>
  <r>
    <x v="0"/>
    <x v="1"/>
    <x v="4"/>
    <x v="12"/>
    <x v="12"/>
    <x v="12"/>
    <x v="8"/>
    <n v="1"/>
  </r>
  <r>
    <x v="0"/>
    <x v="1"/>
    <x v="4"/>
    <x v="12"/>
    <x v="12"/>
    <x v="7"/>
    <x v="7"/>
    <n v="5"/>
  </r>
  <r>
    <x v="0"/>
    <x v="1"/>
    <x v="4"/>
    <x v="12"/>
    <x v="12"/>
    <x v="7"/>
    <x v="6"/>
    <n v="11"/>
  </r>
  <r>
    <x v="0"/>
    <x v="1"/>
    <x v="4"/>
    <x v="12"/>
    <x v="12"/>
    <x v="7"/>
    <x v="10"/>
    <n v="2"/>
  </r>
  <r>
    <x v="0"/>
    <x v="1"/>
    <x v="4"/>
    <x v="12"/>
    <x v="12"/>
    <x v="1"/>
    <x v="3"/>
    <n v="1"/>
  </r>
  <r>
    <x v="0"/>
    <x v="1"/>
    <x v="4"/>
    <x v="12"/>
    <x v="12"/>
    <x v="8"/>
    <x v="7"/>
    <n v="1"/>
  </r>
  <r>
    <x v="0"/>
    <x v="1"/>
    <x v="4"/>
    <x v="12"/>
    <x v="12"/>
    <x v="8"/>
    <x v="6"/>
    <n v="7"/>
  </r>
  <r>
    <x v="0"/>
    <x v="1"/>
    <x v="4"/>
    <x v="12"/>
    <x v="12"/>
    <x v="0"/>
    <x v="12"/>
    <n v="1"/>
  </r>
  <r>
    <x v="0"/>
    <x v="1"/>
    <x v="4"/>
    <x v="12"/>
    <x v="2"/>
    <x v="0"/>
    <x v="12"/>
    <n v="2"/>
  </r>
  <r>
    <x v="0"/>
    <x v="1"/>
    <x v="4"/>
    <x v="12"/>
    <x v="4"/>
    <x v="0"/>
    <x v="6"/>
    <n v="40"/>
  </r>
  <r>
    <x v="0"/>
    <x v="1"/>
    <x v="4"/>
    <x v="12"/>
    <x v="4"/>
    <x v="0"/>
    <x v="10"/>
    <n v="27"/>
  </r>
  <r>
    <x v="0"/>
    <x v="1"/>
    <x v="4"/>
    <x v="13"/>
    <x v="16"/>
    <x v="7"/>
    <x v="12"/>
    <n v="1"/>
  </r>
  <r>
    <x v="0"/>
    <x v="1"/>
    <x v="4"/>
    <x v="13"/>
    <x v="16"/>
    <x v="7"/>
    <x v="9"/>
    <n v="1"/>
  </r>
  <r>
    <x v="0"/>
    <x v="1"/>
    <x v="4"/>
    <x v="13"/>
    <x v="16"/>
    <x v="8"/>
    <x v="1"/>
    <n v="3"/>
  </r>
  <r>
    <x v="0"/>
    <x v="1"/>
    <x v="5"/>
    <x v="11"/>
    <x v="8"/>
    <x v="3"/>
    <x v="13"/>
    <n v="1"/>
  </r>
  <r>
    <x v="0"/>
    <x v="1"/>
    <x v="5"/>
    <x v="12"/>
    <x v="5"/>
    <x v="5"/>
    <x v="18"/>
    <n v="1"/>
  </r>
  <r>
    <x v="0"/>
    <x v="1"/>
    <x v="5"/>
    <x v="12"/>
    <x v="5"/>
    <x v="6"/>
    <x v="19"/>
    <n v="1"/>
  </r>
  <r>
    <x v="0"/>
    <x v="1"/>
    <x v="5"/>
    <x v="12"/>
    <x v="5"/>
    <x v="9"/>
    <x v="17"/>
    <n v="1"/>
  </r>
  <r>
    <x v="0"/>
    <x v="1"/>
    <x v="5"/>
    <x v="12"/>
    <x v="5"/>
    <x v="12"/>
    <x v="19"/>
    <n v="1"/>
  </r>
  <r>
    <x v="0"/>
    <x v="1"/>
    <x v="5"/>
    <x v="12"/>
    <x v="5"/>
    <x v="7"/>
    <x v="18"/>
    <n v="1"/>
  </r>
  <r>
    <x v="0"/>
    <x v="1"/>
    <x v="5"/>
    <x v="12"/>
    <x v="5"/>
    <x v="0"/>
    <x v="19"/>
    <n v="1"/>
  </r>
  <r>
    <x v="0"/>
    <x v="1"/>
    <x v="5"/>
    <x v="12"/>
    <x v="19"/>
    <x v="11"/>
    <x v="19"/>
    <n v="3"/>
  </r>
  <r>
    <x v="0"/>
    <x v="1"/>
    <x v="5"/>
    <x v="12"/>
    <x v="19"/>
    <x v="6"/>
    <x v="19"/>
    <n v="2"/>
  </r>
  <r>
    <x v="0"/>
    <x v="1"/>
    <x v="5"/>
    <x v="12"/>
    <x v="19"/>
    <x v="9"/>
    <x v="19"/>
    <n v="1"/>
  </r>
  <r>
    <x v="0"/>
    <x v="1"/>
    <x v="5"/>
    <x v="12"/>
    <x v="19"/>
    <x v="12"/>
    <x v="19"/>
    <n v="6"/>
  </r>
  <r>
    <x v="0"/>
    <x v="1"/>
    <x v="5"/>
    <x v="12"/>
    <x v="19"/>
    <x v="7"/>
    <x v="18"/>
    <n v="1"/>
  </r>
  <r>
    <x v="0"/>
    <x v="1"/>
    <x v="5"/>
    <x v="12"/>
    <x v="19"/>
    <x v="1"/>
    <x v="19"/>
    <n v="3"/>
  </r>
  <r>
    <x v="0"/>
    <x v="1"/>
    <x v="5"/>
    <x v="13"/>
    <x v="17"/>
    <x v="19"/>
    <x v="0"/>
    <n v="20"/>
  </r>
  <r>
    <x v="0"/>
    <x v="1"/>
    <x v="5"/>
    <x v="13"/>
    <x v="17"/>
    <x v="19"/>
    <x v="18"/>
    <n v="23"/>
  </r>
  <r>
    <x v="0"/>
    <x v="1"/>
    <x v="5"/>
    <x v="13"/>
    <x v="17"/>
    <x v="16"/>
    <x v="0"/>
    <n v="40"/>
  </r>
  <r>
    <x v="0"/>
    <x v="1"/>
    <x v="5"/>
    <x v="13"/>
    <x v="17"/>
    <x v="16"/>
    <x v="18"/>
    <n v="58"/>
  </r>
  <r>
    <x v="0"/>
    <x v="1"/>
    <x v="5"/>
    <x v="13"/>
    <x v="17"/>
    <x v="15"/>
    <x v="0"/>
    <n v="90"/>
  </r>
  <r>
    <x v="0"/>
    <x v="1"/>
    <x v="5"/>
    <x v="13"/>
    <x v="17"/>
    <x v="15"/>
    <x v="19"/>
    <n v="1520"/>
  </r>
  <r>
    <x v="0"/>
    <x v="1"/>
    <x v="5"/>
    <x v="13"/>
    <x v="17"/>
    <x v="14"/>
    <x v="14"/>
    <n v="134"/>
  </r>
  <r>
    <x v="0"/>
    <x v="1"/>
    <x v="5"/>
    <x v="13"/>
    <x v="17"/>
    <x v="14"/>
    <x v="17"/>
    <n v="149"/>
  </r>
  <r>
    <x v="0"/>
    <x v="1"/>
    <x v="5"/>
    <x v="13"/>
    <x v="17"/>
    <x v="14"/>
    <x v="19"/>
    <n v="1086"/>
  </r>
  <r>
    <x v="0"/>
    <x v="1"/>
    <x v="5"/>
    <x v="13"/>
    <x v="17"/>
    <x v="13"/>
    <x v="13"/>
    <n v="70"/>
  </r>
  <r>
    <x v="0"/>
    <x v="1"/>
    <x v="5"/>
    <x v="13"/>
    <x v="17"/>
    <x v="13"/>
    <x v="11"/>
    <n v="66"/>
  </r>
  <r>
    <x v="0"/>
    <x v="1"/>
    <x v="5"/>
    <x v="13"/>
    <x v="17"/>
    <x v="13"/>
    <x v="14"/>
    <n v="90"/>
  </r>
  <r>
    <x v="0"/>
    <x v="1"/>
    <x v="5"/>
    <x v="13"/>
    <x v="17"/>
    <x v="13"/>
    <x v="17"/>
    <n v="97"/>
  </r>
  <r>
    <x v="0"/>
    <x v="1"/>
    <x v="5"/>
    <x v="13"/>
    <x v="17"/>
    <x v="13"/>
    <x v="19"/>
    <n v="569"/>
  </r>
  <r>
    <x v="0"/>
    <x v="1"/>
    <x v="5"/>
    <x v="13"/>
    <x v="17"/>
    <x v="11"/>
    <x v="19"/>
    <n v="35"/>
  </r>
  <r>
    <x v="0"/>
    <x v="1"/>
    <x v="5"/>
    <x v="13"/>
    <x v="17"/>
    <x v="6"/>
    <x v="17"/>
    <n v="5"/>
  </r>
  <r>
    <x v="0"/>
    <x v="1"/>
    <x v="5"/>
    <x v="13"/>
    <x v="17"/>
    <x v="6"/>
    <x v="19"/>
    <n v="19"/>
  </r>
  <r>
    <x v="0"/>
    <x v="1"/>
    <x v="5"/>
    <x v="13"/>
    <x v="17"/>
    <x v="9"/>
    <x v="14"/>
    <n v="3"/>
  </r>
  <r>
    <x v="0"/>
    <x v="1"/>
    <x v="5"/>
    <x v="13"/>
    <x v="17"/>
    <x v="9"/>
    <x v="17"/>
    <n v="4"/>
  </r>
  <r>
    <x v="0"/>
    <x v="1"/>
    <x v="5"/>
    <x v="13"/>
    <x v="17"/>
    <x v="9"/>
    <x v="19"/>
    <n v="16"/>
  </r>
  <r>
    <x v="0"/>
    <x v="1"/>
    <x v="5"/>
    <x v="13"/>
    <x v="17"/>
    <x v="12"/>
    <x v="11"/>
    <n v="1"/>
  </r>
  <r>
    <x v="0"/>
    <x v="1"/>
    <x v="5"/>
    <x v="13"/>
    <x v="17"/>
    <x v="12"/>
    <x v="14"/>
    <n v="1"/>
  </r>
  <r>
    <x v="0"/>
    <x v="1"/>
    <x v="5"/>
    <x v="13"/>
    <x v="17"/>
    <x v="12"/>
    <x v="17"/>
    <n v="2"/>
  </r>
  <r>
    <x v="0"/>
    <x v="1"/>
    <x v="5"/>
    <x v="13"/>
    <x v="17"/>
    <x v="12"/>
    <x v="19"/>
    <n v="8"/>
  </r>
  <r>
    <x v="0"/>
    <x v="1"/>
    <x v="5"/>
    <x v="13"/>
    <x v="17"/>
    <x v="7"/>
    <x v="0"/>
    <n v="1"/>
  </r>
  <r>
    <x v="0"/>
    <x v="1"/>
    <x v="5"/>
    <x v="13"/>
    <x v="17"/>
    <x v="1"/>
    <x v="14"/>
    <n v="2"/>
  </r>
  <r>
    <x v="0"/>
    <x v="1"/>
    <x v="5"/>
    <x v="13"/>
    <x v="17"/>
    <x v="1"/>
    <x v="17"/>
    <n v="1"/>
  </r>
  <r>
    <x v="0"/>
    <x v="1"/>
    <x v="5"/>
    <x v="13"/>
    <x v="17"/>
    <x v="1"/>
    <x v="19"/>
    <n v="2"/>
  </r>
  <r>
    <x v="0"/>
    <x v="1"/>
    <x v="5"/>
    <x v="13"/>
    <x v="17"/>
    <x v="8"/>
    <x v="0"/>
    <n v="1"/>
  </r>
  <r>
    <x v="0"/>
    <x v="1"/>
    <x v="5"/>
    <x v="13"/>
    <x v="17"/>
    <x v="8"/>
    <x v="18"/>
    <n v="1"/>
  </r>
  <r>
    <x v="0"/>
    <x v="1"/>
    <x v="5"/>
    <x v="13"/>
    <x v="17"/>
    <x v="0"/>
    <x v="13"/>
    <n v="1"/>
  </r>
  <r>
    <x v="0"/>
    <x v="1"/>
    <x v="5"/>
    <x v="15"/>
    <x v="1"/>
    <x v="9"/>
    <x v="0"/>
    <n v="1"/>
  </r>
  <r>
    <x v="0"/>
    <x v="1"/>
    <x v="5"/>
    <x v="16"/>
    <x v="0"/>
    <x v="2"/>
    <x v="17"/>
    <n v="1"/>
  </r>
  <r>
    <x v="0"/>
    <x v="1"/>
    <x v="5"/>
    <x v="16"/>
    <x v="0"/>
    <x v="2"/>
    <x v="19"/>
    <n v="3"/>
  </r>
  <r>
    <x v="0"/>
    <x v="1"/>
    <x v="5"/>
    <x v="16"/>
    <x v="0"/>
    <x v="10"/>
    <x v="14"/>
    <n v="1"/>
  </r>
  <r>
    <x v="0"/>
    <x v="1"/>
    <x v="5"/>
    <x v="16"/>
    <x v="0"/>
    <x v="10"/>
    <x v="19"/>
    <n v="3"/>
  </r>
  <r>
    <x v="0"/>
    <x v="1"/>
    <x v="5"/>
    <x v="16"/>
    <x v="0"/>
    <x v="3"/>
    <x v="14"/>
    <n v="1"/>
  </r>
  <r>
    <x v="0"/>
    <x v="1"/>
    <x v="5"/>
    <x v="16"/>
    <x v="0"/>
    <x v="3"/>
    <x v="19"/>
    <n v="5"/>
  </r>
  <r>
    <x v="0"/>
    <x v="1"/>
    <x v="5"/>
    <x v="16"/>
    <x v="0"/>
    <x v="4"/>
    <x v="19"/>
    <n v="2"/>
  </r>
  <r>
    <x v="0"/>
    <x v="1"/>
    <x v="5"/>
    <x v="16"/>
    <x v="0"/>
    <x v="11"/>
    <x v="14"/>
    <n v="1"/>
  </r>
  <r>
    <x v="0"/>
    <x v="1"/>
    <x v="5"/>
    <x v="16"/>
    <x v="0"/>
    <x v="7"/>
    <x v="19"/>
    <n v="1"/>
  </r>
  <r>
    <x v="0"/>
    <x v="1"/>
    <x v="5"/>
    <x v="16"/>
    <x v="1"/>
    <x v="13"/>
    <x v="19"/>
    <n v="1"/>
  </r>
  <r>
    <x v="0"/>
    <x v="1"/>
    <x v="5"/>
    <x v="16"/>
    <x v="19"/>
    <x v="4"/>
    <x v="17"/>
    <n v="1"/>
  </r>
  <r>
    <x v="0"/>
    <x v="1"/>
    <x v="5"/>
    <x v="16"/>
    <x v="19"/>
    <x v="5"/>
    <x v="11"/>
    <n v="1"/>
  </r>
  <r>
    <x v="0"/>
    <x v="1"/>
    <x v="5"/>
    <x v="16"/>
    <x v="19"/>
    <x v="5"/>
    <x v="17"/>
    <n v="2"/>
  </r>
  <r>
    <x v="0"/>
    <x v="1"/>
    <x v="5"/>
    <x v="16"/>
    <x v="19"/>
    <x v="11"/>
    <x v="11"/>
    <n v="2"/>
  </r>
  <r>
    <x v="0"/>
    <x v="1"/>
    <x v="5"/>
    <x v="16"/>
    <x v="19"/>
    <x v="11"/>
    <x v="14"/>
    <n v="1"/>
  </r>
  <r>
    <x v="0"/>
    <x v="1"/>
    <x v="5"/>
    <x v="16"/>
    <x v="19"/>
    <x v="11"/>
    <x v="17"/>
    <n v="1"/>
  </r>
  <r>
    <x v="0"/>
    <x v="1"/>
    <x v="5"/>
    <x v="16"/>
    <x v="19"/>
    <x v="11"/>
    <x v="19"/>
    <n v="1"/>
  </r>
  <r>
    <x v="0"/>
    <x v="1"/>
    <x v="5"/>
    <x v="16"/>
    <x v="19"/>
    <x v="6"/>
    <x v="14"/>
    <n v="1"/>
  </r>
  <r>
    <x v="0"/>
    <x v="1"/>
    <x v="5"/>
    <x v="16"/>
    <x v="19"/>
    <x v="9"/>
    <x v="11"/>
    <n v="1"/>
  </r>
  <r>
    <x v="0"/>
    <x v="1"/>
    <x v="5"/>
    <x v="16"/>
    <x v="19"/>
    <x v="9"/>
    <x v="14"/>
    <n v="1"/>
  </r>
  <r>
    <x v="0"/>
    <x v="1"/>
    <x v="5"/>
    <x v="16"/>
    <x v="19"/>
    <x v="0"/>
    <x v="0"/>
    <n v="1"/>
  </r>
  <r>
    <x v="0"/>
    <x v="1"/>
    <x v="5"/>
    <x v="16"/>
    <x v="19"/>
    <x v="0"/>
    <x v="18"/>
    <n v="1"/>
  </r>
  <r>
    <x v="0"/>
    <x v="1"/>
    <x v="5"/>
    <x v="17"/>
    <x v="2"/>
    <x v="5"/>
    <x v="19"/>
    <n v="9"/>
  </r>
  <r>
    <x v="0"/>
    <x v="1"/>
    <x v="5"/>
    <x v="17"/>
    <x v="2"/>
    <x v="11"/>
    <x v="19"/>
    <n v="8"/>
  </r>
  <r>
    <x v="0"/>
    <x v="1"/>
    <x v="5"/>
    <x v="17"/>
    <x v="2"/>
    <x v="6"/>
    <x v="19"/>
    <n v="4"/>
  </r>
  <r>
    <x v="0"/>
    <x v="1"/>
    <x v="5"/>
    <x v="17"/>
    <x v="2"/>
    <x v="9"/>
    <x v="19"/>
    <n v="3"/>
  </r>
  <r>
    <x v="0"/>
    <x v="1"/>
    <x v="5"/>
    <x v="17"/>
    <x v="2"/>
    <x v="12"/>
    <x v="19"/>
    <n v="4"/>
  </r>
  <r>
    <x v="0"/>
    <x v="1"/>
    <x v="4"/>
    <x v="11"/>
    <x v="14"/>
    <x v="0"/>
    <x v="13"/>
    <n v="2"/>
  </r>
  <r>
    <x v="0"/>
    <x v="1"/>
    <x v="4"/>
    <x v="11"/>
    <x v="8"/>
    <x v="0"/>
    <x v="10"/>
    <n v="1"/>
  </r>
  <r>
    <x v="0"/>
    <x v="1"/>
    <x v="4"/>
    <x v="11"/>
    <x v="11"/>
    <x v="8"/>
    <x v="10"/>
    <n v="1"/>
  </r>
  <r>
    <x v="0"/>
    <x v="1"/>
    <x v="4"/>
    <x v="11"/>
    <x v="11"/>
    <x v="8"/>
    <x v="12"/>
    <n v="1"/>
  </r>
  <r>
    <x v="0"/>
    <x v="1"/>
    <x v="4"/>
    <x v="11"/>
    <x v="18"/>
    <x v="0"/>
    <x v="1"/>
    <n v="2"/>
  </r>
  <r>
    <x v="0"/>
    <x v="1"/>
    <x v="4"/>
    <x v="12"/>
    <x v="12"/>
    <x v="6"/>
    <x v="7"/>
    <n v="1"/>
  </r>
  <r>
    <x v="0"/>
    <x v="1"/>
    <x v="4"/>
    <x v="12"/>
    <x v="12"/>
    <x v="9"/>
    <x v="7"/>
    <n v="8"/>
  </r>
  <r>
    <x v="0"/>
    <x v="1"/>
    <x v="4"/>
    <x v="12"/>
    <x v="12"/>
    <x v="9"/>
    <x v="9"/>
    <n v="1"/>
  </r>
  <r>
    <x v="0"/>
    <x v="1"/>
    <x v="4"/>
    <x v="12"/>
    <x v="12"/>
    <x v="12"/>
    <x v="12"/>
    <n v="1"/>
  </r>
  <r>
    <x v="0"/>
    <x v="1"/>
    <x v="4"/>
    <x v="12"/>
    <x v="12"/>
    <x v="1"/>
    <x v="12"/>
    <n v="1"/>
  </r>
  <r>
    <x v="0"/>
    <x v="1"/>
    <x v="4"/>
    <x v="12"/>
    <x v="12"/>
    <x v="8"/>
    <x v="10"/>
    <n v="2"/>
  </r>
  <r>
    <x v="0"/>
    <x v="1"/>
    <x v="4"/>
    <x v="12"/>
    <x v="12"/>
    <x v="8"/>
    <x v="1"/>
    <n v="1"/>
  </r>
  <r>
    <x v="0"/>
    <x v="1"/>
    <x v="4"/>
    <x v="12"/>
    <x v="4"/>
    <x v="8"/>
    <x v="7"/>
    <n v="2"/>
  </r>
  <r>
    <x v="0"/>
    <x v="1"/>
    <x v="4"/>
    <x v="12"/>
    <x v="4"/>
    <x v="8"/>
    <x v="6"/>
    <n v="4"/>
  </r>
  <r>
    <x v="0"/>
    <x v="1"/>
    <x v="4"/>
    <x v="12"/>
    <x v="4"/>
    <x v="0"/>
    <x v="1"/>
    <n v="5"/>
  </r>
  <r>
    <x v="0"/>
    <x v="1"/>
    <x v="4"/>
    <x v="12"/>
    <x v="11"/>
    <x v="0"/>
    <x v="1"/>
    <n v="1"/>
  </r>
  <r>
    <x v="0"/>
    <x v="1"/>
    <x v="4"/>
    <x v="12"/>
    <x v="17"/>
    <x v="0"/>
    <x v="12"/>
    <n v="1"/>
  </r>
  <r>
    <x v="0"/>
    <x v="1"/>
    <x v="4"/>
    <x v="13"/>
    <x v="16"/>
    <x v="0"/>
    <x v="10"/>
    <n v="16"/>
  </r>
  <r>
    <x v="0"/>
    <x v="1"/>
    <x v="4"/>
    <x v="13"/>
    <x v="16"/>
    <x v="0"/>
    <x v="4"/>
    <n v="1"/>
  </r>
  <r>
    <x v="0"/>
    <x v="1"/>
    <x v="4"/>
    <x v="13"/>
    <x v="16"/>
    <x v="0"/>
    <x v="13"/>
    <n v="1"/>
  </r>
  <r>
    <x v="0"/>
    <x v="1"/>
    <x v="4"/>
    <x v="13"/>
    <x v="16"/>
    <x v="0"/>
    <x v="11"/>
    <n v="1"/>
  </r>
  <r>
    <x v="0"/>
    <x v="1"/>
    <x v="4"/>
    <x v="13"/>
    <x v="1"/>
    <x v="0"/>
    <x v="9"/>
    <n v="5"/>
  </r>
  <r>
    <x v="0"/>
    <x v="1"/>
    <x v="4"/>
    <x v="13"/>
    <x v="1"/>
    <x v="0"/>
    <x v="3"/>
    <n v="61"/>
  </r>
  <r>
    <x v="0"/>
    <x v="1"/>
    <x v="4"/>
    <x v="13"/>
    <x v="1"/>
    <x v="0"/>
    <x v="4"/>
    <n v="106"/>
  </r>
  <r>
    <x v="0"/>
    <x v="1"/>
    <x v="4"/>
    <x v="13"/>
    <x v="1"/>
    <x v="0"/>
    <x v="5"/>
    <n v="96"/>
  </r>
  <r>
    <x v="0"/>
    <x v="1"/>
    <x v="4"/>
    <x v="13"/>
    <x v="1"/>
    <x v="0"/>
    <x v="2"/>
    <n v="2"/>
  </r>
  <r>
    <x v="0"/>
    <x v="1"/>
    <x v="4"/>
    <x v="13"/>
    <x v="13"/>
    <x v="0"/>
    <x v="1"/>
    <n v="10"/>
  </r>
  <r>
    <x v="0"/>
    <x v="1"/>
    <x v="4"/>
    <x v="13"/>
    <x v="13"/>
    <x v="0"/>
    <x v="13"/>
    <n v="1"/>
  </r>
  <r>
    <x v="0"/>
    <x v="1"/>
    <x v="4"/>
    <x v="13"/>
    <x v="9"/>
    <x v="0"/>
    <x v="12"/>
    <n v="1"/>
  </r>
  <r>
    <x v="0"/>
    <x v="1"/>
    <x v="4"/>
    <x v="13"/>
    <x v="9"/>
    <x v="0"/>
    <x v="9"/>
    <n v="5"/>
  </r>
  <r>
    <x v="0"/>
    <x v="1"/>
    <x v="4"/>
    <x v="13"/>
    <x v="17"/>
    <x v="3"/>
    <x v="5"/>
    <n v="1"/>
  </r>
  <r>
    <x v="0"/>
    <x v="1"/>
    <x v="4"/>
    <x v="13"/>
    <x v="17"/>
    <x v="3"/>
    <x v="2"/>
    <n v="1"/>
  </r>
  <r>
    <x v="0"/>
    <x v="1"/>
    <x v="4"/>
    <x v="13"/>
    <x v="17"/>
    <x v="3"/>
    <x v="11"/>
    <n v="1"/>
  </r>
  <r>
    <x v="0"/>
    <x v="1"/>
    <x v="4"/>
    <x v="13"/>
    <x v="17"/>
    <x v="4"/>
    <x v="4"/>
    <n v="2"/>
  </r>
  <r>
    <x v="0"/>
    <x v="1"/>
    <x v="4"/>
    <x v="13"/>
    <x v="17"/>
    <x v="4"/>
    <x v="5"/>
    <n v="1"/>
  </r>
  <r>
    <x v="0"/>
    <x v="1"/>
    <x v="4"/>
    <x v="13"/>
    <x v="17"/>
    <x v="4"/>
    <x v="2"/>
    <n v="1"/>
  </r>
  <r>
    <x v="0"/>
    <x v="1"/>
    <x v="4"/>
    <x v="13"/>
    <x v="17"/>
    <x v="4"/>
    <x v="13"/>
    <n v="1"/>
  </r>
  <r>
    <x v="0"/>
    <x v="1"/>
    <x v="4"/>
    <x v="13"/>
    <x v="17"/>
    <x v="5"/>
    <x v="3"/>
    <n v="1"/>
  </r>
  <r>
    <x v="0"/>
    <x v="1"/>
    <x v="4"/>
    <x v="13"/>
    <x v="17"/>
    <x v="5"/>
    <x v="4"/>
    <n v="2"/>
  </r>
  <r>
    <x v="0"/>
    <x v="1"/>
    <x v="4"/>
    <x v="13"/>
    <x v="17"/>
    <x v="5"/>
    <x v="5"/>
    <n v="1"/>
  </r>
  <r>
    <x v="0"/>
    <x v="1"/>
    <x v="4"/>
    <x v="13"/>
    <x v="17"/>
    <x v="5"/>
    <x v="2"/>
    <n v="1"/>
  </r>
  <r>
    <x v="0"/>
    <x v="1"/>
    <x v="4"/>
    <x v="13"/>
    <x v="17"/>
    <x v="11"/>
    <x v="3"/>
    <n v="1"/>
  </r>
  <r>
    <x v="0"/>
    <x v="1"/>
    <x v="4"/>
    <x v="13"/>
    <x v="17"/>
    <x v="11"/>
    <x v="5"/>
    <n v="2"/>
  </r>
  <r>
    <x v="0"/>
    <x v="1"/>
    <x v="4"/>
    <x v="13"/>
    <x v="17"/>
    <x v="6"/>
    <x v="1"/>
    <n v="1"/>
  </r>
  <r>
    <x v="0"/>
    <x v="1"/>
    <x v="4"/>
    <x v="13"/>
    <x v="17"/>
    <x v="6"/>
    <x v="12"/>
    <n v="1"/>
  </r>
  <r>
    <x v="0"/>
    <x v="1"/>
    <x v="4"/>
    <x v="13"/>
    <x v="17"/>
    <x v="6"/>
    <x v="9"/>
    <n v="2"/>
  </r>
  <r>
    <x v="0"/>
    <x v="1"/>
    <x v="4"/>
    <x v="13"/>
    <x v="17"/>
    <x v="6"/>
    <x v="3"/>
    <n v="1"/>
  </r>
  <r>
    <x v="0"/>
    <x v="1"/>
    <x v="4"/>
    <x v="13"/>
    <x v="17"/>
    <x v="6"/>
    <x v="4"/>
    <n v="1"/>
  </r>
  <r>
    <x v="0"/>
    <x v="1"/>
    <x v="4"/>
    <x v="13"/>
    <x v="17"/>
    <x v="9"/>
    <x v="3"/>
    <n v="1"/>
  </r>
  <r>
    <x v="0"/>
    <x v="1"/>
    <x v="4"/>
    <x v="14"/>
    <x v="16"/>
    <x v="4"/>
    <x v="15"/>
    <n v="2"/>
  </r>
  <r>
    <x v="0"/>
    <x v="1"/>
    <x v="4"/>
    <x v="14"/>
    <x v="16"/>
    <x v="6"/>
    <x v="1"/>
    <n v="22"/>
  </r>
  <r>
    <x v="0"/>
    <x v="1"/>
    <x v="4"/>
    <x v="14"/>
    <x v="16"/>
    <x v="9"/>
    <x v="1"/>
    <n v="16"/>
  </r>
  <r>
    <x v="0"/>
    <x v="1"/>
    <x v="4"/>
    <x v="14"/>
    <x v="16"/>
    <x v="9"/>
    <x v="13"/>
    <n v="1"/>
  </r>
  <r>
    <x v="0"/>
    <x v="1"/>
    <x v="4"/>
    <x v="14"/>
    <x v="16"/>
    <x v="12"/>
    <x v="10"/>
    <n v="21"/>
  </r>
  <r>
    <x v="0"/>
    <x v="1"/>
    <x v="4"/>
    <x v="14"/>
    <x v="16"/>
    <x v="12"/>
    <x v="1"/>
    <n v="16"/>
  </r>
  <r>
    <x v="0"/>
    <x v="1"/>
    <x v="4"/>
    <x v="14"/>
    <x v="16"/>
    <x v="7"/>
    <x v="8"/>
    <n v="88"/>
  </r>
  <r>
    <x v="0"/>
    <x v="1"/>
    <x v="4"/>
    <x v="14"/>
    <x v="16"/>
    <x v="1"/>
    <x v="10"/>
    <n v="10"/>
  </r>
  <r>
    <x v="0"/>
    <x v="1"/>
    <x v="4"/>
    <x v="14"/>
    <x v="16"/>
    <x v="1"/>
    <x v="4"/>
    <n v="1"/>
  </r>
  <r>
    <x v="0"/>
    <x v="1"/>
    <x v="4"/>
    <x v="14"/>
    <x v="16"/>
    <x v="0"/>
    <x v="6"/>
    <n v="4"/>
  </r>
  <r>
    <x v="0"/>
    <x v="1"/>
    <x v="4"/>
    <x v="14"/>
    <x v="16"/>
    <x v="0"/>
    <x v="10"/>
    <n v="10"/>
  </r>
  <r>
    <x v="0"/>
    <x v="1"/>
    <x v="4"/>
    <x v="14"/>
    <x v="16"/>
    <x v="0"/>
    <x v="3"/>
    <n v="2"/>
  </r>
  <r>
    <x v="0"/>
    <x v="1"/>
    <x v="4"/>
    <x v="14"/>
    <x v="5"/>
    <x v="0"/>
    <x v="5"/>
    <n v="2"/>
  </r>
  <r>
    <x v="0"/>
    <x v="1"/>
    <x v="4"/>
    <x v="14"/>
    <x v="18"/>
    <x v="0"/>
    <x v="10"/>
    <n v="2"/>
  </r>
  <r>
    <x v="0"/>
    <x v="1"/>
    <x v="4"/>
    <x v="18"/>
    <x v="14"/>
    <x v="0"/>
    <x v="1"/>
    <n v="5"/>
  </r>
  <r>
    <x v="0"/>
    <x v="1"/>
    <x v="4"/>
    <x v="18"/>
    <x v="14"/>
    <x v="0"/>
    <x v="3"/>
    <n v="16"/>
  </r>
  <r>
    <x v="0"/>
    <x v="1"/>
    <x v="4"/>
    <x v="18"/>
    <x v="14"/>
    <x v="0"/>
    <x v="4"/>
    <n v="2"/>
  </r>
  <r>
    <x v="0"/>
    <x v="1"/>
    <x v="4"/>
    <x v="18"/>
    <x v="14"/>
    <x v="0"/>
    <x v="5"/>
    <n v="1"/>
  </r>
  <r>
    <x v="0"/>
    <x v="1"/>
    <x v="4"/>
    <x v="18"/>
    <x v="14"/>
    <x v="0"/>
    <x v="2"/>
    <n v="1"/>
  </r>
  <r>
    <x v="0"/>
    <x v="1"/>
    <x v="4"/>
    <x v="18"/>
    <x v="15"/>
    <x v="0"/>
    <x v="5"/>
    <n v="1"/>
  </r>
  <r>
    <x v="0"/>
    <x v="1"/>
    <x v="4"/>
    <x v="15"/>
    <x v="16"/>
    <x v="0"/>
    <x v="17"/>
    <n v="2"/>
  </r>
  <r>
    <x v="0"/>
    <x v="1"/>
    <x v="4"/>
    <x v="15"/>
    <x v="6"/>
    <x v="0"/>
    <x v="1"/>
    <n v="1"/>
  </r>
  <r>
    <x v="0"/>
    <x v="1"/>
    <x v="4"/>
    <x v="15"/>
    <x v="18"/>
    <x v="8"/>
    <x v="10"/>
    <n v="2"/>
  </r>
  <r>
    <x v="0"/>
    <x v="1"/>
    <x v="4"/>
    <x v="13"/>
    <x v="16"/>
    <x v="8"/>
    <x v="12"/>
    <n v="1"/>
  </r>
  <r>
    <x v="0"/>
    <x v="1"/>
    <x v="4"/>
    <x v="13"/>
    <x v="16"/>
    <x v="8"/>
    <x v="9"/>
    <n v="1"/>
  </r>
  <r>
    <x v="0"/>
    <x v="1"/>
    <x v="4"/>
    <x v="13"/>
    <x v="13"/>
    <x v="7"/>
    <x v="6"/>
    <n v="1"/>
  </r>
  <r>
    <x v="0"/>
    <x v="1"/>
    <x v="4"/>
    <x v="13"/>
    <x v="13"/>
    <x v="8"/>
    <x v="6"/>
    <n v="1"/>
  </r>
  <r>
    <x v="0"/>
    <x v="1"/>
    <x v="4"/>
    <x v="13"/>
    <x v="13"/>
    <x v="8"/>
    <x v="10"/>
    <n v="1"/>
  </r>
  <r>
    <x v="0"/>
    <x v="1"/>
    <x v="4"/>
    <x v="13"/>
    <x v="13"/>
    <x v="0"/>
    <x v="3"/>
    <n v="2"/>
  </r>
  <r>
    <x v="0"/>
    <x v="1"/>
    <x v="4"/>
    <x v="13"/>
    <x v="14"/>
    <x v="0"/>
    <x v="9"/>
    <n v="1"/>
  </r>
  <r>
    <x v="0"/>
    <x v="1"/>
    <x v="4"/>
    <x v="13"/>
    <x v="14"/>
    <x v="0"/>
    <x v="3"/>
    <n v="2"/>
  </r>
  <r>
    <x v="0"/>
    <x v="1"/>
    <x v="4"/>
    <x v="13"/>
    <x v="17"/>
    <x v="3"/>
    <x v="4"/>
    <n v="1"/>
  </r>
  <r>
    <x v="0"/>
    <x v="1"/>
    <x v="4"/>
    <x v="13"/>
    <x v="17"/>
    <x v="4"/>
    <x v="12"/>
    <n v="2"/>
  </r>
  <r>
    <x v="0"/>
    <x v="1"/>
    <x v="4"/>
    <x v="13"/>
    <x v="17"/>
    <x v="4"/>
    <x v="9"/>
    <n v="1"/>
  </r>
  <r>
    <x v="0"/>
    <x v="1"/>
    <x v="4"/>
    <x v="13"/>
    <x v="17"/>
    <x v="4"/>
    <x v="0"/>
    <n v="1"/>
  </r>
  <r>
    <x v="0"/>
    <x v="1"/>
    <x v="4"/>
    <x v="13"/>
    <x v="17"/>
    <x v="5"/>
    <x v="9"/>
    <n v="2"/>
  </r>
  <r>
    <x v="0"/>
    <x v="1"/>
    <x v="4"/>
    <x v="13"/>
    <x v="17"/>
    <x v="7"/>
    <x v="2"/>
    <n v="1"/>
  </r>
  <r>
    <x v="0"/>
    <x v="1"/>
    <x v="4"/>
    <x v="14"/>
    <x v="16"/>
    <x v="10"/>
    <x v="12"/>
    <n v="5"/>
  </r>
  <r>
    <x v="0"/>
    <x v="1"/>
    <x v="4"/>
    <x v="14"/>
    <x v="16"/>
    <x v="10"/>
    <x v="9"/>
    <n v="1"/>
  </r>
  <r>
    <x v="0"/>
    <x v="1"/>
    <x v="4"/>
    <x v="14"/>
    <x v="16"/>
    <x v="10"/>
    <x v="3"/>
    <n v="4"/>
  </r>
  <r>
    <x v="0"/>
    <x v="1"/>
    <x v="4"/>
    <x v="14"/>
    <x v="16"/>
    <x v="3"/>
    <x v="1"/>
    <n v="16"/>
  </r>
  <r>
    <x v="0"/>
    <x v="1"/>
    <x v="4"/>
    <x v="14"/>
    <x v="16"/>
    <x v="3"/>
    <x v="12"/>
    <n v="5"/>
  </r>
  <r>
    <x v="0"/>
    <x v="1"/>
    <x v="4"/>
    <x v="14"/>
    <x v="16"/>
    <x v="3"/>
    <x v="9"/>
    <n v="1"/>
  </r>
  <r>
    <x v="0"/>
    <x v="1"/>
    <x v="4"/>
    <x v="14"/>
    <x v="16"/>
    <x v="4"/>
    <x v="1"/>
    <n v="15"/>
  </r>
  <r>
    <x v="0"/>
    <x v="1"/>
    <x v="4"/>
    <x v="14"/>
    <x v="16"/>
    <x v="4"/>
    <x v="12"/>
    <n v="5"/>
  </r>
  <r>
    <x v="0"/>
    <x v="1"/>
    <x v="4"/>
    <x v="14"/>
    <x v="16"/>
    <x v="5"/>
    <x v="10"/>
    <n v="20"/>
  </r>
  <r>
    <x v="0"/>
    <x v="1"/>
    <x v="4"/>
    <x v="14"/>
    <x v="16"/>
    <x v="5"/>
    <x v="1"/>
    <n v="19"/>
  </r>
  <r>
    <x v="0"/>
    <x v="1"/>
    <x v="4"/>
    <x v="14"/>
    <x v="16"/>
    <x v="11"/>
    <x v="10"/>
    <n v="28"/>
  </r>
  <r>
    <x v="0"/>
    <x v="1"/>
    <x v="4"/>
    <x v="14"/>
    <x v="16"/>
    <x v="11"/>
    <x v="1"/>
    <n v="23"/>
  </r>
  <r>
    <x v="0"/>
    <x v="1"/>
    <x v="4"/>
    <x v="14"/>
    <x v="16"/>
    <x v="6"/>
    <x v="6"/>
    <n v="43"/>
  </r>
  <r>
    <x v="0"/>
    <x v="1"/>
    <x v="4"/>
    <x v="14"/>
    <x v="16"/>
    <x v="6"/>
    <x v="10"/>
    <n v="23"/>
  </r>
  <r>
    <x v="0"/>
    <x v="1"/>
    <x v="4"/>
    <x v="14"/>
    <x v="16"/>
    <x v="9"/>
    <x v="6"/>
    <n v="37"/>
  </r>
  <r>
    <x v="0"/>
    <x v="1"/>
    <x v="4"/>
    <x v="14"/>
    <x v="16"/>
    <x v="9"/>
    <x v="10"/>
    <n v="30"/>
  </r>
  <r>
    <x v="0"/>
    <x v="1"/>
    <x v="4"/>
    <x v="14"/>
    <x v="16"/>
    <x v="12"/>
    <x v="7"/>
    <n v="68"/>
  </r>
  <r>
    <x v="0"/>
    <x v="1"/>
    <x v="4"/>
    <x v="14"/>
    <x v="16"/>
    <x v="12"/>
    <x v="6"/>
    <n v="48"/>
  </r>
  <r>
    <x v="0"/>
    <x v="1"/>
    <x v="4"/>
    <x v="14"/>
    <x v="16"/>
    <x v="7"/>
    <x v="1"/>
    <n v="10"/>
  </r>
  <r>
    <x v="0"/>
    <x v="1"/>
    <x v="4"/>
    <x v="14"/>
    <x v="16"/>
    <x v="7"/>
    <x v="12"/>
    <n v="7"/>
  </r>
  <r>
    <x v="0"/>
    <x v="1"/>
    <x v="4"/>
    <x v="14"/>
    <x v="16"/>
    <x v="7"/>
    <x v="9"/>
    <n v="2"/>
  </r>
  <r>
    <x v="0"/>
    <x v="1"/>
    <x v="4"/>
    <x v="14"/>
    <x v="16"/>
    <x v="7"/>
    <x v="3"/>
    <n v="1"/>
  </r>
  <r>
    <x v="0"/>
    <x v="1"/>
    <x v="4"/>
    <x v="14"/>
    <x v="16"/>
    <x v="7"/>
    <x v="4"/>
    <n v="2"/>
  </r>
  <r>
    <x v="0"/>
    <x v="1"/>
    <x v="4"/>
    <x v="14"/>
    <x v="16"/>
    <x v="1"/>
    <x v="7"/>
    <n v="74"/>
  </r>
  <r>
    <x v="0"/>
    <x v="1"/>
    <x v="4"/>
    <x v="14"/>
    <x v="16"/>
    <x v="1"/>
    <x v="6"/>
    <n v="18"/>
  </r>
  <r>
    <x v="0"/>
    <x v="1"/>
    <x v="4"/>
    <x v="14"/>
    <x v="16"/>
    <x v="8"/>
    <x v="1"/>
    <n v="2"/>
  </r>
  <r>
    <x v="0"/>
    <x v="1"/>
    <x v="4"/>
    <x v="14"/>
    <x v="16"/>
    <x v="8"/>
    <x v="12"/>
    <n v="2"/>
  </r>
  <r>
    <x v="0"/>
    <x v="1"/>
    <x v="4"/>
    <x v="14"/>
    <x v="16"/>
    <x v="8"/>
    <x v="9"/>
    <n v="3"/>
  </r>
  <r>
    <x v="0"/>
    <x v="1"/>
    <x v="4"/>
    <x v="14"/>
    <x v="16"/>
    <x v="0"/>
    <x v="7"/>
    <n v="6"/>
  </r>
  <r>
    <x v="0"/>
    <x v="1"/>
    <x v="4"/>
    <x v="14"/>
    <x v="5"/>
    <x v="12"/>
    <x v="11"/>
    <n v="1"/>
  </r>
  <r>
    <x v="0"/>
    <x v="1"/>
    <x v="4"/>
    <x v="14"/>
    <x v="5"/>
    <x v="0"/>
    <x v="2"/>
    <n v="1"/>
  </r>
  <r>
    <x v="0"/>
    <x v="1"/>
    <x v="4"/>
    <x v="14"/>
    <x v="18"/>
    <x v="0"/>
    <x v="12"/>
    <n v="1"/>
  </r>
  <r>
    <x v="0"/>
    <x v="1"/>
    <x v="4"/>
    <x v="14"/>
    <x v="18"/>
    <x v="0"/>
    <x v="9"/>
    <n v="2"/>
  </r>
  <r>
    <x v="0"/>
    <x v="1"/>
    <x v="4"/>
    <x v="14"/>
    <x v="18"/>
    <x v="0"/>
    <x v="3"/>
    <n v="1"/>
  </r>
  <r>
    <x v="0"/>
    <x v="1"/>
    <x v="4"/>
    <x v="18"/>
    <x v="0"/>
    <x v="0"/>
    <x v="19"/>
    <n v="1"/>
  </r>
  <r>
    <x v="0"/>
    <x v="1"/>
    <x v="4"/>
    <x v="18"/>
    <x v="12"/>
    <x v="0"/>
    <x v="0"/>
    <n v="1"/>
  </r>
  <r>
    <x v="0"/>
    <x v="1"/>
    <x v="4"/>
    <x v="18"/>
    <x v="14"/>
    <x v="8"/>
    <x v="11"/>
    <n v="1"/>
  </r>
  <r>
    <x v="0"/>
    <x v="1"/>
    <x v="4"/>
    <x v="18"/>
    <x v="14"/>
    <x v="0"/>
    <x v="12"/>
    <n v="49"/>
  </r>
  <r>
    <x v="0"/>
    <x v="1"/>
    <x v="4"/>
    <x v="18"/>
    <x v="14"/>
    <x v="0"/>
    <x v="9"/>
    <n v="86"/>
  </r>
  <r>
    <x v="0"/>
    <x v="1"/>
    <x v="4"/>
    <x v="18"/>
    <x v="14"/>
    <x v="0"/>
    <x v="18"/>
    <n v="3"/>
  </r>
  <r>
    <x v="0"/>
    <x v="1"/>
    <x v="4"/>
    <x v="18"/>
    <x v="8"/>
    <x v="7"/>
    <x v="11"/>
    <n v="1"/>
  </r>
  <r>
    <x v="0"/>
    <x v="1"/>
    <x v="4"/>
    <x v="15"/>
    <x v="2"/>
    <x v="0"/>
    <x v="3"/>
    <n v="1"/>
  </r>
  <r>
    <x v="0"/>
    <x v="1"/>
    <x v="4"/>
    <x v="15"/>
    <x v="2"/>
    <x v="0"/>
    <x v="4"/>
    <n v="3"/>
  </r>
  <r>
    <x v="0"/>
    <x v="1"/>
    <x v="4"/>
    <x v="15"/>
    <x v="2"/>
    <x v="0"/>
    <x v="5"/>
    <n v="2"/>
  </r>
  <r>
    <x v="0"/>
    <x v="1"/>
    <x v="4"/>
    <x v="15"/>
    <x v="8"/>
    <x v="0"/>
    <x v="5"/>
    <n v="5"/>
  </r>
  <r>
    <x v="0"/>
    <x v="1"/>
    <x v="4"/>
    <x v="15"/>
    <x v="6"/>
    <x v="0"/>
    <x v="9"/>
    <n v="1"/>
  </r>
  <r>
    <x v="0"/>
    <x v="1"/>
    <x v="4"/>
    <x v="15"/>
    <x v="6"/>
    <x v="0"/>
    <x v="3"/>
    <n v="1"/>
  </r>
  <r>
    <x v="0"/>
    <x v="1"/>
    <x v="4"/>
    <x v="17"/>
    <x v="12"/>
    <x v="11"/>
    <x v="19"/>
    <n v="2"/>
  </r>
  <r>
    <x v="0"/>
    <x v="1"/>
    <x v="4"/>
    <x v="17"/>
    <x v="12"/>
    <x v="9"/>
    <x v="13"/>
    <n v="2"/>
  </r>
  <r>
    <x v="0"/>
    <x v="1"/>
    <x v="4"/>
    <x v="17"/>
    <x v="12"/>
    <x v="9"/>
    <x v="11"/>
    <n v="1"/>
  </r>
  <r>
    <x v="0"/>
    <x v="1"/>
    <x v="4"/>
    <x v="17"/>
    <x v="12"/>
    <x v="9"/>
    <x v="14"/>
    <n v="1"/>
  </r>
  <r>
    <x v="0"/>
    <x v="1"/>
    <x v="4"/>
    <x v="17"/>
    <x v="12"/>
    <x v="9"/>
    <x v="17"/>
    <n v="1"/>
  </r>
  <r>
    <x v="0"/>
    <x v="1"/>
    <x v="4"/>
    <x v="17"/>
    <x v="12"/>
    <x v="7"/>
    <x v="18"/>
    <n v="1"/>
  </r>
  <r>
    <x v="0"/>
    <x v="1"/>
    <x v="4"/>
    <x v="17"/>
    <x v="12"/>
    <x v="1"/>
    <x v="5"/>
    <n v="1"/>
  </r>
  <r>
    <x v="0"/>
    <x v="1"/>
    <x v="4"/>
    <x v="17"/>
    <x v="12"/>
    <x v="1"/>
    <x v="14"/>
    <n v="1"/>
  </r>
  <r>
    <x v="0"/>
    <x v="1"/>
    <x v="4"/>
    <x v="17"/>
    <x v="12"/>
    <x v="8"/>
    <x v="18"/>
    <n v="1"/>
  </r>
  <r>
    <x v="0"/>
    <x v="1"/>
    <x v="4"/>
    <x v="17"/>
    <x v="12"/>
    <x v="0"/>
    <x v="5"/>
    <n v="2"/>
  </r>
  <r>
    <x v="0"/>
    <x v="1"/>
    <x v="4"/>
    <x v="17"/>
    <x v="12"/>
    <x v="0"/>
    <x v="13"/>
    <n v="1"/>
  </r>
  <r>
    <x v="0"/>
    <x v="1"/>
    <x v="4"/>
    <x v="17"/>
    <x v="12"/>
    <x v="6"/>
    <x v="13"/>
    <n v="2"/>
  </r>
  <r>
    <x v="0"/>
    <x v="1"/>
    <x v="4"/>
    <x v="17"/>
    <x v="12"/>
    <x v="9"/>
    <x v="2"/>
    <n v="1"/>
  </r>
  <r>
    <x v="0"/>
    <x v="1"/>
    <x v="4"/>
    <x v="17"/>
    <x v="2"/>
    <x v="7"/>
    <x v="11"/>
    <n v="1"/>
  </r>
  <r>
    <x v="0"/>
    <x v="1"/>
    <x v="4"/>
    <x v="17"/>
    <x v="2"/>
    <x v="7"/>
    <x v="19"/>
    <n v="2"/>
  </r>
  <r>
    <x v="0"/>
    <x v="1"/>
    <x v="4"/>
    <x v="17"/>
    <x v="2"/>
    <x v="8"/>
    <x v="19"/>
    <n v="1"/>
  </r>
  <r>
    <x v="0"/>
    <x v="1"/>
    <x v="4"/>
    <x v="17"/>
    <x v="3"/>
    <x v="0"/>
    <x v="1"/>
    <n v="1"/>
  </r>
  <r>
    <x v="0"/>
    <x v="1"/>
    <x v="4"/>
    <x v="17"/>
    <x v="7"/>
    <x v="0"/>
    <x v="1"/>
    <n v="1"/>
  </r>
  <r>
    <x v="0"/>
    <x v="1"/>
    <x v="4"/>
    <x v="17"/>
    <x v="6"/>
    <x v="0"/>
    <x v="1"/>
    <n v="34"/>
  </r>
  <r>
    <x v="0"/>
    <x v="1"/>
    <x v="4"/>
    <x v="17"/>
    <x v="6"/>
    <x v="0"/>
    <x v="11"/>
    <n v="1"/>
  </r>
  <r>
    <x v="0"/>
    <x v="1"/>
    <x v="4"/>
    <x v="19"/>
    <x v="14"/>
    <x v="12"/>
    <x v="5"/>
    <n v="1"/>
  </r>
  <r>
    <x v="0"/>
    <x v="1"/>
    <x v="4"/>
    <x v="19"/>
    <x v="10"/>
    <x v="8"/>
    <x v="6"/>
    <n v="1"/>
  </r>
  <r>
    <x v="0"/>
    <x v="1"/>
    <x v="5"/>
    <x v="1"/>
    <x v="3"/>
    <x v="13"/>
    <x v="0"/>
    <n v="1"/>
  </r>
  <r>
    <x v="0"/>
    <x v="1"/>
    <x v="5"/>
    <x v="2"/>
    <x v="0"/>
    <x v="10"/>
    <x v="19"/>
    <n v="1"/>
  </r>
  <r>
    <x v="0"/>
    <x v="1"/>
    <x v="5"/>
    <x v="2"/>
    <x v="0"/>
    <x v="3"/>
    <x v="17"/>
    <n v="2"/>
  </r>
  <r>
    <x v="0"/>
    <x v="1"/>
    <x v="5"/>
    <x v="2"/>
    <x v="0"/>
    <x v="3"/>
    <x v="19"/>
    <n v="2"/>
  </r>
  <r>
    <x v="0"/>
    <x v="1"/>
    <x v="5"/>
    <x v="2"/>
    <x v="0"/>
    <x v="4"/>
    <x v="11"/>
    <n v="1"/>
  </r>
  <r>
    <x v="0"/>
    <x v="1"/>
    <x v="5"/>
    <x v="2"/>
    <x v="0"/>
    <x v="4"/>
    <x v="14"/>
    <n v="4"/>
  </r>
  <r>
    <x v="0"/>
    <x v="1"/>
    <x v="5"/>
    <x v="2"/>
    <x v="0"/>
    <x v="4"/>
    <x v="17"/>
    <n v="2"/>
  </r>
  <r>
    <x v="0"/>
    <x v="1"/>
    <x v="5"/>
    <x v="2"/>
    <x v="0"/>
    <x v="4"/>
    <x v="19"/>
    <n v="4"/>
  </r>
  <r>
    <x v="0"/>
    <x v="1"/>
    <x v="5"/>
    <x v="2"/>
    <x v="0"/>
    <x v="5"/>
    <x v="13"/>
    <n v="1"/>
  </r>
  <r>
    <x v="0"/>
    <x v="1"/>
    <x v="5"/>
    <x v="2"/>
    <x v="0"/>
    <x v="5"/>
    <x v="11"/>
    <n v="1"/>
  </r>
  <r>
    <x v="0"/>
    <x v="1"/>
    <x v="5"/>
    <x v="2"/>
    <x v="0"/>
    <x v="5"/>
    <x v="17"/>
    <n v="1"/>
  </r>
  <r>
    <x v="0"/>
    <x v="1"/>
    <x v="5"/>
    <x v="2"/>
    <x v="0"/>
    <x v="5"/>
    <x v="19"/>
    <n v="4"/>
  </r>
  <r>
    <x v="0"/>
    <x v="1"/>
    <x v="5"/>
    <x v="2"/>
    <x v="0"/>
    <x v="11"/>
    <x v="17"/>
    <n v="1"/>
  </r>
  <r>
    <x v="0"/>
    <x v="1"/>
    <x v="5"/>
    <x v="2"/>
    <x v="0"/>
    <x v="11"/>
    <x v="19"/>
    <n v="1"/>
  </r>
  <r>
    <x v="0"/>
    <x v="1"/>
    <x v="5"/>
    <x v="2"/>
    <x v="0"/>
    <x v="6"/>
    <x v="13"/>
    <n v="1"/>
  </r>
  <r>
    <x v="0"/>
    <x v="1"/>
    <x v="5"/>
    <x v="2"/>
    <x v="0"/>
    <x v="6"/>
    <x v="11"/>
    <n v="1"/>
  </r>
  <r>
    <x v="0"/>
    <x v="1"/>
    <x v="5"/>
    <x v="2"/>
    <x v="0"/>
    <x v="6"/>
    <x v="14"/>
    <n v="1"/>
  </r>
  <r>
    <x v="0"/>
    <x v="1"/>
    <x v="5"/>
    <x v="2"/>
    <x v="0"/>
    <x v="9"/>
    <x v="14"/>
    <n v="1"/>
  </r>
  <r>
    <x v="0"/>
    <x v="1"/>
    <x v="5"/>
    <x v="2"/>
    <x v="10"/>
    <x v="9"/>
    <x v="19"/>
    <n v="1"/>
  </r>
  <r>
    <x v="0"/>
    <x v="1"/>
    <x v="5"/>
    <x v="2"/>
    <x v="10"/>
    <x v="12"/>
    <x v="19"/>
    <n v="2"/>
  </r>
  <r>
    <x v="0"/>
    <x v="1"/>
    <x v="5"/>
    <x v="2"/>
    <x v="10"/>
    <x v="1"/>
    <x v="19"/>
    <n v="12"/>
  </r>
  <r>
    <x v="0"/>
    <x v="1"/>
    <x v="5"/>
    <x v="2"/>
    <x v="10"/>
    <x v="0"/>
    <x v="19"/>
    <n v="24"/>
  </r>
  <r>
    <x v="0"/>
    <x v="1"/>
    <x v="5"/>
    <x v="3"/>
    <x v="6"/>
    <x v="11"/>
    <x v="19"/>
    <n v="2"/>
  </r>
  <r>
    <x v="0"/>
    <x v="1"/>
    <x v="5"/>
    <x v="3"/>
    <x v="6"/>
    <x v="6"/>
    <x v="11"/>
    <n v="1"/>
  </r>
  <r>
    <x v="0"/>
    <x v="1"/>
    <x v="5"/>
    <x v="3"/>
    <x v="6"/>
    <x v="1"/>
    <x v="19"/>
    <n v="2"/>
  </r>
  <r>
    <x v="0"/>
    <x v="1"/>
    <x v="5"/>
    <x v="5"/>
    <x v="8"/>
    <x v="15"/>
    <x v="19"/>
    <n v="4"/>
  </r>
  <r>
    <x v="0"/>
    <x v="1"/>
    <x v="5"/>
    <x v="5"/>
    <x v="8"/>
    <x v="14"/>
    <x v="19"/>
    <n v="3"/>
  </r>
  <r>
    <x v="0"/>
    <x v="1"/>
    <x v="5"/>
    <x v="5"/>
    <x v="8"/>
    <x v="3"/>
    <x v="19"/>
    <n v="3"/>
  </r>
  <r>
    <x v="0"/>
    <x v="1"/>
    <x v="5"/>
    <x v="5"/>
    <x v="8"/>
    <x v="4"/>
    <x v="19"/>
    <n v="6"/>
  </r>
  <r>
    <x v="0"/>
    <x v="1"/>
    <x v="5"/>
    <x v="5"/>
    <x v="8"/>
    <x v="5"/>
    <x v="19"/>
    <n v="13"/>
  </r>
  <r>
    <x v="0"/>
    <x v="1"/>
    <x v="5"/>
    <x v="5"/>
    <x v="8"/>
    <x v="11"/>
    <x v="19"/>
    <n v="18"/>
  </r>
  <r>
    <x v="0"/>
    <x v="1"/>
    <x v="5"/>
    <x v="5"/>
    <x v="8"/>
    <x v="6"/>
    <x v="19"/>
    <n v="11"/>
  </r>
  <r>
    <x v="0"/>
    <x v="1"/>
    <x v="5"/>
    <x v="5"/>
    <x v="8"/>
    <x v="9"/>
    <x v="17"/>
    <n v="2"/>
  </r>
  <r>
    <x v="0"/>
    <x v="1"/>
    <x v="5"/>
    <x v="5"/>
    <x v="8"/>
    <x v="9"/>
    <x v="19"/>
    <n v="12"/>
  </r>
  <r>
    <x v="0"/>
    <x v="1"/>
    <x v="5"/>
    <x v="5"/>
    <x v="8"/>
    <x v="12"/>
    <x v="17"/>
    <n v="1"/>
  </r>
  <r>
    <x v="0"/>
    <x v="1"/>
    <x v="5"/>
    <x v="5"/>
    <x v="8"/>
    <x v="12"/>
    <x v="19"/>
    <n v="12"/>
  </r>
  <r>
    <x v="0"/>
    <x v="1"/>
    <x v="5"/>
    <x v="5"/>
    <x v="6"/>
    <x v="16"/>
    <x v="19"/>
    <n v="7"/>
  </r>
  <r>
    <x v="0"/>
    <x v="1"/>
    <x v="5"/>
    <x v="5"/>
    <x v="6"/>
    <x v="2"/>
    <x v="19"/>
    <n v="3"/>
  </r>
  <r>
    <x v="0"/>
    <x v="1"/>
    <x v="5"/>
    <x v="5"/>
    <x v="6"/>
    <x v="10"/>
    <x v="19"/>
    <n v="1"/>
  </r>
  <r>
    <x v="0"/>
    <x v="1"/>
    <x v="5"/>
    <x v="5"/>
    <x v="6"/>
    <x v="5"/>
    <x v="19"/>
    <n v="1"/>
  </r>
  <r>
    <x v="0"/>
    <x v="1"/>
    <x v="5"/>
    <x v="5"/>
    <x v="11"/>
    <x v="3"/>
    <x v="18"/>
    <n v="1"/>
  </r>
  <r>
    <x v="0"/>
    <x v="1"/>
    <x v="5"/>
    <x v="5"/>
    <x v="11"/>
    <x v="4"/>
    <x v="0"/>
    <n v="2"/>
  </r>
  <r>
    <x v="0"/>
    <x v="1"/>
    <x v="5"/>
    <x v="5"/>
    <x v="11"/>
    <x v="5"/>
    <x v="0"/>
    <n v="1"/>
  </r>
  <r>
    <x v="0"/>
    <x v="1"/>
    <x v="5"/>
    <x v="5"/>
    <x v="11"/>
    <x v="11"/>
    <x v="19"/>
    <n v="1"/>
  </r>
  <r>
    <x v="0"/>
    <x v="1"/>
    <x v="5"/>
    <x v="5"/>
    <x v="11"/>
    <x v="6"/>
    <x v="19"/>
    <n v="1"/>
  </r>
  <r>
    <x v="0"/>
    <x v="1"/>
    <x v="5"/>
    <x v="5"/>
    <x v="11"/>
    <x v="7"/>
    <x v="0"/>
    <n v="1"/>
  </r>
  <r>
    <x v="0"/>
    <x v="1"/>
    <x v="5"/>
    <x v="5"/>
    <x v="11"/>
    <x v="1"/>
    <x v="14"/>
    <n v="1"/>
  </r>
  <r>
    <x v="0"/>
    <x v="1"/>
    <x v="5"/>
    <x v="8"/>
    <x v="13"/>
    <x v="16"/>
    <x v="18"/>
    <n v="1"/>
  </r>
  <r>
    <x v="0"/>
    <x v="1"/>
    <x v="5"/>
    <x v="8"/>
    <x v="13"/>
    <x v="2"/>
    <x v="0"/>
    <n v="2"/>
  </r>
  <r>
    <x v="0"/>
    <x v="1"/>
    <x v="5"/>
    <x v="8"/>
    <x v="13"/>
    <x v="2"/>
    <x v="18"/>
    <n v="4"/>
  </r>
  <r>
    <x v="0"/>
    <x v="1"/>
    <x v="5"/>
    <x v="8"/>
    <x v="13"/>
    <x v="10"/>
    <x v="18"/>
    <n v="3"/>
  </r>
  <r>
    <x v="0"/>
    <x v="1"/>
    <x v="5"/>
    <x v="8"/>
    <x v="13"/>
    <x v="3"/>
    <x v="0"/>
    <n v="2"/>
  </r>
  <r>
    <x v="0"/>
    <x v="1"/>
    <x v="5"/>
    <x v="8"/>
    <x v="13"/>
    <x v="3"/>
    <x v="18"/>
    <n v="3"/>
  </r>
  <r>
    <x v="0"/>
    <x v="1"/>
    <x v="5"/>
    <x v="8"/>
    <x v="13"/>
    <x v="4"/>
    <x v="0"/>
    <n v="1"/>
  </r>
  <r>
    <x v="0"/>
    <x v="1"/>
    <x v="5"/>
    <x v="8"/>
    <x v="13"/>
    <x v="4"/>
    <x v="18"/>
    <n v="3"/>
  </r>
  <r>
    <x v="0"/>
    <x v="1"/>
    <x v="5"/>
    <x v="8"/>
    <x v="13"/>
    <x v="5"/>
    <x v="0"/>
    <n v="4"/>
  </r>
  <r>
    <x v="0"/>
    <x v="1"/>
    <x v="5"/>
    <x v="8"/>
    <x v="13"/>
    <x v="5"/>
    <x v="18"/>
    <n v="2"/>
  </r>
  <r>
    <x v="0"/>
    <x v="1"/>
    <x v="5"/>
    <x v="8"/>
    <x v="13"/>
    <x v="11"/>
    <x v="0"/>
    <n v="1"/>
  </r>
  <r>
    <x v="0"/>
    <x v="1"/>
    <x v="5"/>
    <x v="8"/>
    <x v="13"/>
    <x v="9"/>
    <x v="19"/>
    <n v="5"/>
  </r>
  <r>
    <x v="0"/>
    <x v="1"/>
    <x v="5"/>
    <x v="8"/>
    <x v="13"/>
    <x v="12"/>
    <x v="19"/>
    <n v="2"/>
  </r>
  <r>
    <x v="0"/>
    <x v="1"/>
    <x v="5"/>
    <x v="8"/>
    <x v="13"/>
    <x v="7"/>
    <x v="0"/>
    <n v="2"/>
  </r>
  <r>
    <x v="0"/>
    <x v="1"/>
    <x v="4"/>
    <x v="17"/>
    <x v="12"/>
    <x v="0"/>
    <x v="11"/>
    <n v="2"/>
  </r>
  <r>
    <x v="0"/>
    <x v="1"/>
    <x v="4"/>
    <x v="17"/>
    <x v="12"/>
    <x v="0"/>
    <x v="14"/>
    <n v="1"/>
  </r>
  <r>
    <x v="0"/>
    <x v="1"/>
    <x v="4"/>
    <x v="17"/>
    <x v="2"/>
    <x v="9"/>
    <x v="14"/>
    <n v="1"/>
  </r>
  <r>
    <x v="0"/>
    <x v="1"/>
    <x v="4"/>
    <x v="17"/>
    <x v="2"/>
    <x v="12"/>
    <x v="11"/>
    <n v="2"/>
  </r>
  <r>
    <x v="0"/>
    <x v="1"/>
    <x v="4"/>
    <x v="17"/>
    <x v="16"/>
    <x v="0"/>
    <x v="10"/>
    <n v="1"/>
  </r>
  <r>
    <x v="0"/>
    <x v="1"/>
    <x v="4"/>
    <x v="17"/>
    <x v="16"/>
    <x v="0"/>
    <x v="1"/>
    <n v="1"/>
  </r>
  <r>
    <x v="0"/>
    <x v="1"/>
    <x v="4"/>
    <x v="17"/>
    <x v="3"/>
    <x v="0"/>
    <x v="3"/>
    <n v="1"/>
  </r>
  <r>
    <x v="0"/>
    <x v="1"/>
    <x v="4"/>
    <x v="17"/>
    <x v="3"/>
    <x v="0"/>
    <x v="4"/>
    <n v="3"/>
  </r>
  <r>
    <x v="0"/>
    <x v="1"/>
    <x v="4"/>
    <x v="17"/>
    <x v="3"/>
    <x v="0"/>
    <x v="5"/>
    <n v="1"/>
  </r>
  <r>
    <x v="0"/>
    <x v="1"/>
    <x v="4"/>
    <x v="17"/>
    <x v="3"/>
    <x v="0"/>
    <x v="2"/>
    <n v="1"/>
  </r>
  <r>
    <x v="0"/>
    <x v="1"/>
    <x v="4"/>
    <x v="17"/>
    <x v="6"/>
    <x v="0"/>
    <x v="12"/>
    <n v="39"/>
  </r>
  <r>
    <x v="0"/>
    <x v="1"/>
    <x v="4"/>
    <x v="17"/>
    <x v="6"/>
    <x v="0"/>
    <x v="9"/>
    <n v="50"/>
  </r>
  <r>
    <x v="0"/>
    <x v="1"/>
    <x v="4"/>
    <x v="17"/>
    <x v="6"/>
    <x v="0"/>
    <x v="3"/>
    <n v="19"/>
  </r>
  <r>
    <x v="0"/>
    <x v="1"/>
    <x v="4"/>
    <x v="17"/>
    <x v="6"/>
    <x v="0"/>
    <x v="13"/>
    <n v="1"/>
  </r>
  <r>
    <x v="0"/>
    <x v="1"/>
    <x v="4"/>
    <x v="17"/>
    <x v="19"/>
    <x v="0"/>
    <x v="12"/>
    <n v="2"/>
  </r>
  <r>
    <x v="0"/>
    <x v="1"/>
    <x v="4"/>
    <x v="17"/>
    <x v="19"/>
    <x v="0"/>
    <x v="9"/>
    <n v="1"/>
  </r>
  <r>
    <x v="0"/>
    <x v="1"/>
    <x v="5"/>
    <x v="1"/>
    <x v="3"/>
    <x v="11"/>
    <x v="2"/>
    <n v="1"/>
  </r>
  <r>
    <x v="0"/>
    <x v="1"/>
    <x v="5"/>
    <x v="2"/>
    <x v="0"/>
    <x v="6"/>
    <x v="19"/>
    <n v="1"/>
  </r>
  <r>
    <x v="0"/>
    <x v="1"/>
    <x v="5"/>
    <x v="2"/>
    <x v="0"/>
    <x v="9"/>
    <x v="19"/>
    <n v="1"/>
  </r>
  <r>
    <x v="0"/>
    <x v="1"/>
    <x v="5"/>
    <x v="2"/>
    <x v="0"/>
    <x v="0"/>
    <x v="17"/>
    <n v="1"/>
  </r>
  <r>
    <x v="0"/>
    <x v="1"/>
    <x v="5"/>
    <x v="3"/>
    <x v="2"/>
    <x v="0"/>
    <x v="19"/>
    <n v="3"/>
  </r>
  <r>
    <x v="0"/>
    <x v="1"/>
    <x v="5"/>
    <x v="5"/>
    <x v="8"/>
    <x v="16"/>
    <x v="19"/>
    <n v="1"/>
  </r>
  <r>
    <x v="0"/>
    <x v="1"/>
    <x v="5"/>
    <x v="5"/>
    <x v="8"/>
    <x v="2"/>
    <x v="18"/>
    <n v="2"/>
  </r>
  <r>
    <x v="0"/>
    <x v="1"/>
    <x v="5"/>
    <x v="5"/>
    <x v="8"/>
    <x v="10"/>
    <x v="18"/>
    <n v="2"/>
  </r>
  <r>
    <x v="0"/>
    <x v="1"/>
    <x v="5"/>
    <x v="5"/>
    <x v="8"/>
    <x v="1"/>
    <x v="19"/>
    <n v="3"/>
  </r>
  <r>
    <x v="0"/>
    <x v="1"/>
    <x v="5"/>
    <x v="5"/>
    <x v="3"/>
    <x v="8"/>
    <x v="0"/>
    <n v="1"/>
  </r>
  <r>
    <x v="0"/>
    <x v="1"/>
    <x v="5"/>
    <x v="5"/>
    <x v="3"/>
    <x v="0"/>
    <x v="14"/>
    <n v="1"/>
  </r>
  <r>
    <x v="0"/>
    <x v="1"/>
    <x v="5"/>
    <x v="5"/>
    <x v="6"/>
    <x v="19"/>
    <x v="19"/>
    <n v="8"/>
  </r>
  <r>
    <x v="0"/>
    <x v="1"/>
    <x v="5"/>
    <x v="5"/>
    <x v="6"/>
    <x v="15"/>
    <x v="18"/>
    <n v="1"/>
  </r>
  <r>
    <x v="0"/>
    <x v="1"/>
    <x v="5"/>
    <x v="5"/>
    <x v="6"/>
    <x v="14"/>
    <x v="18"/>
    <n v="1"/>
  </r>
  <r>
    <x v="0"/>
    <x v="1"/>
    <x v="5"/>
    <x v="5"/>
    <x v="6"/>
    <x v="13"/>
    <x v="0"/>
    <n v="1"/>
  </r>
  <r>
    <x v="0"/>
    <x v="1"/>
    <x v="5"/>
    <x v="5"/>
    <x v="11"/>
    <x v="11"/>
    <x v="0"/>
    <n v="2"/>
  </r>
  <r>
    <x v="0"/>
    <x v="1"/>
    <x v="5"/>
    <x v="6"/>
    <x v="15"/>
    <x v="12"/>
    <x v="19"/>
    <n v="2"/>
  </r>
  <r>
    <x v="0"/>
    <x v="1"/>
    <x v="5"/>
    <x v="8"/>
    <x v="13"/>
    <x v="19"/>
    <x v="19"/>
    <n v="3"/>
  </r>
  <r>
    <x v="0"/>
    <x v="1"/>
    <x v="5"/>
    <x v="8"/>
    <x v="13"/>
    <x v="16"/>
    <x v="11"/>
    <n v="1"/>
  </r>
  <r>
    <x v="0"/>
    <x v="1"/>
    <x v="5"/>
    <x v="8"/>
    <x v="13"/>
    <x v="16"/>
    <x v="14"/>
    <n v="3"/>
  </r>
  <r>
    <x v="0"/>
    <x v="1"/>
    <x v="5"/>
    <x v="8"/>
    <x v="13"/>
    <x v="15"/>
    <x v="5"/>
    <n v="1"/>
  </r>
  <r>
    <x v="0"/>
    <x v="1"/>
    <x v="5"/>
    <x v="8"/>
    <x v="13"/>
    <x v="15"/>
    <x v="13"/>
    <n v="2"/>
  </r>
  <r>
    <x v="0"/>
    <x v="1"/>
    <x v="5"/>
    <x v="8"/>
    <x v="13"/>
    <x v="15"/>
    <x v="0"/>
    <n v="1"/>
  </r>
  <r>
    <x v="0"/>
    <x v="1"/>
    <x v="5"/>
    <x v="8"/>
    <x v="13"/>
    <x v="15"/>
    <x v="18"/>
    <n v="3"/>
  </r>
  <r>
    <x v="0"/>
    <x v="1"/>
    <x v="5"/>
    <x v="8"/>
    <x v="13"/>
    <x v="14"/>
    <x v="5"/>
    <n v="1"/>
  </r>
  <r>
    <x v="0"/>
    <x v="1"/>
    <x v="5"/>
    <x v="8"/>
    <x v="13"/>
    <x v="14"/>
    <x v="0"/>
    <n v="7"/>
  </r>
  <r>
    <x v="0"/>
    <x v="1"/>
    <x v="5"/>
    <x v="8"/>
    <x v="13"/>
    <x v="14"/>
    <x v="18"/>
    <n v="1"/>
  </r>
  <r>
    <x v="0"/>
    <x v="1"/>
    <x v="5"/>
    <x v="8"/>
    <x v="13"/>
    <x v="13"/>
    <x v="0"/>
    <n v="10"/>
  </r>
  <r>
    <x v="0"/>
    <x v="1"/>
    <x v="5"/>
    <x v="8"/>
    <x v="13"/>
    <x v="13"/>
    <x v="18"/>
    <n v="5"/>
  </r>
  <r>
    <x v="0"/>
    <x v="1"/>
    <x v="5"/>
    <x v="8"/>
    <x v="13"/>
    <x v="5"/>
    <x v="19"/>
    <n v="8"/>
  </r>
  <r>
    <x v="0"/>
    <x v="1"/>
    <x v="5"/>
    <x v="8"/>
    <x v="13"/>
    <x v="11"/>
    <x v="17"/>
    <n v="1"/>
  </r>
  <r>
    <x v="0"/>
    <x v="1"/>
    <x v="5"/>
    <x v="8"/>
    <x v="13"/>
    <x v="11"/>
    <x v="19"/>
    <n v="10"/>
  </r>
  <r>
    <x v="0"/>
    <x v="1"/>
    <x v="5"/>
    <x v="8"/>
    <x v="13"/>
    <x v="6"/>
    <x v="17"/>
    <n v="2"/>
  </r>
  <r>
    <x v="0"/>
    <x v="1"/>
    <x v="5"/>
    <x v="8"/>
    <x v="13"/>
    <x v="6"/>
    <x v="19"/>
    <n v="10"/>
  </r>
  <r>
    <x v="0"/>
    <x v="1"/>
    <x v="5"/>
    <x v="8"/>
    <x v="13"/>
    <x v="9"/>
    <x v="11"/>
    <n v="2"/>
  </r>
  <r>
    <x v="0"/>
    <x v="1"/>
    <x v="5"/>
    <x v="8"/>
    <x v="13"/>
    <x v="9"/>
    <x v="14"/>
    <n v="2"/>
  </r>
  <r>
    <x v="0"/>
    <x v="1"/>
    <x v="5"/>
    <x v="8"/>
    <x v="13"/>
    <x v="12"/>
    <x v="11"/>
    <n v="1"/>
  </r>
  <r>
    <x v="0"/>
    <x v="1"/>
    <x v="5"/>
    <x v="8"/>
    <x v="7"/>
    <x v="18"/>
    <x v="17"/>
    <n v="4"/>
  </r>
  <r>
    <x v="0"/>
    <x v="1"/>
    <x v="5"/>
    <x v="8"/>
    <x v="7"/>
    <x v="18"/>
    <x v="19"/>
    <n v="40"/>
  </r>
  <r>
    <x v="0"/>
    <x v="1"/>
    <x v="5"/>
    <x v="8"/>
    <x v="7"/>
    <x v="19"/>
    <x v="18"/>
    <n v="3"/>
  </r>
  <r>
    <x v="0"/>
    <x v="1"/>
    <x v="5"/>
    <x v="8"/>
    <x v="7"/>
    <x v="16"/>
    <x v="18"/>
    <n v="1"/>
  </r>
  <r>
    <x v="0"/>
    <x v="1"/>
    <x v="5"/>
    <x v="8"/>
    <x v="11"/>
    <x v="6"/>
    <x v="11"/>
    <n v="1"/>
  </r>
  <r>
    <x v="0"/>
    <x v="1"/>
    <x v="5"/>
    <x v="8"/>
    <x v="11"/>
    <x v="12"/>
    <x v="11"/>
    <n v="2"/>
  </r>
  <r>
    <x v="0"/>
    <x v="1"/>
    <x v="5"/>
    <x v="8"/>
    <x v="18"/>
    <x v="19"/>
    <x v="19"/>
    <n v="1"/>
  </r>
  <r>
    <x v="0"/>
    <x v="1"/>
    <x v="5"/>
    <x v="8"/>
    <x v="18"/>
    <x v="3"/>
    <x v="19"/>
    <n v="25"/>
  </r>
  <r>
    <x v="0"/>
    <x v="1"/>
    <x v="5"/>
    <x v="8"/>
    <x v="18"/>
    <x v="4"/>
    <x v="19"/>
    <n v="15"/>
  </r>
  <r>
    <x v="0"/>
    <x v="1"/>
    <x v="5"/>
    <x v="8"/>
    <x v="18"/>
    <x v="5"/>
    <x v="19"/>
    <n v="11"/>
  </r>
  <r>
    <x v="0"/>
    <x v="1"/>
    <x v="5"/>
    <x v="8"/>
    <x v="18"/>
    <x v="11"/>
    <x v="19"/>
    <n v="8"/>
  </r>
  <r>
    <x v="0"/>
    <x v="1"/>
    <x v="5"/>
    <x v="8"/>
    <x v="18"/>
    <x v="6"/>
    <x v="19"/>
    <n v="8"/>
  </r>
  <r>
    <x v="0"/>
    <x v="1"/>
    <x v="5"/>
    <x v="8"/>
    <x v="18"/>
    <x v="9"/>
    <x v="19"/>
    <n v="4"/>
  </r>
  <r>
    <x v="0"/>
    <x v="1"/>
    <x v="5"/>
    <x v="8"/>
    <x v="18"/>
    <x v="12"/>
    <x v="19"/>
    <n v="6"/>
  </r>
  <r>
    <x v="0"/>
    <x v="1"/>
    <x v="5"/>
    <x v="10"/>
    <x v="16"/>
    <x v="11"/>
    <x v="0"/>
    <n v="1"/>
  </r>
  <r>
    <x v="0"/>
    <x v="1"/>
    <x v="5"/>
    <x v="12"/>
    <x v="12"/>
    <x v="11"/>
    <x v="13"/>
    <n v="1"/>
  </r>
  <r>
    <x v="0"/>
    <x v="1"/>
    <x v="5"/>
    <x v="12"/>
    <x v="19"/>
    <x v="0"/>
    <x v="19"/>
    <n v="2"/>
  </r>
  <r>
    <x v="0"/>
    <x v="1"/>
    <x v="5"/>
    <x v="13"/>
    <x v="17"/>
    <x v="18"/>
    <x v="18"/>
    <n v="3"/>
  </r>
  <r>
    <x v="0"/>
    <x v="1"/>
    <x v="5"/>
    <x v="13"/>
    <x v="17"/>
    <x v="15"/>
    <x v="17"/>
    <n v="85"/>
  </r>
  <r>
    <x v="0"/>
    <x v="1"/>
    <x v="5"/>
    <x v="8"/>
    <x v="13"/>
    <x v="1"/>
    <x v="19"/>
    <n v="3"/>
  </r>
  <r>
    <x v="0"/>
    <x v="1"/>
    <x v="5"/>
    <x v="8"/>
    <x v="13"/>
    <x v="0"/>
    <x v="14"/>
    <n v="1"/>
  </r>
  <r>
    <x v="0"/>
    <x v="1"/>
    <x v="5"/>
    <x v="8"/>
    <x v="13"/>
    <x v="0"/>
    <x v="17"/>
    <n v="1"/>
  </r>
  <r>
    <x v="0"/>
    <x v="1"/>
    <x v="5"/>
    <x v="8"/>
    <x v="13"/>
    <x v="0"/>
    <x v="19"/>
    <n v="2"/>
  </r>
  <r>
    <x v="0"/>
    <x v="1"/>
    <x v="5"/>
    <x v="8"/>
    <x v="7"/>
    <x v="15"/>
    <x v="19"/>
    <n v="3"/>
  </r>
  <r>
    <x v="0"/>
    <x v="1"/>
    <x v="5"/>
    <x v="8"/>
    <x v="7"/>
    <x v="13"/>
    <x v="19"/>
    <n v="1"/>
  </r>
  <r>
    <x v="0"/>
    <x v="1"/>
    <x v="5"/>
    <x v="8"/>
    <x v="18"/>
    <x v="13"/>
    <x v="19"/>
    <n v="57"/>
  </r>
  <r>
    <x v="0"/>
    <x v="1"/>
    <x v="5"/>
    <x v="8"/>
    <x v="18"/>
    <x v="1"/>
    <x v="19"/>
    <n v="4"/>
  </r>
  <r>
    <x v="0"/>
    <x v="1"/>
    <x v="5"/>
    <x v="8"/>
    <x v="18"/>
    <x v="0"/>
    <x v="19"/>
    <n v="11"/>
  </r>
  <r>
    <x v="0"/>
    <x v="1"/>
    <x v="5"/>
    <x v="10"/>
    <x v="16"/>
    <x v="9"/>
    <x v="11"/>
    <n v="1"/>
  </r>
  <r>
    <x v="0"/>
    <x v="1"/>
    <x v="5"/>
    <x v="11"/>
    <x v="0"/>
    <x v="8"/>
    <x v="11"/>
    <n v="1"/>
  </r>
  <r>
    <x v="0"/>
    <x v="1"/>
    <x v="5"/>
    <x v="12"/>
    <x v="5"/>
    <x v="4"/>
    <x v="19"/>
    <n v="1"/>
  </r>
  <r>
    <x v="0"/>
    <x v="1"/>
    <x v="5"/>
    <x v="12"/>
    <x v="5"/>
    <x v="5"/>
    <x v="14"/>
    <n v="1"/>
  </r>
  <r>
    <x v="0"/>
    <x v="1"/>
    <x v="5"/>
    <x v="12"/>
    <x v="5"/>
    <x v="5"/>
    <x v="17"/>
    <n v="1"/>
  </r>
  <r>
    <x v="0"/>
    <x v="1"/>
    <x v="5"/>
    <x v="12"/>
    <x v="5"/>
    <x v="5"/>
    <x v="19"/>
    <n v="1"/>
  </r>
  <r>
    <x v="0"/>
    <x v="1"/>
    <x v="5"/>
    <x v="12"/>
    <x v="5"/>
    <x v="6"/>
    <x v="11"/>
    <n v="1"/>
  </r>
  <r>
    <x v="0"/>
    <x v="1"/>
    <x v="5"/>
    <x v="12"/>
    <x v="5"/>
    <x v="8"/>
    <x v="19"/>
    <n v="1"/>
  </r>
  <r>
    <x v="0"/>
    <x v="1"/>
    <x v="5"/>
    <x v="13"/>
    <x v="17"/>
    <x v="19"/>
    <x v="14"/>
    <n v="8"/>
  </r>
  <r>
    <x v="0"/>
    <x v="1"/>
    <x v="5"/>
    <x v="13"/>
    <x v="17"/>
    <x v="19"/>
    <x v="17"/>
    <n v="24"/>
  </r>
  <r>
    <x v="0"/>
    <x v="1"/>
    <x v="5"/>
    <x v="13"/>
    <x v="17"/>
    <x v="19"/>
    <x v="19"/>
    <n v="233"/>
  </r>
  <r>
    <x v="0"/>
    <x v="1"/>
    <x v="5"/>
    <x v="13"/>
    <x v="17"/>
    <x v="16"/>
    <x v="2"/>
    <n v="8"/>
  </r>
  <r>
    <x v="0"/>
    <x v="1"/>
    <x v="5"/>
    <x v="13"/>
    <x v="17"/>
    <x v="16"/>
    <x v="13"/>
    <n v="22"/>
  </r>
  <r>
    <x v="0"/>
    <x v="1"/>
    <x v="5"/>
    <x v="13"/>
    <x v="17"/>
    <x v="16"/>
    <x v="11"/>
    <n v="21"/>
  </r>
  <r>
    <x v="0"/>
    <x v="1"/>
    <x v="5"/>
    <x v="13"/>
    <x v="17"/>
    <x v="16"/>
    <x v="14"/>
    <n v="35"/>
  </r>
  <r>
    <x v="0"/>
    <x v="1"/>
    <x v="5"/>
    <x v="13"/>
    <x v="17"/>
    <x v="16"/>
    <x v="17"/>
    <n v="57"/>
  </r>
  <r>
    <x v="0"/>
    <x v="1"/>
    <x v="5"/>
    <x v="13"/>
    <x v="17"/>
    <x v="16"/>
    <x v="19"/>
    <n v="638"/>
  </r>
  <r>
    <x v="0"/>
    <x v="1"/>
    <x v="5"/>
    <x v="13"/>
    <x v="17"/>
    <x v="15"/>
    <x v="5"/>
    <n v="6"/>
  </r>
  <r>
    <x v="0"/>
    <x v="1"/>
    <x v="5"/>
    <x v="13"/>
    <x v="17"/>
    <x v="15"/>
    <x v="2"/>
    <n v="41"/>
  </r>
  <r>
    <x v="0"/>
    <x v="1"/>
    <x v="5"/>
    <x v="13"/>
    <x v="17"/>
    <x v="15"/>
    <x v="13"/>
    <n v="34"/>
  </r>
  <r>
    <x v="0"/>
    <x v="1"/>
    <x v="5"/>
    <x v="13"/>
    <x v="17"/>
    <x v="15"/>
    <x v="11"/>
    <n v="49"/>
  </r>
  <r>
    <x v="0"/>
    <x v="1"/>
    <x v="5"/>
    <x v="13"/>
    <x v="17"/>
    <x v="15"/>
    <x v="14"/>
    <n v="73"/>
  </r>
  <r>
    <x v="0"/>
    <x v="1"/>
    <x v="5"/>
    <x v="13"/>
    <x v="17"/>
    <x v="14"/>
    <x v="5"/>
    <n v="29"/>
  </r>
  <r>
    <x v="0"/>
    <x v="1"/>
    <x v="5"/>
    <x v="13"/>
    <x v="17"/>
    <x v="14"/>
    <x v="2"/>
    <n v="85"/>
  </r>
  <r>
    <x v="0"/>
    <x v="1"/>
    <x v="5"/>
    <x v="13"/>
    <x v="17"/>
    <x v="14"/>
    <x v="13"/>
    <n v="115"/>
  </r>
  <r>
    <x v="0"/>
    <x v="1"/>
    <x v="5"/>
    <x v="13"/>
    <x v="17"/>
    <x v="14"/>
    <x v="0"/>
    <n v="133"/>
  </r>
  <r>
    <x v="0"/>
    <x v="1"/>
    <x v="5"/>
    <x v="13"/>
    <x v="17"/>
    <x v="14"/>
    <x v="18"/>
    <n v="146"/>
  </r>
  <r>
    <x v="0"/>
    <x v="1"/>
    <x v="5"/>
    <x v="13"/>
    <x v="17"/>
    <x v="13"/>
    <x v="5"/>
    <n v="11"/>
  </r>
  <r>
    <x v="0"/>
    <x v="1"/>
    <x v="5"/>
    <x v="13"/>
    <x v="17"/>
    <x v="13"/>
    <x v="0"/>
    <n v="84"/>
  </r>
  <r>
    <x v="0"/>
    <x v="1"/>
    <x v="5"/>
    <x v="13"/>
    <x v="17"/>
    <x v="13"/>
    <x v="18"/>
    <n v="73"/>
  </r>
  <r>
    <x v="0"/>
    <x v="1"/>
    <x v="5"/>
    <x v="13"/>
    <x v="17"/>
    <x v="2"/>
    <x v="5"/>
    <n v="9"/>
  </r>
  <r>
    <x v="0"/>
    <x v="1"/>
    <x v="5"/>
    <x v="13"/>
    <x v="17"/>
    <x v="2"/>
    <x v="2"/>
    <n v="47"/>
  </r>
  <r>
    <x v="0"/>
    <x v="1"/>
    <x v="5"/>
    <x v="13"/>
    <x v="17"/>
    <x v="2"/>
    <x v="13"/>
    <n v="50"/>
  </r>
  <r>
    <x v="0"/>
    <x v="1"/>
    <x v="5"/>
    <x v="13"/>
    <x v="17"/>
    <x v="2"/>
    <x v="11"/>
    <n v="62"/>
  </r>
  <r>
    <x v="0"/>
    <x v="1"/>
    <x v="5"/>
    <x v="13"/>
    <x v="17"/>
    <x v="10"/>
    <x v="5"/>
    <n v="2"/>
  </r>
  <r>
    <x v="0"/>
    <x v="1"/>
    <x v="5"/>
    <x v="13"/>
    <x v="17"/>
    <x v="10"/>
    <x v="2"/>
    <n v="34"/>
  </r>
  <r>
    <x v="0"/>
    <x v="1"/>
    <x v="5"/>
    <x v="13"/>
    <x v="17"/>
    <x v="10"/>
    <x v="13"/>
    <n v="36"/>
  </r>
  <r>
    <x v="0"/>
    <x v="1"/>
    <x v="5"/>
    <x v="13"/>
    <x v="17"/>
    <x v="3"/>
    <x v="5"/>
    <n v="6"/>
  </r>
  <r>
    <x v="0"/>
    <x v="1"/>
    <x v="5"/>
    <x v="13"/>
    <x v="17"/>
    <x v="3"/>
    <x v="2"/>
    <n v="13"/>
  </r>
  <r>
    <x v="0"/>
    <x v="1"/>
    <x v="5"/>
    <x v="13"/>
    <x v="17"/>
    <x v="4"/>
    <x v="5"/>
    <n v="1"/>
  </r>
  <r>
    <x v="0"/>
    <x v="1"/>
    <x v="5"/>
    <x v="13"/>
    <x v="17"/>
    <x v="6"/>
    <x v="18"/>
    <n v="4"/>
  </r>
  <r>
    <x v="0"/>
    <x v="1"/>
    <x v="5"/>
    <x v="13"/>
    <x v="17"/>
    <x v="9"/>
    <x v="0"/>
    <n v="3"/>
  </r>
  <r>
    <x v="0"/>
    <x v="1"/>
    <x v="5"/>
    <x v="13"/>
    <x v="17"/>
    <x v="9"/>
    <x v="18"/>
    <n v="4"/>
  </r>
  <r>
    <x v="0"/>
    <x v="1"/>
    <x v="5"/>
    <x v="13"/>
    <x v="17"/>
    <x v="12"/>
    <x v="0"/>
    <n v="2"/>
  </r>
  <r>
    <x v="0"/>
    <x v="1"/>
    <x v="5"/>
    <x v="13"/>
    <x v="17"/>
    <x v="12"/>
    <x v="18"/>
    <n v="3"/>
  </r>
  <r>
    <x v="0"/>
    <x v="1"/>
    <x v="5"/>
    <x v="13"/>
    <x v="17"/>
    <x v="7"/>
    <x v="11"/>
    <n v="4"/>
  </r>
  <r>
    <x v="0"/>
    <x v="1"/>
    <x v="5"/>
    <x v="13"/>
    <x v="17"/>
    <x v="7"/>
    <x v="14"/>
    <n v="1"/>
  </r>
  <r>
    <x v="0"/>
    <x v="1"/>
    <x v="5"/>
    <x v="13"/>
    <x v="17"/>
    <x v="7"/>
    <x v="17"/>
    <n v="4"/>
  </r>
  <r>
    <x v="0"/>
    <x v="1"/>
    <x v="5"/>
    <x v="13"/>
    <x v="17"/>
    <x v="7"/>
    <x v="19"/>
    <n v="2"/>
  </r>
  <r>
    <x v="0"/>
    <x v="1"/>
    <x v="5"/>
    <x v="13"/>
    <x v="17"/>
    <x v="1"/>
    <x v="0"/>
    <n v="1"/>
  </r>
  <r>
    <x v="0"/>
    <x v="1"/>
    <x v="5"/>
    <x v="13"/>
    <x v="17"/>
    <x v="0"/>
    <x v="0"/>
    <n v="1"/>
  </r>
  <r>
    <x v="0"/>
    <x v="1"/>
    <x v="5"/>
    <x v="16"/>
    <x v="0"/>
    <x v="3"/>
    <x v="0"/>
    <n v="1"/>
  </r>
  <r>
    <x v="0"/>
    <x v="1"/>
    <x v="5"/>
    <x v="16"/>
    <x v="0"/>
    <x v="3"/>
    <x v="18"/>
    <n v="1"/>
  </r>
  <r>
    <x v="0"/>
    <x v="1"/>
    <x v="5"/>
    <x v="16"/>
    <x v="0"/>
    <x v="4"/>
    <x v="18"/>
    <n v="1"/>
  </r>
  <r>
    <x v="0"/>
    <x v="1"/>
    <x v="5"/>
    <x v="16"/>
    <x v="0"/>
    <x v="5"/>
    <x v="0"/>
    <n v="1"/>
  </r>
  <r>
    <x v="0"/>
    <x v="1"/>
    <x v="5"/>
    <x v="16"/>
    <x v="0"/>
    <x v="0"/>
    <x v="19"/>
    <n v="1"/>
  </r>
  <r>
    <x v="0"/>
    <x v="1"/>
    <x v="5"/>
    <x v="16"/>
    <x v="19"/>
    <x v="4"/>
    <x v="0"/>
    <n v="1"/>
  </r>
  <r>
    <x v="0"/>
    <x v="1"/>
    <x v="5"/>
    <x v="16"/>
    <x v="19"/>
    <x v="5"/>
    <x v="18"/>
    <n v="3"/>
  </r>
  <r>
    <x v="0"/>
    <x v="1"/>
    <x v="5"/>
    <x v="16"/>
    <x v="19"/>
    <x v="11"/>
    <x v="0"/>
    <n v="1"/>
  </r>
  <r>
    <x v="0"/>
    <x v="1"/>
    <x v="5"/>
    <x v="16"/>
    <x v="19"/>
    <x v="6"/>
    <x v="18"/>
    <n v="1"/>
  </r>
  <r>
    <x v="0"/>
    <x v="1"/>
    <x v="5"/>
    <x v="16"/>
    <x v="19"/>
    <x v="7"/>
    <x v="13"/>
    <n v="1"/>
  </r>
  <r>
    <x v="0"/>
    <x v="1"/>
    <x v="5"/>
    <x v="16"/>
    <x v="19"/>
    <x v="8"/>
    <x v="0"/>
    <n v="1"/>
  </r>
  <r>
    <x v="0"/>
    <x v="1"/>
    <x v="5"/>
    <x v="16"/>
    <x v="19"/>
    <x v="0"/>
    <x v="14"/>
    <n v="3"/>
  </r>
  <r>
    <x v="0"/>
    <x v="1"/>
    <x v="5"/>
    <x v="16"/>
    <x v="19"/>
    <x v="0"/>
    <x v="19"/>
    <n v="1"/>
  </r>
  <r>
    <x v="0"/>
    <x v="1"/>
    <x v="5"/>
    <x v="17"/>
    <x v="2"/>
    <x v="11"/>
    <x v="18"/>
    <n v="1"/>
  </r>
  <r>
    <x v="0"/>
    <x v="1"/>
    <x v="5"/>
    <x v="17"/>
    <x v="2"/>
    <x v="6"/>
    <x v="0"/>
    <n v="1"/>
  </r>
  <r>
    <x v="0"/>
    <x v="1"/>
    <x v="5"/>
    <x v="17"/>
    <x v="2"/>
    <x v="6"/>
    <x v="18"/>
    <n v="1"/>
  </r>
  <r>
    <x v="0"/>
    <x v="1"/>
    <x v="5"/>
    <x v="17"/>
    <x v="2"/>
    <x v="9"/>
    <x v="0"/>
    <n v="1"/>
  </r>
  <r>
    <x v="0"/>
    <x v="1"/>
    <x v="5"/>
    <x v="17"/>
    <x v="2"/>
    <x v="7"/>
    <x v="19"/>
    <n v="1"/>
  </r>
  <r>
    <x v="0"/>
    <x v="1"/>
    <x v="5"/>
    <x v="17"/>
    <x v="2"/>
    <x v="8"/>
    <x v="19"/>
    <n v="1"/>
  </r>
  <r>
    <x v="0"/>
    <x v="1"/>
    <x v="5"/>
    <x v="17"/>
    <x v="9"/>
    <x v="15"/>
    <x v="19"/>
    <n v="1"/>
  </r>
  <r>
    <x v="0"/>
    <x v="1"/>
    <x v="5"/>
    <x v="17"/>
    <x v="9"/>
    <x v="14"/>
    <x v="11"/>
    <n v="1"/>
  </r>
  <r>
    <x v="0"/>
    <x v="1"/>
    <x v="5"/>
    <x v="17"/>
    <x v="9"/>
    <x v="14"/>
    <x v="14"/>
    <n v="1"/>
  </r>
  <r>
    <x v="0"/>
    <x v="1"/>
    <x v="5"/>
    <x v="17"/>
    <x v="9"/>
    <x v="14"/>
    <x v="19"/>
    <n v="1"/>
  </r>
  <r>
    <x v="0"/>
    <x v="1"/>
    <x v="5"/>
    <x v="17"/>
    <x v="9"/>
    <x v="13"/>
    <x v="17"/>
    <n v="1"/>
  </r>
  <r>
    <x v="0"/>
    <x v="1"/>
    <x v="5"/>
    <x v="17"/>
    <x v="9"/>
    <x v="13"/>
    <x v="19"/>
    <n v="3"/>
  </r>
  <r>
    <x v="0"/>
    <x v="1"/>
    <x v="5"/>
    <x v="17"/>
    <x v="9"/>
    <x v="11"/>
    <x v="19"/>
    <n v="2"/>
  </r>
  <r>
    <x v="0"/>
    <x v="1"/>
    <x v="5"/>
    <x v="17"/>
    <x v="9"/>
    <x v="6"/>
    <x v="19"/>
    <n v="1"/>
  </r>
  <r>
    <x v="0"/>
    <x v="1"/>
    <x v="5"/>
    <x v="17"/>
    <x v="9"/>
    <x v="9"/>
    <x v="19"/>
    <n v="1"/>
  </r>
  <r>
    <x v="0"/>
    <x v="1"/>
    <x v="5"/>
    <x v="19"/>
    <x v="7"/>
    <x v="19"/>
    <x v="17"/>
    <n v="1"/>
  </r>
  <r>
    <x v="0"/>
    <x v="1"/>
    <x v="5"/>
    <x v="19"/>
    <x v="7"/>
    <x v="16"/>
    <x v="11"/>
    <n v="1"/>
  </r>
  <r>
    <x v="0"/>
    <x v="1"/>
    <x v="5"/>
    <x v="19"/>
    <x v="7"/>
    <x v="16"/>
    <x v="17"/>
    <n v="1"/>
  </r>
  <r>
    <x v="0"/>
    <x v="1"/>
    <x v="5"/>
    <x v="19"/>
    <x v="7"/>
    <x v="2"/>
    <x v="2"/>
    <n v="1"/>
  </r>
  <r>
    <x v="0"/>
    <x v="1"/>
    <x v="5"/>
    <x v="19"/>
    <x v="10"/>
    <x v="7"/>
    <x v="11"/>
    <n v="1"/>
  </r>
  <r>
    <x v="0"/>
    <x v="1"/>
    <x v="5"/>
    <x v="19"/>
    <x v="10"/>
    <x v="7"/>
    <x v="14"/>
    <n v="1"/>
  </r>
  <r>
    <x v="0"/>
    <x v="1"/>
    <x v="5"/>
    <x v="19"/>
    <x v="10"/>
    <x v="8"/>
    <x v="11"/>
    <n v="1"/>
  </r>
  <r>
    <x v="0"/>
    <x v="1"/>
    <x v="6"/>
    <x v="0"/>
    <x v="12"/>
    <x v="18"/>
    <x v="18"/>
    <n v="3"/>
  </r>
  <r>
    <x v="0"/>
    <x v="1"/>
    <x v="6"/>
    <x v="0"/>
    <x v="12"/>
    <x v="19"/>
    <x v="18"/>
    <n v="30"/>
  </r>
  <r>
    <x v="0"/>
    <x v="1"/>
    <x v="6"/>
    <x v="0"/>
    <x v="12"/>
    <x v="14"/>
    <x v="19"/>
    <n v="85"/>
  </r>
  <r>
    <x v="0"/>
    <x v="1"/>
    <x v="6"/>
    <x v="0"/>
    <x v="12"/>
    <x v="13"/>
    <x v="19"/>
    <n v="40"/>
  </r>
  <r>
    <x v="0"/>
    <x v="1"/>
    <x v="6"/>
    <x v="0"/>
    <x v="12"/>
    <x v="10"/>
    <x v="19"/>
    <n v="10"/>
  </r>
  <r>
    <x v="0"/>
    <x v="1"/>
    <x v="6"/>
    <x v="0"/>
    <x v="12"/>
    <x v="3"/>
    <x v="19"/>
    <n v="7"/>
  </r>
  <r>
    <x v="0"/>
    <x v="1"/>
    <x v="6"/>
    <x v="0"/>
    <x v="12"/>
    <x v="4"/>
    <x v="19"/>
    <n v="2"/>
  </r>
  <r>
    <x v="0"/>
    <x v="1"/>
    <x v="6"/>
    <x v="0"/>
    <x v="12"/>
    <x v="5"/>
    <x v="19"/>
    <n v="1"/>
  </r>
  <r>
    <x v="0"/>
    <x v="1"/>
    <x v="6"/>
    <x v="0"/>
    <x v="12"/>
    <x v="6"/>
    <x v="19"/>
    <n v="1"/>
  </r>
  <r>
    <x v="0"/>
    <x v="1"/>
    <x v="6"/>
    <x v="0"/>
    <x v="12"/>
    <x v="9"/>
    <x v="19"/>
    <n v="1"/>
  </r>
  <r>
    <x v="0"/>
    <x v="1"/>
    <x v="6"/>
    <x v="1"/>
    <x v="2"/>
    <x v="16"/>
    <x v="19"/>
    <n v="1"/>
  </r>
  <r>
    <x v="0"/>
    <x v="1"/>
    <x v="6"/>
    <x v="3"/>
    <x v="8"/>
    <x v="14"/>
    <x v="19"/>
    <n v="2"/>
  </r>
  <r>
    <x v="0"/>
    <x v="1"/>
    <x v="6"/>
    <x v="3"/>
    <x v="8"/>
    <x v="13"/>
    <x v="19"/>
    <n v="3"/>
  </r>
  <r>
    <x v="0"/>
    <x v="1"/>
    <x v="6"/>
    <x v="3"/>
    <x v="9"/>
    <x v="3"/>
    <x v="19"/>
    <n v="2"/>
  </r>
  <r>
    <x v="0"/>
    <x v="1"/>
    <x v="6"/>
    <x v="3"/>
    <x v="9"/>
    <x v="5"/>
    <x v="19"/>
    <n v="1"/>
  </r>
  <r>
    <x v="0"/>
    <x v="1"/>
    <x v="6"/>
    <x v="3"/>
    <x v="9"/>
    <x v="11"/>
    <x v="19"/>
    <n v="2"/>
  </r>
  <r>
    <x v="0"/>
    <x v="1"/>
    <x v="6"/>
    <x v="3"/>
    <x v="9"/>
    <x v="6"/>
    <x v="19"/>
    <n v="1"/>
  </r>
  <r>
    <x v="0"/>
    <x v="1"/>
    <x v="6"/>
    <x v="5"/>
    <x v="3"/>
    <x v="15"/>
    <x v="17"/>
    <n v="1"/>
  </r>
  <r>
    <x v="0"/>
    <x v="1"/>
    <x v="6"/>
    <x v="5"/>
    <x v="3"/>
    <x v="2"/>
    <x v="19"/>
    <n v="10"/>
  </r>
  <r>
    <x v="0"/>
    <x v="1"/>
    <x v="6"/>
    <x v="5"/>
    <x v="3"/>
    <x v="10"/>
    <x v="19"/>
    <n v="7"/>
  </r>
  <r>
    <x v="0"/>
    <x v="1"/>
    <x v="6"/>
    <x v="5"/>
    <x v="3"/>
    <x v="3"/>
    <x v="19"/>
    <n v="14"/>
  </r>
  <r>
    <x v="0"/>
    <x v="1"/>
    <x v="6"/>
    <x v="5"/>
    <x v="3"/>
    <x v="4"/>
    <x v="19"/>
    <n v="4"/>
  </r>
  <r>
    <x v="0"/>
    <x v="1"/>
    <x v="6"/>
    <x v="5"/>
    <x v="3"/>
    <x v="5"/>
    <x v="19"/>
    <n v="3"/>
  </r>
  <r>
    <x v="0"/>
    <x v="1"/>
    <x v="6"/>
    <x v="5"/>
    <x v="3"/>
    <x v="11"/>
    <x v="19"/>
    <n v="2"/>
  </r>
  <r>
    <x v="0"/>
    <x v="1"/>
    <x v="6"/>
    <x v="6"/>
    <x v="2"/>
    <x v="14"/>
    <x v="19"/>
    <n v="11"/>
  </r>
  <r>
    <x v="0"/>
    <x v="1"/>
    <x v="6"/>
    <x v="6"/>
    <x v="2"/>
    <x v="13"/>
    <x v="19"/>
    <n v="4"/>
  </r>
  <r>
    <x v="0"/>
    <x v="1"/>
    <x v="6"/>
    <x v="6"/>
    <x v="11"/>
    <x v="11"/>
    <x v="19"/>
    <n v="1"/>
  </r>
  <r>
    <x v="0"/>
    <x v="1"/>
    <x v="6"/>
    <x v="12"/>
    <x v="1"/>
    <x v="16"/>
    <x v="19"/>
    <n v="6"/>
  </r>
  <r>
    <x v="0"/>
    <x v="1"/>
    <x v="6"/>
    <x v="12"/>
    <x v="1"/>
    <x v="2"/>
    <x v="19"/>
    <n v="3"/>
  </r>
  <r>
    <x v="0"/>
    <x v="1"/>
    <x v="6"/>
    <x v="12"/>
    <x v="1"/>
    <x v="10"/>
    <x v="19"/>
    <n v="1"/>
  </r>
  <r>
    <x v="0"/>
    <x v="1"/>
    <x v="6"/>
    <x v="12"/>
    <x v="1"/>
    <x v="4"/>
    <x v="19"/>
    <n v="1"/>
  </r>
  <r>
    <x v="0"/>
    <x v="1"/>
    <x v="6"/>
    <x v="18"/>
    <x v="8"/>
    <x v="7"/>
    <x v="19"/>
    <n v="1"/>
  </r>
  <r>
    <x v="0"/>
    <x v="1"/>
    <x v="6"/>
    <x v="17"/>
    <x v="9"/>
    <x v="16"/>
    <x v="19"/>
    <n v="3"/>
  </r>
  <r>
    <x v="0"/>
    <x v="1"/>
    <x v="6"/>
    <x v="17"/>
    <x v="9"/>
    <x v="15"/>
    <x v="19"/>
    <n v="1"/>
  </r>
  <r>
    <x v="0"/>
    <x v="1"/>
    <x v="7"/>
    <x v="0"/>
    <x v="12"/>
    <x v="17"/>
    <x v="19"/>
    <n v="7"/>
  </r>
  <r>
    <x v="0"/>
    <x v="1"/>
    <x v="7"/>
    <x v="0"/>
    <x v="12"/>
    <x v="18"/>
    <x v="17"/>
    <n v="2"/>
  </r>
  <r>
    <x v="0"/>
    <x v="1"/>
    <x v="7"/>
    <x v="0"/>
    <x v="12"/>
    <x v="18"/>
    <x v="19"/>
    <n v="229"/>
  </r>
  <r>
    <x v="0"/>
    <x v="1"/>
    <x v="7"/>
    <x v="0"/>
    <x v="12"/>
    <x v="15"/>
    <x v="0"/>
    <n v="1"/>
  </r>
  <r>
    <x v="0"/>
    <x v="1"/>
    <x v="7"/>
    <x v="0"/>
    <x v="12"/>
    <x v="15"/>
    <x v="18"/>
    <n v="1"/>
  </r>
  <r>
    <x v="0"/>
    <x v="1"/>
    <x v="7"/>
    <x v="0"/>
    <x v="19"/>
    <x v="10"/>
    <x v="2"/>
    <n v="1"/>
  </r>
  <r>
    <x v="0"/>
    <x v="1"/>
    <x v="7"/>
    <x v="1"/>
    <x v="2"/>
    <x v="19"/>
    <x v="13"/>
    <n v="1"/>
  </r>
  <r>
    <x v="0"/>
    <x v="1"/>
    <x v="7"/>
    <x v="1"/>
    <x v="2"/>
    <x v="19"/>
    <x v="0"/>
    <n v="7"/>
  </r>
  <r>
    <x v="0"/>
    <x v="1"/>
    <x v="7"/>
    <x v="1"/>
    <x v="2"/>
    <x v="19"/>
    <x v="18"/>
    <n v="3"/>
  </r>
  <r>
    <x v="0"/>
    <x v="1"/>
    <x v="7"/>
    <x v="1"/>
    <x v="2"/>
    <x v="16"/>
    <x v="0"/>
    <n v="4"/>
  </r>
  <r>
    <x v="0"/>
    <x v="1"/>
    <x v="7"/>
    <x v="1"/>
    <x v="2"/>
    <x v="16"/>
    <x v="18"/>
    <n v="6"/>
  </r>
  <r>
    <x v="0"/>
    <x v="1"/>
    <x v="7"/>
    <x v="1"/>
    <x v="2"/>
    <x v="2"/>
    <x v="0"/>
    <n v="3"/>
  </r>
  <r>
    <x v="0"/>
    <x v="1"/>
    <x v="7"/>
    <x v="1"/>
    <x v="2"/>
    <x v="2"/>
    <x v="18"/>
    <n v="1"/>
  </r>
  <r>
    <x v="0"/>
    <x v="1"/>
    <x v="7"/>
    <x v="1"/>
    <x v="2"/>
    <x v="10"/>
    <x v="18"/>
    <n v="2"/>
  </r>
  <r>
    <x v="0"/>
    <x v="1"/>
    <x v="7"/>
    <x v="1"/>
    <x v="2"/>
    <x v="3"/>
    <x v="0"/>
    <n v="2"/>
  </r>
  <r>
    <x v="0"/>
    <x v="1"/>
    <x v="7"/>
    <x v="1"/>
    <x v="2"/>
    <x v="11"/>
    <x v="19"/>
    <n v="1"/>
  </r>
  <r>
    <x v="0"/>
    <x v="1"/>
    <x v="7"/>
    <x v="1"/>
    <x v="2"/>
    <x v="6"/>
    <x v="19"/>
    <n v="1"/>
  </r>
  <r>
    <x v="0"/>
    <x v="1"/>
    <x v="7"/>
    <x v="1"/>
    <x v="3"/>
    <x v="14"/>
    <x v="13"/>
    <n v="2"/>
  </r>
  <r>
    <x v="0"/>
    <x v="1"/>
    <x v="7"/>
    <x v="3"/>
    <x v="8"/>
    <x v="17"/>
    <x v="19"/>
    <n v="304"/>
  </r>
  <r>
    <x v="0"/>
    <x v="1"/>
    <x v="7"/>
    <x v="3"/>
    <x v="8"/>
    <x v="18"/>
    <x v="14"/>
    <n v="18"/>
  </r>
  <r>
    <x v="0"/>
    <x v="1"/>
    <x v="7"/>
    <x v="3"/>
    <x v="8"/>
    <x v="18"/>
    <x v="17"/>
    <n v="37"/>
  </r>
  <r>
    <x v="0"/>
    <x v="1"/>
    <x v="7"/>
    <x v="3"/>
    <x v="8"/>
    <x v="18"/>
    <x v="19"/>
    <n v="232"/>
  </r>
  <r>
    <x v="0"/>
    <x v="1"/>
    <x v="7"/>
    <x v="3"/>
    <x v="8"/>
    <x v="19"/>
    <x v="14"/>
    <n v="12"/>
  </r>
  <r>
    <x v="0"/>
    <x v="1"/>
    <x v="7"/>
    <x v="3"/>
    <x v="8"/>
    <x v="19"/>
    <x v="17"/>
    <n v="30"/>
  </r>
  <r>
    <x v="0"/>
    <x v="1"/>
    <x v="7"/>
    <x v="3"/>
    <x v="9"/>
    <x v="9"/>
    <x v="19"/>
    <n v="3"/>
  </r>
  <r>
    <x v="0"/>
    <x v="1"/>
    <x v="7"/>
    <x v="5"/>
    <x v="8"/>
    <x v="13"/>
    <x v="19"/>
    <n v="1"/>
  </r>
  <r>
    <x v="0"/>
    <x v="1"/>
    <x v="7"/>
    <x v="5"/>
    <x v="3"/>
    <x v="13"/>
    <x v="17"/>
    <n v="6"/>
  </r>
  <r>
    <x v="0"/>
    <x v="1"/>
    <x v="7"/>
    <x v="5"/>
    <x v="3"/>
    <x v="13"/>
    <x v="19"/>
    <n v="32"/>
  </r>
  <r>
    <x v="0"/>
    <x v="1"/>
    <x v="7"/>
    <x v="5"/>
    <x v="3"/>
    <x v="2"/>
    <x v="0"/>
    <n v="5"/>
  </r>
  <r>
    <x v="0"/>
    <x v="1"/>
    <x v="7"/>
    <x v="5"/>
    <x v="3"/>
    <x v="2"/>
    <x v="18"/>
    <n v="6"/>
  </r>
  <r>
    <x v="0"/>
    <x v="1"/>
    <x v="7"/>
    <x v="5"/>
    <x v="3"/>
    <x v="10"/>
    <x v="0"/>
    <n v="3"/>
  </r>
  <r>
    <x v="0"/>
    <x v="1"/>
    <x v="7"/>
    <x v="5"/>
    <x v="3"/>
    <x v="10"/>
    <x v="18"/>
    <n v="3"/>
  </r>
  <r>
    <x v="0"/>
    <x v="1"/>
    <x v="7"/>
    <x v="5"/>
    <x v="3"/>
    <x v="3"/>
    <x v="18"/>
    <n v="4"/>
  </r>
  <r>
    <x v="0"/>
    <x v="1"/>
    <x v="7"/>
    <x v="5"/>
    <x v="3"/>
    <x v="4"/>
    <x v="0"/>
    <n v="3"/>
  </r>
  <r>
    <x v="0"/>
    <x v="1"/>
    <x v="7"/>
    <x v="5"/>
    <x v="3"/>
    <x v="11"/>
    <x v="19"/>
    <n v="4"/>
  </r>
  <r>
    <x v="0"/>
    <x v="1"/>
    <x v="7"/>
    <x v="5"/>
    <x v="3"/>
    <x v="6"/>
    <x v="17"/>
    <n v="3"/>
  </r>
  <r>
    <x v="0"/>
    <x v="1"/>
    <x v="7"/>
    <x v="5"/>
    <x v="3"/>
    <x v="6"/>
    <x v="19"/>
    <n v="1"/>
  </r>
  <r>
    <x v="0"/>
    <x v="1"/>
    <x v="7"/>
    <x v="5"/>
    <x v="3"/>
    <x v="9"/>
    <x v="17"/>
    <n v="1"/>
  </r>
  <r>
    <x v="0"/>
    <x v="1"/>
    <x v="7"/>
    <x v="5"/>
    <x v="3"/>
    <x v="12"/>
    <x v="11"/>
    <n v="2"/>
  </r>
  <r>
    <x v="0"/>
    <x v="1"/>
    <x v="7"/>
    <x v="5"/>
    <x v="3"/>
    <x v="12"/>
    <x v="17"/>
    <n v="1"/>
  </r>
  <r>
    <x v="0"/>
    <x v="1"/>
    <x v="7"/>
    <x v="5"/>
    <x v="3"/>
    <x v="12"/>
    <x v="19"/>
    <n v="1"/>
  </r>
  <r>
    <x v="0"/>
    <x v="1"/>
    <x v="7"/>
    <x v="5"/>
    <x v="3"/>
    <x v="0"/>
    <x v="14"/>
    <n v="1"/>
  </r>
  <r>
    <x v="0"/>
    <x v="1"/>
    <x v="7"/>
    <x v="5"/>
    <x v="10"/>
    <x v="11"/>
    <x v="13"/>
    <n v="1"/>
  </r>
  <r>
    <x v="0"/>
    <x v="1"/>
    <x v="7"/>
    <x v="5"/>
    <x v="10"/>
    <x v="6"/>
    <x v="2"/>
    <n v="1"/>
  </r>
  <r>
    <x v="0"/>
    <x v="1"/>
    <x v="7"/>
    <x v="5"/>
    <x v="10"/>
    <x v="6"/>
    <x v="13"/>
    <n v="1"/>
  </r>
  <r>
    <x v="0"/>
    <x v="1"/>
    <x v="7"/>
    <x v="5"/>
    <x v="11"/>
    <x v="10"/>
    <x v="2"/>
    <n v="1"/>
  </r>
  <r>
    <x v="0"/>
    <x v="1"/>
    <x v="7"/>
    <x v="6"/>
    <x v="2"/>
    <x v="17"/>
    <x v="19"/>
    <n v="3"/>
  </r>
  <r>
    <x v="0"/>
    <x v="1"/>
    <x v="7"/>
    <x v="6"/>
    <x v="2"/>
    <x v="19"/>
    <x v="11"/>
    <n v="1"/>
  </r>
  <r>
    <x v="0"/>
    <x v="1"/>
    <x v="7"/>
    <x v="6"/>
    <x v="2"/>
    <x v="19"/>
    <x v="14"/>
    <n v="9"/>
  </r>
  <r>
    <x v="0"/>
    <x v="1"/>
    <x v="7"/>
    <x v="6"/>
    <x v="2"/>
    <x v="15"/>
    <x v="0"/>
    <n v="20"/>
  </r>
  <r>
    <x v="0"/>
    <x v="1"/>
    <x v="7"/>
    <x v="6"/>
    <x v="2"/>
    <x v="15"/>
    <x v="18"/>
    <n v="16"/>
  </r>
  <r>
    <x v="0"/>
    <x v="1"/>
    <x v="7"/>
    <x v="6"/>
    <x v="2"/>
    <x v="14"/>
    <x v="0"/>
    <n v="8"/>
  </r>
  <r>
    <x v="0"/>
    <x v="1"/>
    <x v="7"/>
    <x v="6"/>
    <x v="2"/>
    <x v="14"/>
    <x v="18"/>
    <n v="3"/>
  </r>
  <r>
    <x v="0"/>
    <x v="1"/>
    <x v="7"/>
    <x v="6"/>
    <x v="2"/>
    <x v="13"/>
    <x v="0"/>
    <n v="7"/>
  </r>
  <r>
    <x v="0"/>
    <x v="1"/>
    <x v="7"/>
    <x v="6"/>
    <x v="2"/>
    <x v="13"/>
    <x v="18"/>
    <n v="3"/>
  </r>
  <r>
    <x v="0"/>
    <x v="1"/>
    <x v="7"/>
    <x v="6"/>
    <x v="2"/>
    <x v="2"/>
    <x v="2"/>
    <n v="2"/>
  </r>
  <r>
    <x v="0"/>
    <x v="1"/>
    <x v="7"/>
    <x v="6"/>
    <x v="2"/>
    <x v="2"/>
    <x v="13"/>
    <n v="3"/>
  </r>
  <r>
    <x v="0"/>
    <x v="1"/>
    <x v="7"/>
    <x v="6"/>
    <x v="2"/>
    <x v="10"/>
    <x v="2"/>
    <n v="1"/>
  </r>
  <r>
    <x v="0"/>
    <x v="1"/>
    <x v="7"/>
    <x v="6"/>
    <x v="15"/>
    <x v="6"/>
    <x v="19"/>
    <n v="3"/>
  </r>
  <r>
    <x v="0"/>
    <x v="1"/>
    <x v="7"/>
    <x v="6"/>
    <x v="15"/>
    <x v="9"/>
    <x v="19"/>
    <n v="1"/>
  </r>
  <r>
    <x v="0"/>
    <x v="1"/>
    <x v="7"/>
    <x v="6"/>
    <x v="15"/>
    <x v="12"/>
    <x v="19"/>
    <n v="2"/>
  </r>
  <r>
    <x v="0"/>
    <x v="1"/>
    <x v="7"/>
    <x v="7"/>
    <x v="0"/>
    <x v="2"/>
    <x v="19"/>
    <n v="1"/>
  </r>
  <r>
    <x v="0"/>
    <x v="1"/>
    <x v="7"/>
    <x v="7"/>
    <x v="0"/>
    <x v="4"/>
    <x v="11"/>
    <n v="1"/>
  </r>
  <r>
    <x v="0"/>
    <x v="1"/>
    <x v="7"/>
    <x v="7"/>
    <x v="0"/>
    <x v="4"/>
    <x v="19"/>
    <n v="1"/>
  </r>
  <r>
    <x v="0"/>
    <x v="1"/>
    <x v="7"/>
    <x v="7"/>
    <x v="0"/>
    <x v="5"/>
    <x v="17"/>
    <n v="1"/>
  </r>
  <r>
    <x v="0"/>
    <x v="1"/>
    <x v="7"/>
    <x v="8"/>
    <x v="13"/>
    <x v="15"/>
    <x v="18"/>
    <n v="1"/>
  </r>
  <r>
    <x v="0"/>
    <x v="1"/>
    <x v="7"/>
    <x v="8"/>
    <x v="13"/>
    <x v="13"/>
    <x v="0"/>
    <n v="1"/>
  </r>
  <r>
    <x v="0"/>
    <x v="1"/>
    <x v="7"/>
    <x v="8"/>
    <x v="13"/>
    <x v="2"/>
    <x v="11"/>
    <n v="1"/>
  </r>
  <r>
    <x v="0"/>
    <x v="1"/>
    <x v="7"/>
    <x v="8"/>
    <x v="13"/>
    <x v="10"/>
    <x v="13"/>
    <n v="1"/>
  </r>
  <r>
    <x v="0"/>
    <x v="1"/>
    <x v="7"/>
    <x v="8"/>
    <x v="13"/>
    <x v="11"/>
    <x v="0"/>
    <n v="1"/>
  </r>
  <r>
    <x v="0"/>
    <x v="1"/>
    <x v="7"/>
    <x v="8"/>
    <x v="10"/>
    <x v="12"/>
    <x v="11"/>
    <n v="1"/>
  </r>
  <r>
    <x v="0"/>
    <x v="1"/>
    <x v="7"/>
    <x v="8"/>
    <x v="10"/>
    <x v="12"/>
    <x v="14"/>
    <n v="1"/>
  </r>
  <r>
    <x v="0"/>
    <x v="1"/>
    <x v="7"/>
    <x v="8"/>
    <x v="10"/>
    <x v="1"/>
    <x v="19"/>
    <n v="1"/>
  </r>
  <r>
    <x v="0"/>
    <x v="1"/>
    <x v="7"/>
    <x v="8"/>
    <x v="11"/>
    <x v="7"/>
    <x v="13"/>
    <n v="1"/>
  </r>
  <r>
    <x v="0"/>
    <x v="1"/>
    <x v="7"/>
    <x v="12"/>
    <x v="1"/>
    <x v="14"/>
    <x v="19"/>
    <n v="4"/>
  </r>
  <r>
    <x v="0"/>
    <x v="1"/>
    <x v="7"/>
    <x v="12"/>
    <x v="1"/>
    <x v="13"/>
    <x v="14"/>
    <n v="2"/>
  </r>
  <r>
    <x v="0"/>
    <x v="1"/>
    <x v="7"/>
    <x v="12"/>
    <x v="1"/>
    <x v="13"/>
    <x v="17"/>
    <n v="2"/>
  </r>
  <r>
    <x v="0"/>
    <x v="1"/>
    <x v="7"/>
    <x v="12"/>
    <x v="1"/>
    <x v="13"/>
    <x v="19"/>
    <n v="8"/>
  </r>
  <r>
    <x v="0"/>
    <x v="1"/>
    <x v="7"/>
    <x v="12"/>
    <x v="1"/>
    <x v="2"/>
    <x v="0"/>
    <n v="2"/>
  </r>
  <r>
    <x v="0"/>
    <x v="1"/>
    <x v="7"/>
    <x v="12"/>
    <x v="1"/>
    <x v="2"/>
    <x v="18"/>
    <n v="1"/>
  </r>
  <r>
    <x v="0"/>
    <x v="1"/>
    <x v="7"/>
    <x v="12"/>
    <x v="1"/>
    <x v="10"/>
    <x v="0"/>
    <n v="1"/>
  </r>
  <r>
    <x v="0"/>
    <x v="1"/>
    <x v="7"/>
    <x v="12"/>
    <x v="1"/>
    <x v="3"/>
    <x v="0"/>
    <n v="2"/>
  </r>
  <r>
    <x v="0"/>
    <x v="1"/>
    <x v="7"/>
    <x v="12"/>
    <x v="1"/>
    <x v="5"/>
    <x v="19"/>
    <n v="4"/>
  </r>
  <r>
    <x v="0"/>
    <x v="1"/>
    <x v="7"/>
    <x v="12"/>
    <x v="1"/>
    <x v="11"/>
    <x v="17"/>
    <n v="1"/>
  </r>
  <r>
    <x v="0"/>
    <x v="1"/>
    <x v="7"/>
    <x v="12"/>
    <x v="6"/>
    <x v="19"/>
    <x v="18"/>
    <n v="1"/>
  </r>
  <r>
    <x v="0"/>
    <x v="1"/>
    <x v="7"/>
    <x v="12"/>
    <x v="6"/>
    <x v="13"/>
    <x v="13"/>
    <n v="1"/>
  </r>
  <r>
    <x v="0"/>
    <x v="1"/>
    <x v="7"/>
    <x v="12"/>
    <x v="6"/>
    <x v="6"/>
    <x v="14"/>
    <n v="1"/>
  </r>
  <r>
    <x v="0"/>
    <x v="1"/>
    <x v="7"/>
    <x v="13"/>
    <x v="6"/>
    <x v="15"/>
    <x v="17"/>
    <n v="1"/>
  </r>
  <r>
    <x v="0"/>
    <x v="1"/>
    <x v="7"/>
    <x v="13"/>
    <x v="6"/>
    <x v="14"/>
    <x v="14"/>
    <n v="1"/>
  </r>
  <r>
    <x v="0"/>
    <x v="1"/>
    <x v="7"/>
    <x v="13"/>
    <x v="6"/>
    <x v="14"/>
    <x v="17"/>
    <n v="3"/>
  </r>
  <r>
    <x v="0"/>
    <x v="1"/>
    <x v="7"/>
    <x v="13"/>
    <x v="6"/>
    <x v="14"/>
    <x v="19"/>
    <n v="2"/>
  </r>
  <r>
    <x v="0"/>
    <x v="1"/>
    <x v="7"/>
    <x v="13"/>
    <x v="6"/>
    <x v="13"/>
    <x v="13"/>
    <n v="2"/>
  </r>
  <r>
    <x v="0"/>
    <x v="1"/>
    <x v="7"/>
    <x v="13"/>
    <x v="6"/>
    <x v="13"/>
    <x v="11"/>
    <n v="1"/>
  </r>
  <r>
    <x v="0"/>
    <x v="1"/>
    <x v="7"/>
    <x v="13"/>
    <x v="6"/>
    <x v="4"/>
    <x v="19"/>
    <n v="2"/>
  </r>
  <r>
    <x v="0"/>
    <x v="1"/>
    <x v="7"/>
    <x v="13"/>
    <x v="6"/>
    <x v="5"/>
    <x v="19"/>
    <n v="1"/>
  </r>
  <r>
    <x v="0"/>
    <x v="1"/>
    <x v="7"/>
    <x v="13"/>
    <x v="6"/>
    <x v="11"/>
    <x v="19"/>
    <n v="3"/>
  </r>
  <r>
    <x v="0"/>
    <x v="1"/>
    <x v="7"/>
    <x v="13"/>
    <x v="6"/>
    <x v="12"/>
    <x v="19"/>
    <n v="2"/>
  </r>
  <r>
    <x v="0"/>
    <x v="1"/>
    <x v="7"/>
    <x v="13"/>
    <x v="17"/>
    <x v="19"/>
    <x v="0"/>
    <n v="4"/>
  </r>
  <r>
    <x v="0"/>
    <x v="1"/>
    <x v="7"/>
    <x v="13"/>
    <x v="17"/>
    <x v="16"/>
    <x v="14"/>
    <n v="18"/>
  </r>
  <r>
    <x v="0"/>
    <x v="1"/>
    <x v="7"/>
    <x v="13"/>
    <x v="17"/>
    <x v="16"/>
    <x v="17"/>
    <n v="24"/>
  </r>
  <r>
    <x v="0"/>
    <x v="1"/>
    <x v="7"/>
    <x v="13"/>
    <x v="17"/>
    <x v="16"/>
    <x v="19"/>
    <n v="252"/>
  </r>
  <r>
    <x v="0"/>
    <x v="1"/>
    <x v="7"/>
    <x v="13"/>
    <x v="17"/>
    <x v="15"/>
    <x v="13"/>
    <n v="12"/>
  </r>
  <r>
    <x v="0"/>
    <x v="1"/>
    <x v="7"/>
    <x v="13"/>
    <x v="17"/>
    <x v="15"/>
    <x v="11"/>
    <n v="15"/>
  </r>
  <r>
    <x v="0"/>
    <x v="1"/>
    <x v="7"/>
    <x v="13"/>
    <x v="17"/>
    <x v="15"/>
    <x v="14"/>
    <n v="12"/>
  </r>
  <r>
    <x v="0"/>
    <x v="1"/>
    <x v="7"/>
    <x v="13"/>
    <x v="17"/>
    <x v="15"/>
    <x v="17"/>
    <n v="19"/>
  </r>
  <r>
    <x v="0"/>
    <x v="1"/>
    <x v="7"/>
    <x v="13"/>
    <x v="17"/>
    <x v="14"/>
    <x v="5"/>
    <n v="2"/>
  </r>
  <r>
    <x v="0"/>
    <x v="1"/>
    <x v="7"/>
    <x v="13"/>
    <x v="17"/>
    <x v="14"/>
    <x v="2"/>
    <n v="2"/>
  </r>
  <r>
    <x v="0"/>
    <x v="1"/>
    <x v="7"/>
    <x v="13"/>
    <x v="17"/>
    <x v="14"/>
    <x v="13"/>
    <n v="6"/>
  </r>
  <r>
    <x v="0"/>
    <x v="1"/>
    <x v="7"/>
    <x v="13"/>
    <x v="17"/>
    <x v="14"/>
    <x v="11"/>
    <n v="10"/>
  </r>
  <r>
    <x v="0"/>
    <x v="1"/>
    <x v="7"/>
    <x v="13"/>
    <x v="17"/>
    <x v="13"/>
    <x v="5"/>
    <n v="4"/>
  </r>
  <r>
    <x v="0"/>
    <x v="1"/>
    <x v="7"/>
    <x v="13"/>
    <x v="17"/>
    <x v="13"/>
    <x v="2"/>
    <n v="1"/>
  </r>
  <r>
    <x v="0"/>
    <x v="1"/>
    <x v="7"/>
    <x v="13"/>
    <x v="17"/>
    <x v="2"/>
    <x v="19"/>
    <n v="11"/>
  </r>
  <r>
    <x v="0"/>
    <x v="1"/>
    <x v="7"/>
    <x v="13"/>
    <x v="17"/>
    <x v="10"/>
    <x v="17"/>
    <n v="3"/>
  </r>
  <r>
    <x v="0"/>
    <x v="1"/>
    <x v="7"/>
    <x v="13"/>
    <x v="17"/>
    <x v="10"/>
    <x v="19"/>
    <n v="8"/>
  </r>
  <r>
    <x v="0"/>
    <x v="1"/>
    <x v="7"/>
    <x v="13"/>
    <x v="17"/>
    <x v="3"/>
    <x v="14"/>
    <n v="3"/>
  </r>
  <r>
    <x v="0"/>
    <x v="1"/>
    <x v="7"/>
    <x v="13"/>
    <x v="17"/>
    <x v="3"/>
    <x v="17"/>
    <n v="1"/>
  </r>
  <r>
    <x v="0"/>
    <x v="1"/>
    <x v="7"/>
    <x v="13"/>
    <x v="17"/>
    <x v="3"/>
    <x v="19"/>
    <n v="2"/>
  </r>
  <r>
    <x v="0"/>
    <x v="1"/>
    <x v="7"/>
    <x v="13"/>
    <x v="17"/>
    <x v="4"/>
    <x v="17"/>
    <n v="1"/>
  </r>
  <r>
    <x v="0"/>
    <x v="1"/>
    <x v="7"/>
    <x v="13"/>
    <x v="17"/>
    <x v="4"/>
    <x v="19"/>
    <n v="3"/>
  </r>
  <r>
    <x v="0"/>
    <x v="1"/>
    <x v="7"/>
    <x v="13"/>
    <x v="17"/>
    <x v="5"/>
    <x v="14"/>
    <n v="1"/>
  </r>
  <r>
    <x v="0"/>
    <x v="1"/>
    <x v="7"/>
    <x v="13"/>
    <x v="17"/>
    <x v="5"/>
    <x v="17"/>
    <n v="1"/>
  </r>
  <r>
    <x v="0"/>
    <x v="1"/>
    <x v="7"/>
    <x v="13"/>
    <x v="17"/>
    <x v="5"/>
    <x v="19"/>
    <n v="1"/>
  </r>
  <r>
    <x v="0"/>
    <x v="1"/>
    <x v="7"/>
    <x v="13"/>
    <x v="17"/>
    <x v="11"/>
    <x v="2"/>
    <n v="1"/>
  </r>
  <r>
    <x v="0"/>
    <x v="1"/>
    <x v="7"/>
    <x v="13"/>
    <x v="17"/>
    <x v="6"/>
    <x v="14"/>
    <n v="1"/>
  </r>
  <r>
    <x v="0"/>
    <x v="1"/>
    <x v="7"/>
    <x v="18"/>
    <x v="8"/>
    <x v="11"/>
    <x v="17"/>
    <n v="1"/>
  </r>
  <r>
    <x v="0"/>
    <x v="1"/>
    <x v="7"/>
    <x v="18"/>
    <x v="8"/>
    <x v="9"/>
    <x v="14"/>
    <n v="1"/>
  </r>
  <r>
    <x v="0"/>
    <x v="1"/>
    <x v="7"/>
    <x v="18"/>
    <x v="8"/>
    <x v="9"/>
    <x v="17"/>
    <n v="1"/>
  </r>
  <r>
    <x v="0"/>
    <x v="1"/>
    <x v="7"/>
    <x v="18"/>
    <x v="8"/>
    <x v="9"/>
    <x v="19"/>
    <n v="1"/>
  </r>
  <r>
    <x v="0"/>
    <x v="1"/>
    <x v="7"/>
    <x v="18"/>
    <x v="8"/>
    <x v="12"/>
    <x v="19"/>
    <n v="1"/>
  </r>
  <r>
    <x v="0"/>
    <x v="1"/>
    <x v="7"/>
    <x v="18"/>
    <x v="8"/>
    <x v="1"/>
    <x v="13"/>
    <n v="1"/>
  </r>
  <r>
    <x v="0"/>
    <x v="1"/>
    <x v="7"/>
    <x v="18"/>
    <x v="8"/>
    <x v="1"/>
    <x v="19"/>
    <n v="1"/>
  </r>
  <r>
    <x v="0"/>
    <x v="1"/>
    <x v="7"/>
    <x v="17"/>
    <x v="9"/>
    <x v="18"/>
    <x v="19"/>
    <n v="4"/>
  </r>
  <r>
    <x v="0"/>
    <x v="1"/>
    <x v="7"/>
    <x v="17"/>
    <x v="9"/>
    <x v="16"/>
    <x v="18"/>
    <n v="1"/>
  </r>
  <r>
    <x v="0"/>
    <x v="1"/>
    <x v="7"/>
    <x v="17"/>
    <x v="9"/>
    <x v="2"/>
    <x v="0"/>
    <n v="1"/>
  </r>
  <r>
    <x v="0"/>
    <x v="1"/>
    <x v="7"/>
    <x v="17"/>
    <x v="9"/>
    <x v="10"/>
    <x v="0"/>
    <n v="2"/>
  </r>
  <r>
    <x v="0"/>
    <x v="1"/>
    <x v="7"/>
    <x v="17"/>
    <x v="9"/>
    <x v="10"/>
    <x v="18"/>
    <n v="1"/>
  </r>
  <r>
    <x v="0"/>
    <x v="1"/>
    <x v="7"/>
    <x v="17"/>
    <x v="9"/>
    <x v="4"/>
    <x v="0"/>
    <n v="1"/>
  </r>
  <r>
    <x v="0"/>
    <x v="1"/>
    <x v="7"/>
    <x v="17"/>
    <x v="9"/>
    <x v="11"/>
    <x v="19"/>
    <n v="1"/>
  </r>
  <r>
    <x v="0"/>
    <x v="1"/>
    <x v="7"/>
    <x v="17"/>
    <x v="9"/>
    <x v="9"/>
    <x v="19"/>
    <n v="1"/>
  </r>
  <r>
    <x v="0"/>
    <x v="1"/>
    <x v="7"/>
    <x v="17"/>
    <x v="9"/>
    <x v="1"/>
    <x v="19"/>
    <n v="1"/>
  </r>
  <r>
    <x v="0"/>
    <x v="1"/>
    <x v="7"/>
    <x v="19"/>
    <x v="14"/>
    <x v="11"/>
    <x v="19"/>
    <n v="1"/>
  </r>
  <r>
    <x v="0"/>
    <x v="1"/>
    <x v="7"/>
    <x v="19"/>
    <x v="7"/>
    <x v="17"/>
    <x v="0"/>
    <n v="1"/>
  </r>
  <r>
    <x v="0"/>
    <x v="1"/>
    <x v="7"/>
    <x v="19"/>
    <x v="7"/>
    <x v="18"/>
    <x v="0"/>
    <n v="5"/>
  </r>
  <r>
    <x v="0"/>
    <x v="1"/>
    <x v="7"/>
    <x v="19"/>
    <x v="7"/>
    <x v="18"/>
    <x v="18"/>
    <n v="4"/>
  </r>
  <r>
    <x v="0"/>
    <x v="1"/>
    <x v="7"/>
    <x v="19"/>
    <x v="7"/>
    <x v="19"/>
    <x v="0"/>
    <n v="12"/>
  </r>
  <r>
    <x v="0"/>
    <x v="1"/>
    <x v="7"/>
    <x v="19"/>
    <x v="7"/>
    <x v="16"/>
    <x v="14"/>
    <n v="12"/>
  </r>
  <r>
    <x v="0"/>
    <x v="1"/>
    <x v="7"/>
    <x v="19"/>
    <x v="7"/>
    <x v="16"/>
    <x v="17"/>
    <n v="4"/>
  </r>
  <r>
    <x v="0"/>
    <x v="1"/>
    <x v="7"/>
    <x v="19"/>
    <x v="7"/>
    <x v="16"/>
    <x v="19"/>
    <n v="1"/>
  </r>
  <r>
    <x v="0"/>
    <x v="1"/>
    <x v="7"/>
    <x v="19"/>
    <x v="7"/>
    <x v="15"/>
    <x v="13"/>
    <n v="7"/>
  </r>
  <r>
    <x v="0"/>
    <x v="1"/>
    <x v="7"/>
    <x v="19"/>
    <x v="7"/>
    <x v="15"/>
    <x v="11"/>
    <n v="11"/>
  </r>
  <r>
    <x v="0"/>
    <x v="1"/>
    <x v="7"/>
    <x v="19"/>
    <x v="7"/>
    <x v="15"/>
    <x v="14"/>
    <n v="5"/>
  </r>
  <r>
    <x v="0"/>
    <x v="1"/>
    <x v="7"/>
    <x v="19"/>
    <x v="7"/>
    <x v="15"/>
    <x v="17"/>
    <n v="3"/>
  </r>
  <r>
    <x v="0"/>
    <x v="1"/>
    <x v="7"/>
    <x v="19"/>
    <x v="7"/>
    <x v="14"/>
    <x v="5"/>
    <n v="7"/>
  </r>
  <r>
    <x v="0"/>
    <x v="1"/>
    <x v="7"/>
    <x v="19"/>
    <x v="7"/>
    <x v="14"/>
    <x v="2"/>
    <n v="11"/>
  </r>
  <r>
    <x v="0"/>
    <x v="1"/>
    <x v="7"/>
    <x v="19"/>
    <x v="7"/>
    <x v="14"/>
    <x v="13"/>
    <n v="11"/>
  </r>
  <r>
    <x v="0"/>
    <x v="1"/>
    <x v="7"/>
    <x v="19"/>
    <x v="7"/>
    <x v="14"/>
    <x v="11"/>
    <n v="8"/>
  </r>
  <r>
    <x v="0"/>
    <x v="1"/>
    <x v="7"/>
    <x v="19"/>
    <x v="7"/>
    <x v="13"/>
    <x v="4"/>
    <n v="3"/>
  </r>
  <r>
    <x v="0"/>
    <x v="1"/>
    <x v="7"/>
    <x v="19"/>
    <x v="7"/>
    <x v="13"/>
    <x v="5"/>
    <n v="10"/>
  </r>
  <r>
    <x v="0"/>
    <x v="1"/>
    <x v="7"/>
    <x v="19"/>
    <x v="7"/>
    <x v="13"/>
    <x v="2"/>
    <n v="5"/>
  </r>
  <r>
    <x v="0"/>
    <x v="1"/>
    <x v="7"/>
    <x v="19"/>
    <x v="10"/>
    <x v="5"/>
    <x v="2"/>
    <n v="1"/>
  </r>
  <r>
    <x v="0"/>
    <x v="1"/>
    <x v="7"/>
    <x v="19"/>
    <x v="10"/>
    <x v="11"/>
    <x v="11"/>
    <n v="2"/>
  </r>
  <r>
    <x v="0"/>
    <x v="1"/>
    <x v="7"/>
    <x v="19"/>
    <x v="10"/>
    <x v="6"/>
    <x v="13"/>
    <n v="1"/>
  </r>
  <r>
    <x v="0"/>
    <x v="2"/>
    <x v="0"/>
    <x v="2"/>
    <x v="6"/>
    <x v="11"/>
    <x v="6"/>
    <n v="1"/>
  </r>
  <r>
    <x v="0"/>
    <x v="2"/>
    <x v="0"/>
    <x v="7"/>
    <x v="12"/>
    <x v="0"/>
    <x v="1"/>
    <n v="1"/>
  </r>
  <r>
    <x v="0"/>
    <x v="2"/>
    <x v="0"/>
    <x v="11"/>
    <x v="8"/>
    <x v="5"/>
    <x v="8"/>
    <n v="2"/>
  </r>
  <r>
    <x v="0"/>
    <x v="2"/>
    <x v="0"/>
    <x v="11"/>
    <x v="8"/>
    <x v="11"/>
    <x v="8"/>
    <n v="1"/>
  </r>
  <r>
    <x v="0"/>
    <x v="2"/>
    <x v="0"/>
    <x v="13"/>
    <x v="17"/>
    <x v="5"/>
    <x v="10"/>
    <n v="1"/>
  </r>
  <r>
    <x v="0"/>
    <x v="2"/>
    <x v="0"/>
    <x v="19"/>
    <x v="7"/>
    <x v="2"/>
    <x v="16"/>
    <n v="2"/>
  </r>
  <r>
    <x v="0"/>
    <x v="2"/>
    <x v="0"/>
    <x v="19"/>
    <x v="7"/>
    <x v="2"/>
    <x v="15"/>
    <n v="4"/>
  </r>
  <r>
    <x v="0"/>
    <x v="2"/>
    <x v="0"/>
    <x v="19"/>
    <x v="7"/>
    <x v="10"/>
    <x v="15"/>
    <n v="1"/>
  </r>
  <r>
    <x v="0"/>
    <x v="2"/>
    <x v="1"/>
    <x v="3"/>
    <x v="8"/>
    <x v="13"/>
    <x v="18"/>
    <n v="1"/>
  </r>
  <r>
    <x v="0"/>
    <x v="2"/>
    <x v="1"/>
    <x v="4"/>
    <x v="8"/>
    <x v="3"/>
    <x v="12"/>
    <n v="1"/>
  </r>
  <r>
    <x v="0"/>
    <x v="2"/>
    <x v="1"/>
    <x v="4"/>
    <x v="19"/>
    <x v="0"/>
    <x v="11"/>
    <n v="1"/>
  </r>
  <r>
    <x v="0"/>
    <x v="2"/>
    <x v="1"/>
    <x v="6"/>
    <x v="8"/>
    <x v="17"/>
    <x v="5"/>
    <n v="2"/>
  </r>
  <r>
    <x v="0"/>
    <x v="2"/>
    <x v="1"/>
    <x v="6"/>
    <x v="8"/>
    <x v="19"/>
    <x v="4"/>
    <n v="2"/>
  </r>
  <r>
    <x v="0"/>
    <x v="2"/>
    <x v="1"/>
    <x v="9"/>
    <x v="10"/>
    <x v="19"/>
    <x v="4"/>
    <n v="1"/>
  </r>
  <r>
    <x v="0"/>
    <x v="2"/>
    <x v="1"/>
    <x v="9"/>
    <x v="10"/>
    <x v="15"/>
    <x v="18"/>
    <n v="1"/>
  </r>
  <r>
    <x v="0"/>
    <x v="2"/>
    <x v="1"/>
    <x v="8"/>
    <x v="7"/>
    <x v="19"/>
    <x v="2"/>
    <n v="1"/>
  </r>
  <r>
    <x v="0"/>
    <x v="2"/>
    <x v="1"/>
    <x v="8"/>
    <x v="7"/>
    <x v="16"/>
    <x v="0"/>
    <n v="1"/>
  </r>
  <r>
    <x v="0"/>
    <x v="2"/>
    <x v="1"/>
    <x v="11"/>
    <x v="7"/>
    <x v="11"/>
    <x v="19"/>
    <n v="1"/>
  </r>
  <r>
    <x v="0"/>
    <x v="2"/>
    <x v="1"/>
    <x v="11"/>
    <x v="7"/>
    <x v="0"/>
    <x v="11"/>
    <n v="1"/>
  </r>
  <r>
    <x v="0"/>
    <x v="2"/>
    <x v="1"/>
    <x v="13"/>
    <x v="0"/>
    <x v="17"/>
    <x v="0"/>
    <n v="1"/>
  </r>
  <r>
    <x v="0"/>
    <x v="2"/>
    <x v="1"/>
    <x v="13"/>
    <x v="0"/>
    <x v="14"/>
    <x v="13"/>
    <n v="1"/>
  </r>
  <r>
    <x v="0"/>
    <x v="2"/>
    <x v="1"/>
    <x v="13"/>
    <x v="0"/>
    <x v="14"/>
    <x v="17"/>
    <n v="1"/>
  </r>
  <r>
    <x v="0"/>
    <x v="2"/>
    <x v="1"/>
    <x v="13"/>
    <x v="0"/>
    <x v="13"/>
    <x v="11"/>
    <n v="1"/>
  </r>
  <r>
    <x v="0"/>
    <x v="2"/>
    <x v="1"/>
    <x v="13"/>
    <x v="17"/>
    <x v="5"/>
    <x v="14"/>
    <n v="1"/>
  </r>
  <r>
    <x v="0"/>
    <x v="2"/>
    <x v="1"/>
    <x v="19"/>
    <x v="7"/>
    <x v="18"/>
    <x v="9"/>
    <n v="1"/>
  </r>
  <r>
    <x v="0"/>
    <x v="2"/>
    <x v="1"/>
    <x v="19"/>
    <x v="7"/>
    <x v="19"/>
    <x v="9"/>
    <n v="1"/>
  </r>
  <r>
    <x v="0"/>
    <x v="2"/>
    <x v="1"/>
    <x v="19"/>
    <x v="7"/>
    <x v="13"/>
    <x v="10"/>
    <n v="2"/>
  </r>
  <r>
    <x v="0"/>
    <x v="2"/>
    <x v="2"/>
    <x v="0"/>
    <x v="9"/>
    <x v="0"/>
    <x v="19"/>
    <n v="3"/>
  </r>
  <r>
    <x v="0"/>
    <x v="2"/>
    <x v="2"/>
    <x v="4"/>
    <x v="11"/>
    <x v="0"/>
    <x v="19"/>
    <n v="2"/>
  </r>
  <r>
    <x v="0"/>
    <x v="2"/>
    <x v="2"/>
    <x v="5"/>
    <x v="13"/>
    <x v="0"/>
    <x v="19"/>
    <n v="3"/>
  </r>
  <r>
    <x v="0"/>
    <x v="2"/>
    <x v="2"/>
    <x v="7"/>
    <x v="12"/>
    <x v="0"/>
    <x v="3"/>
    <n v="1"/>
  </r>
  <r>
    <x v="0"/>
    <x v="2"/>
    <x v="2"/>
    <x v="15"/>
    <x v="5"/>
    <x v="0"/>
    <x v="19"/>
    <n v="2"/>
  </r>
  <r>
    <x v="0"/>
    <x v="2"/>
    <x v="3"/>
    <x v="4"/>
    <x v="9"/>
    <x v="0"/>
    <x v="12"/>
    <n v="1"/>
  </r>
  <r>
    <x v="0"/>
    <x v="2"/>
    <x v="3"/>
    <x v="15"/>
    <x v="4"/>
    <x v="0"/>
    <x v="19"/>
    <n v="1"/>
  </r>
  <r>
    <x v="0"/>
    <x v="2"/>
    <x v="3"/>
    <x v="19"/>
    <x v="12"/>
    <x v="0"/>
    <x v="10"/>
    <n v="1"/>
  </r>
  <r>
    <x v="0"/>
    <x v="2"/>
    <x v="4"/>
    <x v="2"/>
    <x v="6"/>
    <x v="1"/>
    <x v="6"/>
    <n v="1"/>
  </r>
  <r>
    <x v="0"/>
    <x v="2"/>
    <x v="4"/>
    <x v="2"/>
    <x v="6"/>
    <x v="1"/>
    <x v="10"/>
    <n v="1"/>
  </r>
  <r>
    <x v="0"/>
    <x v="2"/>
    <x v="4"/>
    <x v="2"/>
    <x v="6"/>
    <x v="0"/>
    <x v="1"/>
    <n v="1"/>
  </r>
  <r>
    <x v="0"/>
    <x v="2"/>
    <x v="4"/>
    <x v="4"/>
    <x v="1"/>
    <x v="0"/>
    <x v="7"/>
    <n v="1"/>
  </r>
  <r>
    <x v="0"/>
    <x v="2"/>
    <x v="4"/>
    <x v="5"/>
    <x v="5"/>
    <x v="7"/>
    <x v="1"/>
    <n v="1"/>
  </r>
  <r>
    <x v="0"/>
    <x v="2"/>
    <x v="4"/>
    <x v="5"/>
    <x v="13"/>
    <x v="0"/>
    <x v="18"/>
    <n v="1"/>
  </r>
  <r>
    <x v="0"/>
    <x v="2"/>
    <x v="4"/>
    <x v="5"/>
    <x v="9"/>
    <x v="0"/>
    <x v="0"/>
    <n v="1"/>
  </r>
  <r>
    <x v="0"/>
    <x v="2"/>
    <x v="4"/>
    <x v="12"/>
    <x v="2"/>
    <x v="0"/>
    <x v="11"/>
    <n v="1"/>
  </r>
  <r>
    <x v="0"/>
    <x v="2"/>
    <x v="4"/>
    <x v="12"/>
    <x v="2"/>
    <x v="0"/>
    <x v="14"/>
    <n v="1"/>
  </r>
  <r>
    <x v="0"/>
    <x v="2"/>
    <x v="4"/>
    <x v="13"/>
    <x v="1"/>
    <x v="0"/>
    <x v="0"/>
    <n v="1"/>
  </r>
  <r>
    <x v="0"/>
    <x v="2"/>
    <x v="4"/>
    <x v="13"/>
    <x v="1"/>
    <x v="0"/>
    <x v="18"/>
    <n v="2"/>
  </r>
  <r>
    <x v="0"/>
    <x v="2"/>
    <x v="4"/>
    <x v="14"/>
    <x v="16"/>
    <x v="11"/>
    <x v="6"/>
    <n v="1"/>
  </r>
  <r>
    <x v="0"/>
    <x v="2"/>
    <x v="4"/>
    <x v="14"/>
    <x v="16"/>
    <x v="9"/>
    <x v="7"/>
    <n v="1"/>
  </r>
  <r>
    <x v="0"/>
    <x v="2"/>
    <x v="4"/>
    <x v="14"/>
    <x v="16"/>
    <x v="1"/>
    <x v="7"/>
    <n v="2"/>
  </r>
  <r>
    <x v="0"/>
    <x v="2"/>
    <x v="4"/>
    <x v="14"/>
    <x v="5"/>
    <x v="7"/>
    <x v="11"/>
    <n v="1"/>
  </r>
  <r>
    <x v="0"/>
    <x v="2"/>
    <x v="4"/>
    <x v="14"/>
    <x v="5"/>
    <x v="8"/>
    <x v="5"/>
    <n v="1"/>
  </r>
  <r>
    <x v="0"/>
    <x v="2"/>
    <x v="4"/>
    <x v="18"/>
    <x v="12"/>
    <x v="0"/>
    <x v="17"/>
    <n v="1"/>
  </r>
  <r>
    <x v="0"/>
    <x v="2"/>
    <x v="4"/>
    <x v="18"/>
    <x v="14"/>
    <x v="0"/>
    <x v="9"/>
    <n v="2"/>
  </r>
  <r>
    <x v="0"/>
    <x v="2"/>
    <x v="4"/>
    <x v="17"/>
    <x v="12"/>
    <x v="7"/>
    <x v="19"/>
    <n v="1"/>
  </r>
  <r>
    <x v="0"/>
    <x v="2"/>
    <x v="4"/>
    <x v="17"/>
    <x v="2"/>
    <x v="0"/>
    <x v="19"/>
    <n v="1"/>
  </r>
  <r>
    <x v="0"/>
    <x v="2"/>
    <x v="5"/>
    <x v="5"/>
    <x v="8"/>
    <x v="2"/>
    <x v="19"/>
    <n v="1"/>
  </r>
  <r>
    <x v="0"/>
    <x v="2"/>
    <x v="5"/>
    <x v="5"/>
    <x v="8"/>
    <x v="7"/>
    <x v="19"/>
    <n v="1"/>
  </r>
  <r>
    <x v="0"/>
    <x v="2"/>
    <x v="5"/>
    <x v="5"/>
    <x v="6"/>
    <x v="18"/>
    <x v="19"/>
    <n v="1"/>
  </r>
  <r>
    <x v="0"/>
    <x v="2"/>
    <x v="5"/>
    <x v="5"/>
    <x v="6"/>
    <x v="19"/>
    <x v="19"/>
    <n v="1"/>
  </r>
  <r>
    <x v="0"/>
    <x v="2"/>
    <x v="5"/>
    <x v="8"/>
    <x v="13"/>
    <x v="11"/>
    <x v="19"/>
    <n v="1"/>
  </r>
  <r>
    <x v="0"/>
    <x v="2"/>
    <x v="5"/>
    <x v="8"/>
    <x v="7"/>
    <x v="10"/>
    <x v="19"/>
    <n v="1"/>
  </r>
  <r>
    <x v="0"/>
    <x v="2"/>
    <x v="5"/>
    <x v="8"/>
    <x v="18"/>
    <x v="15"/>
    <x v="19"/>
    <n v="6"/>
  </r>
  <r>
    <x v="0"/>
    <x v="2"/>
    <x v="5"/>
    <x v="8"/>
    <x v="18"/>
    <x v="14"/>
    <x v="19"/>
    <n v="2"/>
  </r>
  <r>
    <x v="0"/>
    <x v="2"/>
    <x v="5"/>
    <x v="8"/>
    <x v="18"/>
    <x v="13"/>
    <x v="19"/>
    <n v="9"/>
  </r>
  <r>
    <x v="0"/>
    <x v="2"/>
    <x v="5"/>
    <x v="13"/>
    <x v="17"/>
    <x v="14"/>
    <x v="0"/>
    <n v="1"/>
  </r>
  <r>
    <x v="0"/>
    <x v="2"/>
    <x v="5"/>
    <x v="17"/>
    <x v="2"/>
    <x v="6"/>
    <x v="19"/>
    <n v="1"/>
  </r>
  <r>
    <x v="0"/>
    <x v="2"/>
    <x v="5"/>
    <x v="17"/>
    <x v="2"/>
    <x v="9"/>
    <x v="17"/>
    <n v="1"/>
  </r>
  <r>
    <x v="0"/>
    <x v="2"/>
    <x v="5"/>
    <x v="17"/>
    <x v="2"/>
    <x v="9"/>
    <x v="19"/>
    <n v="1"/>
  </r>
  <r>
    <x v="0"/>
    <x v="2"/>
    <x v="6"/>
    <x v="0"/>
    <x v="12"/>
    <x v="2"/>
    <x v="19"/>
    <n v="1"/>
  </r>
  <r>
    <x v="0"/>
    <x v="2"/>
    <x v="6"/>
    <x v="3"/>
    <x v="8"/>
    <x v="19"/>
    <x v="19"/>
    <n v="1"/>
  </r>
  <r>
    <x v="0"/>
    <x v="2"/>
    <x v="7"/>
    <x v="8"/>
    <x v="18"/>
    <x v="6"/>
    <x v="19"/>
    <n v="1"/>
  </r>
  <r>
    <x v="0"/>
    <x v="2"/>
    <x v="7"/>
    <x v="13"/>
    <x v="6"/>
    <x v="2"/>
    <x v="19"/>
    <n v="1"/>
  </r>
  <r>
    <x v="0"/>
    <x v="2"/>
    <x v="7"/>
    <x v="13"/>
    <x v="17"/>
    <x v="19"/>
    <x v="19"/>
    <n v="2"/>
  </r>
  <r>
    <x v="0"/>
    <x v="2"/>
    <x v="7"/>
    <x v="17"/>
    <x v="9"/>
    <x v="5"/>
    <x v="19"/>
    <n v="1"/>
  </r>
  <r>
    <x v="0"/>
    <x v="2"/>
    <x v="7"/>
    <x v="17"/>
    <x v="9"/>
    <x v="11"/>
    <x v="19"/>
    <n v="1"/>
  </r>
  <r>
    <x v="0"/>
    <x v="3"/>
    <x v="0"/>
    <x v="0"/>
    <x v="1"/>
    <x v="9"/>
    <x v="8"/>
    <n v="1"/>
  </r>
  <r>
    <x v="0"/>
    <x v="3"/>
    <x v="0"/>
    <x v="0"/>
    <x v="1"/>
    <x v="9"/>
    <x v="7"/>
    <n v="2"/>
  </r>
  <r>
    <x v="0"/>
    <x v="1"/>
    <x v="5"/>
    <x v="17"/>
    <x v="2"/>
    <x v="1"/>
    <x v="19"/>
    <n v="1"/>
  </r>
  <r>
    <x v="0"/>
    <x v="1"/>
    <x v="5"/>
    <x v="17"/>
    <x v="2"/>
    <x v="0"/>
    <x v="19"/>
    <n v="2"/>
  </r>
  <r>
    <x v="0"/>
    <x v="1"/>
    <x v="5"/>
    <x v="17"/>
    <x v="9"/>
    <x v="2"/>
    <x v="13"/>
    <n v="2"/>
  </r>
  <r>
    <x v="0"/>
    <x v="1"/>
    <x v="5"/>
    <x v="17"/>
    <x v="9"/>
    <x v="11"/>
    <x v="0"/>
    <n v="1"/>
  </r>
  <r>
    <x v="0"/>
    <x v="1"/>
    <x v="5"/>
    <x v="17"/>
    <x v="9"/>
    <x v="6"/>
    <x v="0"/>
    <n v="1"/>
  </r>
  <r>
    <x v="0"/>
    <x v="1"/>
    <x v="5"/>
    <x v="17"/>
    <x v="9"/>
    <x v="9"/>
    <x v="0"/>
    <n v="1"/>
  </r>
  <r>
    <x v="0"/>
    <x v="1"/>
    <x v="5"/>
    <x v="19"/>
    <x v="7"/>
    <x v="19"/>
    <x v="0"/>
    <n v="1"/>
  </r>
  <r>
    <x v="0"/>
    <x v="1"/>
    <x v="5"/>
    <x v="19"/>
    <x v="10"/>
    <x v="11"/>
    <x v="11"/>
    <n v="1"/>
  </r>
  <r>
    <x v="0"/>
    <x v="1"/>
    <x v="5"/>
    <x v="19"/>
    <x v="10"/>
    <x v="6"/>
    <x v="11"/>
    <n v="1"/>
  </r>
  <r>
    <x v="0"/>
    <x v="1"/>
    <x v="5"/>
    <x v="19"/>
    <x v="10"/>
    <x v="9"/>
    <x v="11"/>
    <n v="1"/>
  </r>
  <r>
    <x v="0"/>
    <x v="1"/>
    <x v="5"/>
    <x v="19"/>
    <x v="10"/>
    <x v="9"/>
    <x v="14"/>
    <n v="1"/>
  </r>
  <r>
    <x v="0"/>
    <x v="1"/>
    <x v="5"/>
    <x v="19"/>
    <x v="10"/>
    <x v="12"/>
    <x v="11"/>
    <n v="1"/>
  </r>
  <r>
    <x v="0"/>
    <x v="1"/>
    <x v="6"/>
    <x v="0"/>
    <x v="12"/>
    <x v="18"/>
    <x v="19"/>
    <n v="3136"/>
  </r>
  <r>
    <x v="0"/>
    <x v="1"/>
    <x v="6"/>
    <x v="0"/>
    <x v="12"/>
    <x v="19"/>
    <x v="17"/>
    <n v="9"/>
  </r>
  <r>
    <x v="0"/>
    <x v="1"/>
    <x v="6"/>
    <x v="0"/>
    <x v="12"/>
    <x v="19"/>
    <x v="19"/>
    <n v="1162"/>
  </r>
  <r>
    <x v="0"/>
    <x v="1"/>
    <x v="6"/>
    <x v="0"/>
    <x v="12"/>
    <x v="14"/>
    <x v="18"/>
    <n v="1"/>
  </r>
  <r>
    <x v="0"/>
    <x v="1"/>
    <x v="6"/>
    <x v="0"/>
    <x v="12"/>
    <x v="13"/>
    <x v="18"/>
    <n v="1"/>
  </r>
  <r>
    <x v="0"/>
    <x v="1"/>
    <x v="6"/>
    <x v="1"/>
    <x v="2"/>
    <x v="15"/>
    <x v="18"/>
    <n v="1"/>
  </r>
  <r>
    <x v="0"/>
    <x v="1"/>
    <x v="6"/>
    <x v="3"/>
    <x v="8"/>
    <x v="19"/>
    <x v="19"/>
    <n v="23"/>
  </r>
  <r>
    <x v="0"/>
    <x v="1"/>
    <x v="6"/>
    <x v="5"/>
    <x v="3"/>
    <x v="2"/>
    <x v="18"/>
    <n v="1"/>
  </r>
  <r>
    <x v="0"/>
    <x v="1"/>
    <x v="6"/>
    <x v="5"/>
    <x v="3"/>
    <x v="9"/>
    <x v="19"/>
    <n v="2"/>
  </r>
  <r>
    <x v="0"/>
    <x v="1"/>
    <x v="6"/>
    <x v="6"/>
    <x v="2"/>
    <x v="14"/>
    <x v="18"/>
    <n v="1"/>
  </r>
  <r>
    <x v="0"/>
    <x v="1"/>
    <x v="6"/>
    <x v="6"/>
    <x v="2"/>
    <x v="13"/>
    <x v="18"/>
    <n v="1"/>
  </r>
  <r>
    <x v="0"/>
    <x v="1"/>
    <x v="6"/>
    <x v="6"/>
    <x v="2"/>
    <x v="2"/>
    <x v="19"/>
    <n v="2"/>
  </r>
  <r>
    <x v="0"/>
    <x v="1"/>
    <x v="6"/>
    <x v="13"/>
    <x v="2"/>
    <x v="8"/>
    <x v="19"/>
    <n v="1"/>
  </r>
  <r>
    <x v="0"/>
    <x v="1"/>
    <x v="6"/>
    <x v="13"/>
    <x v="6"/>
    <x v="12"/>
    <x v="19"/>
    <n v="2"/>
  </r>
  <r>
    <x v="0"/>
    <x v="1"/>
    <x v="6"/>
    <x v="13"/>
    <x v="6"/>
    <x v="1"/>
    <x v="19"/>
    <n v="1"/>
  </r>
  <r>
    <x v="0"/>
    <x v="1"/>
    <x v="6"/>
    <x v="17"/>
    <x v="9"/>
    <x v="19"/>
    <x v="19"/>
    <n v="1"/>
  </r>
  <r>
    <x v="0"/>
    <x v="1"/>
    <x v="6"/>
    <x v="17"/>
    <x v="9"/>
    <x v="14"/>
    <x v="18"/>
    <n v="1"/>
  </r>
  <r>
    <x v="0"/>
    <x v="1"/>
    <x v="7"/>
    <x v="0"/>
    <x v="12"/>
    <x v="18"/>
    <x v="18"/>
    <n v="5"/>
  </r>
  <r>
    <x v="0"/>
    <x v="1"/>
    <x v="7"/>
    <x v="0"/>
    <x v="12"/>
    <x v="16"/>
    <x v="19"/>
    <n v="90"/>
  </r>
  <r>
    <x v="0"/>
    <x v="1"/>
    <x v="7"/>
    <x v="0"/>
    <x v="12"/>
    <x v="15"/>
    <x v="17"/>
    <n v="5"/>
  </r>
  <r>
    <x v="0"/>
    <x v="1"/>
    <x v="7"/>
    <x v="0"/>
    <x v="12"/>
    <x v="15"/>
    <x v="19"/>
    <n v="39"/>
  </r>
  <r>
    <x v="0"/>
    <x v="1"/>
    <x v="7"/>
    <x v="0"/>
    <x v="12"/>
    <x v="14"/>
    <x v="19"/>
    <n v="16"/>
  </r>
  <r>
    <x v="0"/>
    <x v="1"/>
    <x v="7"/>
    <x v="0"/>
    <x v="12"/>
    <x v="2"/>
    <x v="19"/>
    <n v="3"/>
  </r>
  <r>
    <x v="0"/>
    <x v="1"/>
    <x v="7"/>
    <x v="0"/>
    <x v="12"/>
    <x v="10"/>
    <x v="19"/>
    <n v="2"/>
  </r>
  <r>
    <x v="0"/>
    <x v="1"/>
    <x v="7"/>
    <x v="0"/>
    <x v="12"/>
    <x v="4"/>
    <x v="19"/>
    <n v="1"/>
  </r>
  <r>
    <x v="0"/>
    <x v="1"/>
    <x v="7"/>
    <x v="0"/>
    <x v="16"/>
    <x v="0"/>
    <x v="19"/>
    <n v="2"/>
  </r>
  <r>
    <x v="0"/>
    <x v="1"/>
    <x v="7"/>
    <x v="1"/>
    <x v="2"/>
    <x v="19"/>
    <x v="11"/>
    <n v="3"/>
  </r>
  <r>
    <x v="0"/>
    <x v="1"/>
    <x v="7"/>
    <x v="1"/>
    <x v="2"/>
    <x v="19"/>
    <x v="14"/>
    <n v="9"/>
  </r>
  <r>
    <x v="0"/>
    <x v="1"/>
    <x v="7"/>
    <x v="1"/>
    <x v="2"/>
    <x v="19"/>
    <x v="17"/>
    <n v="1"/>
  </r>
  <r>
    <x v="0"/>
    <x v="1"/>
    <x v="7"/>
    <x v="1"/>
    <x v="2"/>
    <x v="16"/>
    <x v="5"/>
    <n v="1"/>
  </r>
  <r>
    <x v="0"/>
    <x v="1"/>
    <x v="7"/>
    <x v="1"/>
    <x v="2"/>
    <x v="16"/>
    <x v="2"/>
    <n v="6"/>
  </r>
  <r>
    <x v="0"/>
    <x v="1"/>
    <x v="7"/>
    <x v="1"/>
    <x v="2"/>
    <x v="16"/>
    <x v="13"/>
    <n v="2"/>
  </r>
  <r>
    <x v="0"/>
    <x v="1"/>
    <x v="7"/>
    <x v="1"/>
    <x v="2"/>
    <x v="16"/>
    <x v="11"/>
    <n v="8"/>
  </r>
  <r>
    <x v="0"/>
    <x v="1"/>
    <x v="7"/>
    <x v="1"/>
    <x v="2"/>
    <x v="16"/>
    <x v="14"/>
    <n v="7"/>
  </r>
  <r>
    <x v="0"/>
    <x v="1"/>
    <x v="7"/>
    <x v="1"/>
    <x v="2"/>
    <x v="16"/>
    <x v="17"/>
    <n v="3"/>
  </r>
  <r>
    <x v="0"/>
    <x v="1"/>
    <x v="7"/>
    <x v="1"/>
    <x v="2"/>
    <x v="15"/>
    <x v="5"/>
    <n v="1"/>
  </r>
  <r>
    <x v="0"/>
    <x v="1"/>
    <x v="7"/>
    <x v="1"/>
    <x v="2"/>
    <x v="15"/>
    <x v="2"/>
    <n v="11"/>
  </r>
  <r>
    <x v="0"/>
    <x v="1"/>
    <x v="7"/>
    <x v="1"/>
    <x v="2"/>
    <x v="15"/>
    <x v="13"/>
    <n v="5"/>
  </r>
  <r>
    <x v="0"/>
    <x v="1"/>
    <x v="7"/>
    <x v="1"/>
    <x v="2"/>
    <x v="15"/>
    <x v="11"/>
    <n v="4"/>
  </r>
  <r>
    <x v="0"/>
    <x v="1"/>
    <x v="7"/>
    <x v="1"/>
    <x v="2"/>
    <x v="14"/>
    <x v="5"/>
    <n v="1"/>
  </r>
  <r>
    <x v="0"/>
    <x v="1"/>
    <x v="7"/>
    <x v="1"/>
    <x v="2"/>
    <x v="14"/>
    <x v="2"/>
    <n v="3"/>
  </r>
  <r>
    <x v="0"/>
    <x v="1"/>
    <x v="7"/>
    <x v="1"/>
    <x v="2"/>
    <x v="13"/>
    <x v="4"/>
    <n v="1"/>
  </r>
  <r>
    <x v="0"/>
    <x v="1"/>
    <x v="7"/>
    <x v="1"/>
    <x v="2"/>
    <x v="2"/>
    <x v="14"/>
    <n v="4"/>
  </r>
  <r>
    <x v="0"/>
    <x v="1"/>
    <x v="7"/>
    <x v="1"/>
    <x v="2"/>
    <x v="2"/>
    <x v="19"/>
    <n v="3"/>
  </r>
  <r>
    <x v="0"/>
    <x v="1"/>
    <x v="7"/>
    <x v="1"/>
    <x v="2"/>
    <x v="10"/>
    <x v="14"/>
    <n v="2"/>
  </r>
  <r>
    <x v="0"/>
    <x v="1"/>
    <x v="7"/>
    <x v="1"/>
    <x v="2"/>
    <x v="10"/>
    <x v="17"/>
    <n v="3"/>
  </r>
  <r>
    <x v="0"/>
    <x v="1"/>
    <x v="7"/>
    <x v="1"/>
    <x v="2"/>
    <x v="3"/>
    <x v="13"/>
    <n v="2"/>
  </r>
  <r>
    <x v="0"/>
    <x v="1"/>
    <x v="7"/>
    <x v="1"/>
    <x v="2"/>
    <x v="3"/>
    <x v="11"/>
    <n v="1"/>
  </r>
  <r>
    <x v="0"/>
    <x v="1"/>
    <x v="7"/>
    <x v="1"/>
    <x v="2"/>
    <x v="3"/>
    <x v="14"/>
    <n v="1"/>
  </r>
  <r>
    <x v="0"/>
    <x v="1"/>
    <x v="7"/>
    <x v="1"/>
    <x v="2"/>
    <x v="4"/>
    <x v="2"/>
    <n v="1"/>
  </r>
  <r>
    <x v="0"/>
    <x v="1"/>
    <x v="7"/>
    <x v="1"/>
    <x v="2"/>
    <x v="5"/>
    <x v="2"/>
    <n v="2"/>
  </r>
  <r>
    <x v="0"/>
    <x v="1"/>
    <x v="7"/>
    <x v="1"/>
    <x v="2"/>
    <x v="5"/>
    <x v="13"/>
    <n v="1"/>
  </r>
  <r>
    <x v="0"/>
    <x v="1"/>
    <x v="7"/>
    <x v="3"/>
    <x v="8"/>
    <x v="18"/>
    <x v="0"/>
    <n v="22"/>
  </r>
  <r>
    <x v="0"/>
    <x v="1"/>
    <x v="7"/>
    <x v="3"/>
    <x v="8"/>
    <x v="18"/>
    <x v="18"/>
    <n v="41"/>
  </r>
  <r>
    <x v="0"/>
    <x v="1"/>
    <x v="7"/>
    <x v="3"/>
    <x v="8"/>
    <x v="19"/>
    <x v="0"/>
    <n v="21"/>
  </r>
  <r>
    <x v="0"/>
    <x v="1"/>
    <x v="7"/>
    <x v="3"/>
    <x v="8"/>
    <x v="19"/>
    <x v="18"/>
    <n v="33"/>
  </r>
  <r>
    <x v="0"/>
    <x v="1"/>
    <x v="7"/>
    <x v="3"/>
    <x v="8"/>
    <x v="15"/>
    <x v="19"/>
    <n v="19"/>
  </r>
  <r>
    <x v="0"/>
    <x v="1"/>
    <x v="7"/>
    <x v="3"/>
    <x v="8"/>
    <x v="10"/>
    <x v="19"/>
    <n v="4"/>
  </r>
  <r>
    <x v="0"/>
    <x v="1"/>
    <x v="7"/>
    <x v="3"/>
    <x v="8"/>
    <x v="4"/>
    <x v="19"/>
    <n v="3"/>
  </r>
  <r>
    <x v="0"/>
    <x v="1"/>
    <x v="7"/>
    <x v="3"/>
    <x v="8"/>
    <x v="5"/>
    <x v="19"/>
    <n v="1"/>
  </r>
  <r>
    <x v="0"/>
    <x v="3"/>
    <x v="0"/>
    <x v="0"/>
    <x v="1"/>
    <x v="12"/>
    <x v="7"/>
    <n v="1"/>
  </r>
  <r>
    <x v="0"/>
    <x v="3"/>
    <x v="0"/>
    <x v="0"/>
    <x v="1"/>
    <x v="7"/>
    <x v="7"/>
    <n v="1"/>
  </r>
  <r>
    <x v="0"/>
    <x v="3"/>
    <x v="0"/>
    <x v="0"/>
    <x v="1"/>
    <x v="7"/>
    <x v="10"/>
    <n v="1"/>
  </r>
  <r>
    <x v="0"/>
    <x v="3"/>
    <x v="0"/>
    <x v="0"/>
    <x v="1"/>
    <x v="8"/>
    <x v="6"/>
    <n v="1"/>
  </r>
  <r>
    <x v="0"/>
    <x v="3"/>
    <x v="0"/>
    <x v="2"/>
    <x v="6"/>
    <x v="7"/>
    <x v="7"/>
    <n v="1"/>
  </r>
  <r>
    <x v="0"/>
    <x v="3"/>
    <x v="0"/>
    <x v="2"/>
    <x v="6"/>
    <x v="7"/>
    <x v="6"/>
    <n v="9"/>
  </r>
  <r>
    <x v="0"/>
    <x v="3"/>
    <x v="0"/>
    <x v="4"/>
    <x v="8"/>
    <x v="3"/>
    <x v="15"/>
    <n v="1"/>
  </r>
  <r>
    <x v="0"/>
    <x v="3"/>
    <x v="0"/>
    <x v="4"/>
    <x v="8"/>
    <x v="4"/>
    <x v="8"/>
    <n v="1"/>
  </r>
  <r>
    <x v="0"/>
    <x v="3"/>
    <x v="0"/>
    <x v="5"/>
    <x v="10"/>
    <x v="6"/>
    <x v="6"/>
    <n v="1"/>
  </r>
  <r>
    <x v="0"/>
    <x v="3"/>
    <x v="0"/>
    <x v="8"/>
    <x v="10"/>
    <x v="13"/>
    <x v="3"/>
    <n v="1"/>
  </r>
  <r>
    <x v="0"/>
    <x v="3"/>
    <x v="0"/>
    <x v="8"/>
    <x v="10"/>
    <x v="2"/>
    <x v="15"/>
    <n v="2"/>
  </r>
  <r>
    <x v="0"/>
    <x v="3"/>
    <x v="0"/>
    <x v="8"/>
    <x v="10"/>
    <x v="10"/>
    <x v="15"/>
    <n v="7"/>
  </r>
  <r>
    <x v="0"/>
    <x v="3"/>
    <x v="0"/>
    <x v="8"/>
    <x v="10"/>
    <x v="4"/>
    <x v="10"/>
    <n v="1"/>
  </r>
  <r>
    <x v="0"/>
    <x v="3"/>
    <x v="0"/>
    <x v="8"/>
    <x v="10"/>
    <x v="4"/>
    <x v="1"/>
    <n v="1"/>
  </r>
  <r>
    <x v="0"/>
    <x v="3"/>
    <x v="0"/>
    <x v="8"/>
    <x v="10"/>
    <x v="5"/>
    <x v="10"/>
    <n v="2"/>
  </r>
  <r>
    <x v="0"/>
    <x v="3"/>
    <x v="0"/>
    <x v="8"/>
    <x v="10"/>
    <x v="11"/>
    <x v="6"/>
    <n v="4"/>
  </r>
  <r>
    <x v="0"/>
    <x v="3"/>
    <x v="0"/>
    <x v="8"/>
    <x v="10"/>
    <x v="11"/>
    <x v="10"/>
    <n v="4"/>
  </r>
  <r>
    <x v="0"/>
    <x v="3"/>
    <x v="0"/>
    <x v="8"/>
    <x v="10"/>
    <x v="6"/>
    <x v="6"/>
    <n v="5"/>
  </r>
  <r>
    <x v="0"/>
    <x v="3"/>
    <x v="0"/>
    <x v="8"/>
    <x v="10"/>
    <x v="6"/>
    <x v="10"/>
    <n v="5"/>
  </r>
  <r>
    <x v="0"/>
    <x v="3"/>
    <x v="0"/>
    <x v="8"/>
    <x v="10"/>
    <x v="6"/>
    <x v="1"/>
    <n v="3"/>
  </r>
  <r>
    <x v="0"/>
    <x v="3"/>
    <x v="0"/>
    <x v="8"/>
    <x v="10"/>
    <x v="9"/>
    <x v="7"/>
    <n v="1"/>
  </r>
  <r>
    <x v="0"/>
    <x v="3"/>
    <x v="0"/>
    <x v="8"/>
    <x v="10"/>
    <x v="9"/>
    <x v="6"/>
    <n v="2"/>
  </r>
  <r>
    <x v="0"/>
    <x v="3"/>
    <x v="0"/>
    <x v="8"/>
    <x v="10"/>
    <x v="9"/>
    <x v="10"/>
    <n v="2"/>
  </r>
  <r>
    <x v="0"/>
    <x v="3"/>
    <x v="0"/>
    <x v="8"/>
    <x v="10"/>
    <x v="9"/>
    <x v="1"/>
    <n v="4"/>
  </r>
  <r>
    <x v="0"/>
    <x v="3"/>
    <x v="0"/>
    <x v="8"/>
    <x v="10"/>
    <x v="12"/>
    <x v="6"/>
    <n v="1"/>
  </r>
  <r>
    <x v="0"/>
    <x v="3"/>
    <x v="0"/>
    <x v="8"/>
    <x v="10"/>
    <x v="12"/>
    <x v="10"/>
    <n v="3"/>
  </r>
  <r>
    <x v="0"/>
    <x v="3"/>
    <x v="0"/>
    <x v="8"/>
    <x v="10"/>
    <x v="1"/>
    <x v="10"/>
    <n v="1"/>
  </r>
  <r>
    <x v="0"/>
    <x v="3"/>
    <x v="0"/>
    <x v="8"/>
    <x v="10"/>
    <x v="1"/>
    <x v="3"/>
    <n v="2"/>
  </r>
  <r>
    <x v="0"/>
    <x v="3"/>
    <x v="0"/>
    <x v="8"/>
    <x v="10"/>
    <x v="0"/>
    <x v="9"/>
    <n v="8"/>
  </r>
  <r>
    <x v="0"/>
    <x v="3"/>
    <x v="0"/>
    <x v="8"/>
    <x v="11"/>
    <x v="7"/>
    <x v="10"/>
    <n v="1"/>
  </r>
  <r>
    <x v="0"/>
    <x v="3"/>
    <x v="0"/>
    <x v="11"/>
    <x v="0"/>
    <x v="11"/>
    <x v="8"/>
    <n v="1"/>
  </r>
  <r>
    <x v="0"/>
    <x v="3"/>
    <x v="0"/>
    <x v="11"/>
    <x v="0"/>
    <x v="11"/>
    <x v="12"/>
    <n v="1"/>
  </r>
  <r>
    <x v="0"/>
    <x v="3"/>
    <x v="0"/>
    <x v="11"/>
    <x v="0"/>
    <x v="6"/>
    <x v="8"/>
    <n v="1"/>
  </r>
  <r>
    <x v="0"/>
    <x v="3"/>
    <x v="0"/>
    <x v="11"/>
    <x v="0"/>
    <x v="9"/>
    <x v="8"/>
    <n v="1"/>
  </r>
  <r>
    <x v="0"/>
    <x v="3"/>
    <x v="0"/>
    <x v="11"/>
    <x v="0"/>
    <x v="12"/>
    <x v="12"/>
    <n v="1"/>
  </r>
  <r>
    <x v="0"/>
    <x v="3"/>
    <x v="0"/>
    <x v="11"/>
    <x v="0"/>
    <x v="7"/>
    <x v="1"/>
    <n v="1"/>
  </r>
  <r>
    <x v="0"/>
    <x v="3"/>
    <x v="0"/>
    <x v="11"/>
    <x v="8"/>
    <x v="2"/>
    <x v="15"/>
    <n v="5"/>
  </r>
  <r>
    <x v="0"/>
    <x v="3"/>
    <x v="0"/>
    <x v="11"/>
    <x v="8"/>
    <x v="10"/>
    <x v="15"/>
    <n v="55"/>
  </r>
  <r>
    <x v="0"/>
    <x v="3"/>
    <x v="0"/>
    <x v="11"/>
    <x v="8"/>
    <x v="3"/>
    <x v="15"/>
    <n v="43"/>
  </r>
  <r>
    <x v="0"/>
    <x v="3"/>
    <x v="0"/>
    <x v="11"/>
    <x v="8"/>
    <x v="4"/>
    <x v="15"/>
    <n v="8"/>
  </r>
  <r>
    <x v="0"/>
    <x v="3"/>
    <x v="0"/>
    <x v="11"/>
    <x v="8"/>
    <x v="5"/>
    <x v="15"/>
    <n v="1"/>
  </r>
  <r>
    <x v="0"/>
    <x v="3"/>
    <x v="0"/>
    <x v="11"/>
    <x v="8"/>
    <x v="5"/>
    <x v="1"/>
    <n v="1"/>
  </r>
  <r>
    <x v="0"/>
    <x v="3"/>
    <x v="0"/>
    <x v="11"/>
    <x v="8"/>
    <x v="6"/>
    <x v="10"/>
    <n v="1"/>
  </r>
  <r>
    <x v="0"/>
    <x v="3"/>
    <x v="0"/>
    <x v="11"/>
    <x v="8"/>
    <x v="9"/>
    <x v="10"/>
    <n v="4"/>
  </r>
  <r>
    <x v="0"/>
    <x v="3"/>
    <x v="0"/>
    <x v="11"/>
    <x v="8"/>
    <x v="9"/>
    <x v="1"/>
    <n v="1"/>
  </r>
  <r>
    <x v="0"/>
    <x v="3"/>
    <x v="0"/>
    <x v="11"/>
    <x v="8"/>
    <x v="12"/>
    <x v="6"/>
    <n v="3"/>
  </r>
  <r>
    <x v="0"/>
    <x v="3"/>
    <x v="0"/>
    <x v="11"/>
    <x v="8"/>
    <x v="1"/>
    <x v="6"/>
    <n v="7"/>
  </r>
  <r>
    <x v="0"/>
    <x v="3"/>
    <x v="0"/>
    <x v="11"/>
    <x v="8"/>
    <x v="1"/>
    <x v="10"/>
    <n v="2"/>
  </r>
  <r>
    <x v="0"/>
    <x v="3"/>
    <x v="0"/>
    <x v="11"/>
    <x v="8"/>
    <x v="0"/>
    <x v="6"/>
    <n v="1"/>
  </r>
  <r>
    <x v="0"/>
    <x v="3"/>
    <x v="0"/>
    <x v="11"/>
    <x v="8"/>
    <x v="0"/>
    <x v="10"/>
    <n v="1"/>
  </r>
  <r>
    <x v="0"/>
    <x v="3"/>
    <x v="0"/>
    <x v="11"/>
    <x v="8"/>
    <x v="0"/>
    <x v="1"/>
    <n v="2"/>
  </r>
  <r>
    <x v="0"/>
    <x v="3"/>
    <x v="0"/>
    <x v="11"/>
    <x v="7"/>
    <x v="1"/>
    <x v="4"/>
    <n v="1"/>
  </r>
  <r>
    <x v="0"/>
    <x v="3"/>
    <x v="0"/>
    <x v="11"/>
    <x v="9"/>
    <x v="0"/>
    <x v="0"/>
    <n v="1"/>
  </r>
  <r>
    <x v="0"/>
    <x v="3"/>
    <x v="0"/>
    <x v="13"/>
    <x v="17"/>
    <x v="14"/>
    <x v="12"/>
    <n v="1"/>
  </r>
  <r>
    <x v="0"/>
    <x v="3"/>
    <x v="0"/>
    <x v="13"/>
    <x v="17"/>
    <x v="14"/>
    <x v="9"/>
    <n v="2"/>
  </r>
  <r>
    <x v="0"/>
    <x v="3"/>
    <x v="0"/>
    <x v="13"/>
    <x v="17"/>
    <x v="14"/>
    <x v="3"/>
    <n v="2"/>
  </r>
  <r>
    <x v="0"/>
    <x v="3"/>
    <x v="0"/>
    <x v="13"/>
    <x v="17"/>
    <x v="14"/>
    <x v="4"/>
    <n v="2"/>
  </r>
  <r>
    <x v="0"/>
    <x v="3"/>
    <x v="0"/>
    <x v="13"/>
    <x v="17"/>
    <x v="14"/>
    <x v="5"/>
    <n v="3"/>
  </r>
  <r>
    <x v="0"/>
    <x v="3"/>
    <x v="0"/>
    <x v="13"/>
    <x v="17"/>
    <x v="13"/>
    <x v="12"/>
    <n v="1"/>
  </r>
  <r>
    <x v="0"/>
    <x v="3"/>
    <x v="0"/>
    <x v="13"/>
    <x v="17"/>
    <x v="13"/>
    <x v="9"/>
    <n v="1"/>
  </r>
  <r>
    <x v="0"/>
    <x v="3"/>
    <x v="0"/>
    <x v="13"/>
    <x v="17"/>
    <x v="13"/>
    <x v="3"/>
    <n v="2"/>
  </r>
  <r>
    <x v="0"/>
    <x v="3"/>
    <x v="0"/>
    <x v="13"/>
    <x v="17"/>
    <x v="10"/>
    <x v="2"/>
    <n v="2"/>
  </r>
  <r>
    <x v="0"/>
    <x v="3"/>
    <x v="0"/>
    <x v="13"/>
    <x v="17"/>
    <x v="3"/>
    <x v="5"/>
    <n v="1"/>
  </r>
  <r>
    <x v="0"/>
    <x v="3"/>
    <x v="0"/>
    <x v="13"/>
    <x v="17"/>
    <x v="5"/>
    <x v="7"/>
    <n v="1"/>
  </r>
  <r>
    <x v="0"/>
    <x v="3"/>
    <x v="0"/>
    <x v="13"/>
    <x v="17"/>
    <x v="7"/>
    <x v="13"/>
    <n v="1"/>
  </r>
  <r>
    <x v="0"/>
    <x v="3"/>
    <x v="0"/>
    <x v="14"/>
    <x v="16"/>
    <x v="4"/>
    <x v="15"/>
    <n v="4"/>
  </r>
  <r>
    <x v="0"/>
    <x v="3"/>
    <x v="0"/>
    <x v="15"/>
    <x v="1"/>
    <x v="7"/>
    <x v="12"/>
    <n v="1"/>
  </r>
  <r>
    <x v="0"/>
    <x v="3"/>
    <x v="0"/>
    <x v="19"/>
    <x v="7"/>
    <x v="15"/>
    <x v="12"/>
    <n v="3"/>
  </r>
  <r>
    <x v="0"/>
    <x v="3"/>
    <x v="0"/>
    <x v="19"/>
    <x v="7"/>
    <x v="15"/>
    <x v="9"/>
    <n v="2"/>
  </r>
  <r>
    <x v="0"/>
    <x v="3"/>
    <x v="0"/>
    <x v="19"/>
    <x v="7"/>
    <x v="15"/>
    <x v="3"/>
    <n v="2"/>
  </r>
  <r>
    <x v="0"/>
    <x v="3"/>
    <x v="0"/>
    <x v="19"/>
    <x v="7"/>
    <x v="15"/>
    <x v="4"/>
    <n v="1"/>
  </r>
  <r>
    <x v="0"/>
    <x v="3"/>
    <x v="0"/>
    <x v="19"/>
    <x v="7"/>
    <x v="14"/>
    <x v="12"/>
    <n v="2"/>
  </r>
  <r>
    <x v="0"/>
    <x v="3"/>
    <x v="0"/>
    <x v="19"/>
    <x v="7"/>
    <x v="14"/>
    <x v="9"/>
    <n v="2"/>
  </r>
  <r>
    <x v="0"/>
    <x v="3"/>
    <x v="0"/>
    <x v="19"/>
    <x v="7"/>
    <x v="13"/>
    <x v="9"/>
    <n v="3"/>
  </r>
  <r>
    <x v="0"/>
    <x v="3"/>
    <x v="0"/>
    <x v="19"/>
    <x v="7"/>
    <x v="13"/>
    <x v="3"/>
    <n v="1"/>
  </r>
  <r>
    <x v="0"/>
    <x v="3"/>
    <x v="0"/>
    <x v="19"/>
    <x v="7"/>
    <x v="2"/>
    <x v="6"/>
    <n v="19"/>
  </r>
  <r>
    <x v="0"/>
    <x v="3"/>
    <x v="0"/>
    <x v="19"/>
    <x v="7"/>
    <x v="2"/>
    <x v="10"/>
    <n v="3"/>
  </r>
  <r>
    <x v="0"/>
    <x v="3"/>
    <x v="0"/>
    <x v="19"/>
    <x v="7"/>
    <x v="2"/>
    <x v="1"/>
    <n v="1"/>
  </r>
  <r>
    <x v="0"/>
    <x v="3"/>
    <x v="0"/>
    <x v="19"/>
    <x v="7"/>
    <x v="10"/>
    <x v="6"/>
    <n v="11"/>
  </r>
  <r>
    <x v="0"/>
    <x v="3"/>
    <x v="0"/>
    <x v="19"/>
    <x v="7"/>
    <x v="10"/>
    <x v="10"/>
    <n v="4"/>
  </r>
  <r>
    <x v="0"/>
    <x v="3"/>
    <x v="0"/>
    <x v="19"/>
    <x v="7"/>
    <x v="10"/>
    <x v="1"/>
    <n v="1"/>
  </r>
  <r>
    <x v="0"/>
    <x v="3"/>
    <x v="0"/>
    <x v="19"/>
    <x v="7"/>
    <x v="3"/>
    <x v="7"/>
    <n v="14"/>
  </r>
  <r>
    <x v="0"/>
    <x v="3"/>
    <x v="0"/>
    <x v="19"/>
    <x v="7"/>
    <x v="3"/>
    <x v="6"/>
    <n v="7"/>
  </r>
  <r>
    <x v="0"/>
    <x v="3"/>
    <x v="0"/>
    <x v="19"/>
    <x v="7"/>
    <x v="3"/>
    <x v="10"/>
    <n v="7"/>
  </r>
  <r>
    <x v="0"/>
    <x v="3"/>
    <x v="0"/>
    <x v="19"/>
    <x v="7"/>
    <x v="4"/>
    <x v="7"/>
    <n v="9"/>
  </r>
  <r>
    <x v="0"/>
    <x v="3"/>
    <x v="0"/>
    <x v="19"/>
    <x v="7"/>
    <x v="4"/>
    <x v="6"/>
    <n v="7"/>
  </r>
  <r>
    <x v="0"/>
    <x v="3"/>
    <x v="0"/>
    <x v="19"/>
    <x v="7"/>
    <x v="4"/>
    <x v="10"/>
    <n v="1"/>
  </r>
  <r>
    <x v="0"/>
    <x v="3"/>
    <x v="0"/>
    <x v="19"/>
    <x v="7"/>
    <x v="5"/>
    <x v="7"/>
    <n v="8"/>
  </r>
  <r>
    <x v="0"/>
    <x v="3"/>
    <x v="0"/>
    <x v="19"/>
    <x v="7"/>
    <x v="5"/>
    <x v="6"/>
    <n v="5"/>
  </r>
  <r>
    <x v="0"/>
    <x v="3"/>
    <x v="0"/>
    <x v="19"/>
    <x v="7"/>
    <x v="5"/>
    <x v="10"/>
    <n v="4"/>
  </r>
  <r>
    <x v="0"/>
    <x v="3"/>
    <x v="0"/>
    <x v="19"/>
    <x v="7"/>
    <x v="5"/>
    <x v="3"/>
    <n v="2"/>
  </r>
  <r>
    <x v="0"/>
    <x v="3"/>
    <x v="0"/>
    <x v="19"/>
    <x v="7"/>
    <x v="11"/>
    <x v="7"/>
    <n v="5"/>
  </r>
  <r>
    <x v="0"/>
    <x v="3"/>
    <x v="0"/>
    <x v="19"/>
    <x v="7"/>
    <x v="11"/>
    <x v="6"/>
    <n v="3"/>
  </r>
  <r>
    <x v="0"/>
    <x v="3"/>
    <x v="0"/>
    <x v="19"/>
    <x v="7"/>
    <x v="11"/>
    <x v="9"/>
    <n v="1"/>
  </r>
  <r>
    <x v="0"/>
    <x v="3"/>
    <x v="0"/>
    <x v="19"/>
    <x v="7"/>
    <x v="6"/>
    <x v="7"/>
    <n v="2"/>
  </r>
  <r>
    <x v="0"/>
    <x v="3"/>
    <x v="0"/>
    <x v="19"/>
    <x v="7"/>
    <x v="6"/>
    <x v="6"/>
    <n v="1"/>
  </r>
  <r>
    <x v="0"/>
    <x v="3"/>
    <x v="0"/>
    <x v="19"/>
    <x v="7"/>
    <x v="9"/>
    <x v="7"/>
    <n v="2"/>
  </r>
  <r>
    <x v="0"/>
    <x v="3"/>
    <x v="0"/>
    <x v="19"/>
    <x v="10"/>
    <x v="5"/>
    <x v="8"/>
    <n v="1"/>
  </r>
  <r>
    <x v="0"/>
    <x v="3"/>
    <x v="0"/>
    <x v="19"/>
    <x v="10"/>
    <x v="11"/>
    <x v="8"/>
    <n v="3"/>
  </r>
  <r>
    <x v="0"/>
    <x v="3"/>
    <x v="0"/>
    <x v="19"/>
    <x v="10"/>
    <x v="6"/>
    <x v="8"/>
    <n v="2"/>
  </r>
  <r>
    <x v="0"/>
    <x v="3"/>
    <x v="0"/>
    <x v="19"/>
    <x v="10"/>
    <x v="9"/>
    <x v="8"/>
    <n v="3"/>
  </r>
  <r>
    <x v="0"/>
    <x v="3"/>
    <x v="0"/>
    <x v="19"/>
    <x v="10"/>
    <x v="7"/>
    <x v="6"/>
    <n v="1"/>
  </r>
  <r>
    <x v="0"/>
    <x v="3"/>
    <x v="0"/>
    <x v="19"/>
    <x v="10"/>
    <x v="7"/>
    <x v="10"/>
    <n v="1"/>
  </r>
  <r>
    <x v="0"/>
    <x v="3"/>
    <x v="0"/>
    <x v="19"/>
    <x v="10"/>
    <x v="8"/>
    <x v="6"/>
    <n v="3"/>
  </r>
  <r>
    <x v="0"/>
    <x v="3"/>
    <x v="1"/>
    <x v="1"/>
    <x v="3"/>
    <x v="11"/>
    <x v="9"/>
    <n v="1"/>
  </r>
  <r>
    <x v="0"/>
    <x v="3"/>
    <x v="1"/>
    <x v="3"/>
    <x v="5"/>
    <x v="1"/>
    <x v="2"/>
    <n v="1"/>
  </r>
  <r>
    <x v="0"/>
    <x v="3"/>
    <x v="1"/>
    <x v="3"/>
    <x v="8"/>
    <x v="17"/>
    <x v="17"/>
    <n v="1"/>
  </r>
  <r>
    <x v="0"/>
    <x v="3"/>
    <x v="1"/>
    <x v="3"/>
    <x v="8"/>
    <x v="14"/>
    <x v="19"/>
    <n v="2"/>
  </r>
  <r>
    <x v="0"/>
    <x v="3"/>
    <x v="1"/>
    <x v="3"/>
    <x v="8"/>
    <x v="13"/>
    <x v="19"/>
    <n v="2"/>
  </r>
  <r>
    <x v="0"/>
    <x v="3"/>
    <x v="1"/>
    <x v="5"/>
    <x v="6"/>
    <x v="15"/>
    <x v="11"/>
    <n v="1"/>
  </r>
  <r>
    <x v="0"/>
    <x v="3"/>
    <x v="1"/>
    <x v="5"/>
    <x v="6"/>
    <x v="14"/>
    <x v="11"/>
    <n v="1"/>
  </r>
  <r>
    <x v="0"/>
    <x v="3"/>
    <x v="1"/>
    <x v="5"/>
    <x v="6"/>
    <x v="14"/>
    <x v="17"/>
    <n v="1"/>
  </r>
  <r>
    <x v="0"/>
    <x v="3"/>
    <x v="1"/>
    <x v="5"/>
    <x v="6"/>
    <x v="10"/>
    <x v="19"/>
    <n v="2"/>
  </r>
  <r>
    <x v="0"/>
    <x v="3"/>
    <x v="1"/>
    <x v="5"/>
    <x v="9"/>
    <x v="1"/>
    <x v="0"/>
    <n v="1"/>
  </r>
  <r>
    <x v="0"/>
    <x v="3"/>
    <x v="1"/>
    <x v="6"/>
    <x v="8"/>
    <x v="17"/>
    <x v="9"/>
    <n v="34"/>
  </r>
  <r>
    <x v="0"/>
    <x v="3"/>
    <x v="1"/>
    <x v="6"/>
    <x v="8"/>
    <x v="17"/>
    <x v="3"/>
    <n v="44"/>
  </r>
  <r>
    <x v="0"/>
    <x v="3"/>
    <x v="1"/>
    <x v="6"/>
    <x v="8"/>
    <x v="17"/>
    <x v="4"/>
    <n v="33"/>
  </r>
  <r>
    <x v="0"/>
    <x v="3"/>
    <x v="1"/>
    <x v="6"/>
    <x v="8"/>
    <x v="18"/>
    <x v="9"/>
    <n v="9"/>
  </r>
  <r>
    <x v="0"/>
    <x v="3"/>
    <x v="1"/>
    <x v="6"/>
    <x v="8"/>
    <x v="18"/>
    <x v="3"/>
    <n v="10"/>
  </r>
  <r>
    <x v="0"/>
    <x v="3"/>
    <x v="1"/>
    <x v="6"/>
    <x v="8"/>
    <x v="15"/>
    <x v="13"/>
    <n v="1"/>
  </r>
  <r>
    <x v="0"/>
    <x v="3"/>
    <x v="1"/>
    <x v="6"/>
    <x v="8"/>
    <x v="15"/>
    <x v="14"/>
    <n v="1"/>
  </r>
  <r>
    <x v="0"/>
    <x v="3"/>
    <x v="1"/>
    <x v="6"/>
    <x v="8"/>
    <x v="14"/>
    <x v="5"/>
    <n v="4"/>
  </r>
  <r>
    <x v="0"/>
    <x v="3"/>
    <x v="1"/>
    <x v="6"/>
    <x v="8"/>
    <x v="13"/>
    <x v="3"/>
    <n v="1"/>
  </r>
  <r>
    <x v="0"/>
    <x v="3"/>
    <x v="1"/>
    <x v="6"/>
    <x v="8"/>
    <x v="13"/>
    <x v="4"/>
    <n v="1"/>
  </r>
  <r>
    <x v="0"/>
    <x v="3"/>
    <x v="1"/>
    <x v="6"/>
    <x v="8"/>
    <x v="13"/>
    <x v="5"/>
    <n v="1"/>
  </r>
  <r>
    <x v="0"/>
    <x v="3"/>
    <x v="1"/>
    <x v="6"/>
    <x v="3"/>
    <x v="14"/>
    <x v="1"/>
    <n v="1"/>
  </r>
  <r>
    <x v="0"/>
    <x v="3"/>
    <x v="1"/>
    <x v="9"/>
    <x v="10"/>
    <x v="17"/>
    <x v="4"/>
    <n v="1"/>
  </r>
  <r>
    <x v="0"/>
    <x v="3"/>
    <x v="1"/>
    <x v="9"/>
    <x v="10"/>
    <x v="18"/>
    <x v="4"/>
    <n v="1"/>
  </r>
  <r>
    <x v="0"/>
    <x v="3"/>
    <x v="1"/>
    <x v="9"/>
    <x v="10"/>
    <x v="18"/>
    <x v="5"/>
    <n v="1"/>
  </r>
  <r>
    <x v="0"/>
    <x v="3"/>
    <x v="1"/>
    <x v="9"/>
    <x v="10"/>
    <x v="18"/>
    <x v="0"/>
    <n v="1"/>
  </r>
  <r>
    <x v="0"/>
    <x v="3"/>
    <x v="1"/>
    <x v="9"/>
    <x v="10"/>
    <x v="9"/>
    <x v="14"/>
    <n v="1"/>
  </r>
  <r>
    <x v="0"/>
    <x v="3"/>
    <x v="1"/>
    <x v="9"/>
    <x v="10"/>
    <x v="12"/>
    <x v="5"/>
    <n v="1"/>
  </r>
  <r>
    <x v="0"/>
    <x v="3"/>
    <x v="1"/>
    <x v="7"/>
    <x v="3"/>
    <x v="0"/>
    <x v="17"/>
    <n v="1"/>
  </r>
  <r>
    <x v="0"/>
    <x v="3"/>
    <x v="1"/>
    <x v="8"/>
    <x v="7"/>
    <x v="17"/>
    <x v="5"/>
    <n v="1"/>
  </r>
  <r>
    <x v="0"/>
    <x v="3"/>
    <x v="1"/>
    <x v="8"/>
    <x v="7"/>
    <x v="18"/>
    <x v="5"/>
    <n v="1"/>
  </r>
  <r>
    <x v="0"/>
    <x v="3"/>
    <x v="1"/>
    <x v="8"/>
    <x v="7"/>
    <x v="18"/>
    <x v="2"/>
    <n v="1"/>
  </r>
  <r>
    <x v="0"/>
    <x v="3"/>
    <x v="1"/>
    <x v="8"/>
    <x v="7"/>
    <x v="18"/>
    <x v="0"/>
    <n v="2"/>
  </r>
  <r>
    <x v="0"/>
    <x v="3"/>
    <x v="1"/>
    <x v="8"/>
    <x v="7"/>
    <x v="18"/>
    <x v="18"/>
    <n v="3"/>
  </r>
  <r>
    <x v="0"/>
    <x v="3"/>
    <x v="1"/>
    <x v="8"/>
    <x v="7"/>
    <x v="19"/>
    <x v="18"/>
    <n v="2"/>
  </r>
  <r>
    <x v="0"/>
    <x v="3"/>
    <x v="1"/>
    <x v="8"/>
    <x v="7"/>
    <x v="14"/>
    <x v="19"/>
    <n v="3"/>
  </r>
  <r>
    <x v="0"/>
    <x v="3"/>
    <x v="1"/>
    <x v="8"/>
    <x v="7"/>
    <x v="13"/>
    <x v="14"/>
    <n v="1"/>
  </r>
  <r>
    <x v="0"/>
    <x v="3"/>
    <x v="1"/>
    <x v="8"/>
    <x v="6"/>
    <x v="18"/>
    <x v="9"/>
    <n v="1"/>
  </r>
  <r>
    <x v="0"/>
    <x v="3"/>
    <x v="1"/>
    <x v="10"/>
    <x v="16"/>
    <x v="6"/>
    <x v="1"/>
    <n v="1"/>
  </r>
  <r>
    <x v="0"/>
    <x v="3"/>
    <x v="1"/>
    <x v="10"/>
    <x v="3"/>
    <x v="0"/>
    <x v="4"/>
    <n v="1"/>
  </r>
  <r>
    <x v="0"/>
    <x v="3"/>
    <x v="1"/>
    <x v="11"/>
    <x v="14"/>
    <x v="1"/>
    <x v="11"/>
    <n v="1"/>
  </r>
  <r>
    <x v="0"/>
    <x v="3"/>
    <x v="1"/>
    <x v="11"/>
    <x v="7"/>
    <x v="3"/>
    <x v="14"/>
    <n v="1"/>
  </r>
  <r>
    <x v="0"/>
    <x v="3"/>
    <x v="1"/>
    <x v="11"/>
    <x v="7"/>
    <x v="3"/>
    <x v="19"/>
    <n v="1"/>
  </r>
  <r>
    <x v="0"/>
    <x v="3"/>
    <x v="1"/>
    <x v="11"/>
    <x v="7"/>
    <x v="4"/>
    <x v="11"/>
    <n v="1"/>
  </r>
  <r>
    <x v="0"/>
    <x v="3"/>
    <x v="1"/>
    <x v="11"/>
    <x v="7"/>
    <x v="4"/>
    <x v="19"/>
    <n v="1"/>
  </r>
  <r>
    <x v="0"/>
    <x v="3"/>
    <x v="1"/>
    <x v="11"/>
    <x v="7"/>
    <x v="5"/>
    <x v="13"/>
    <n v="1"/>
  </r>
  <r>
    <x v="0"/>
    <x v="3"/>
    <x v="1"/>
    <x v="11"/>
    <x v="7"/>
    <x v="5"/>
    <x v="14"/>
    <n v="1"/>
  </r>
  <r>
    <x v="0"/>
    <x v="3"/>
    <x v="1"/>
    <x v="11"/>
    <x v="7"/>
    <x v="5"/>
    <x v="19"/>
    <n v="3"/>
  </r>
  <r>
    <x v="0"/>
    <x v="3"/>
    <x v="1"/>
    <x v="11"/>
    <x v="7"/>
    <x v="11"/>
    <x v="2"/>
    <n v="1"/>
  </r>
  <r>
    <x v="0"/>
    <x v="3"/>
    <x v="1"/>
    <x v="11"/>
    <x v="7"/>
    <x v="11"/>
    <x v="11"/>
    <n v="3"/>
  </r>
  <r>
    <x v="0"/>
    <x v="3"/>
    <x v="1"/>
    <x v="11"/>
    <x v="7"/>
    <x v="11"/>
    <x v="19"/>
    <n v="1"/>
  </r>
  <r>
    <x v="0"/>
    <x v="3"/>
    <x v="1"/>
    <x v="11"/>
    <x v="7"/>
    <x v="6"/>
    <x v="5"/>
    <n v="2"/>
  </r>
  <r>
    <x v="0"/>
    <x v="3"/>
    <x v="1"/>
    <x v="11"/>
    <x v="7"/>
    <x v="6"/>
    <x v="11"/>
    <n v="1"/>
  </r>
  <r>
    <x v="0"/>
    <x v="3"/>
    <x v="1"/>
    <x v="11"/>
    <x v="7"/>
    <x v="6"/>
    <x v="14"/>
    <n v="1"/>
  </r>
  <r>
    <x v="0"/>
    <x v="3"/>
    <x v="1"/>
    <x v="11"/>
    <x v="7"/>
    <x v="6"/>
    <x v="17"/>
    <n v="1"/>
  </r>
  <r>
    <x v="0"/>
    <x v="3"/>
    <x v="1"/>
    <x v="11"/>
    <x v="7"/>
    <x v="6"/>
    <x v="19"/>
    <n v="1"/>
  </r>
  <r>
    <x v="0"/>
    <x v="3"/>
    <x v="1"/>
    <x v="11"/>
    <x v="7"/>
    <x v="9"/>
    <x v="5"/>
    <n v="1"/>
  </r>
  <r>
    <x v="0"/>
    <x v="3"/>
    <x v="1"/>
    <x v="11"/>
    <x v="7"/>
    <x v="9"/>
    <x v="2"/>
    <n v="1"/>
  </r>
  <r>
    <x v="0"/>
    <x v="3"/>
    <x v="1"/>
    <x v="11"/>
    <x v="7"/>
    <x v="9"/>
    <x v="13"/>
    <n v="2"/>
  </r>
  <r>
    <x v="0"/>
    <x v="3"/>
    <x v="1"/>
    <x v="11"/>
    <x v="7"/>
    <x v="9"/>
    <x v="11"/>
    <n v="2"/>
  </r>
  <r>
    <x v="0"/>
    <x v="3"/>
    <x v="1"/>
    <x v="11"/>
    <x v="7"/>
    <x v="9"/>
    <x v="14"/>
    <n v="1"/>
  </r>
  <r>
    <x v="0"/>
    <x v="3"/>
    <x v="1"/>
    <x v="11"/>
    <x v="7"/>
    <x v="12"/>
    <x v="5"/>
    <n v="1"/>
  </r>
  <r>
    <x v="0"/>
    <x v="3"/>
    <x v="1"/>
    <x v="11"/>
    <x v="7"/>
    <x v="12"/>
    <x v="2"/>
    <n v="1"/>
  </r>
  <r>
    <x v="0"/>
    <x v="3"/>
    <x v="1"/>
    <x v="11"/>
    <x v="7"/>
    <x v="12"/>
    <x v="13"/>
    <n v="2"/>
  </r>
  <r>
    <x v="0"/>
    <x v="3"/>
    <x v="1"/>
    <x v="11"/>
    <x v="7"/>
    <x v="1"/>
    <x v="4"/>
    <n v="1"/>
  </r>
  <r>
    <x v="0"/>
    <x v="3"/>
    <x v="1"/>
    <x v="11"/>
    <x v="7"/>
    <x v="1"/>
    <x v="13"/>
    <n v="2"/>
  </r>
  <r>
    <x v="0"/>
    <x v="3"/>
    <x v="1"/>
    <x v="11"/>
    <x v="7"/>
    <x v="0"/>
    <x v="5"/>
    <n v="1"/>
  </r>
  <r>
    <x v="0"/>
    <x v="3"/>
    <x v="1"/>
    <x v="11"/>
    <x v="7"/>
    <x v="0"/>
    <x v="2"/>
    <n v="1"/>
  </r>
  <r>
    <x v="0"/>
    <x v="3"/>
    <x v="1"/>
    <x v="11"/>
    <x v="7"/>
    <x v="0"/>
    <x v="13"/>
    <n v="1"/>
  </r>
  <r>
    <x v="0"/>
    <x v="3"/>
    <x v="1"/>
    <x v="11"/>
    <x v="7"/>
    <x v="0"/>
    <x v="18"/>
    <n v="1"/>
  </r>
  <r>
    <x v="0"/>
    <x v="3"/>
    <x v="1"/>
    <x v="12"/>
    <x v="7"/>
    <x v="9"/>
    <x v="4"/>
    <n v="1"/>
  </r>
  <r>
    <x v="0"/>
    <x v="3"/>
    <x v="1"/>
    <x v="12"/>
    <x v="6"/>
    <x v="10"/>
    <x v="11"/>
    <n v="1"/>
  </r>
  <r>
    <x v="0"/>
    <x v="3"/>
    <x v="1"/>
    <x v="13"/>
    <x v="0"/>
    <x v="16"/>
    <x v="5"/>
    <n v="2"/>
  </r>
  <r>
    <x v="0"/>
    <x v="3"/>
    <x v="1"/>
    <x v="13"/>
    <x v="0"/>
    <x v="16"/>
    <x v="13"/>
    <n v="1"/>
  </r>
  <r>
    <x v="0"/>
    <x v="3"/>
    <x v="1"/>
    <x v="13"/>
    <x v="0"/>
    <x v="16"/>
    <x v="0"/>
    <n v="1"/>
  </r>
  <r>
    <x v="0"/>
    <x v="3"/>
    <x v="1"/>
    <x v="13"/>
    <x v="0"/>
    <x v="15"/>
    <x v="5"/>
    <n v="1"/>
  </r>
  <r>
    <x v="0"/>
    <x v="3"/>
    <x v="1"/>
    <x v="13"/>
    <x v="0"/>
    <x v="14"/>
    <x v="0"/>
    <n v="1"/>
  </r>
  <r>
    <x v="0"/>
    <x v="3"/>
    <x v="1"/>
    <x v="13"/>
    <x v="0"/>
    <x v="2"/>
    <x v="2"/>
    <n v="1"/>
  </r>
  <r>
    <x v="0"/>
    <x v="3"/>
    <x v="1"/>
    <x v="13"/>
    <x v="0"/>
    <x v="5"/>
    <x v="0"/>
    <n v="2"/>
  </r>
  <r>
    <x v="0"/>
    <x v="3"/>
    <x v="1"/>
    <x v="13"/>
    <x v="0"/>
    <x v="11"/>
    <x v="0"/>
    <n v="1"/>
  </r>
  <r>
    <x v="0"/>
    <x v="3"/>
    <x v="1"/>
    <x v="14"/>
    <x v="16"/>
    <x v="13"/>
    <x v="14"/>
    <n v="1"/>
  </r>
  <r>
    <x v="0"/>
    <x v="3"/>
    <x v="1"/>
    <x v="14"/>
    <x v="16"/>
    <x v="3"/>
    <x v="1"/>
    <n v="2"/>
  </r>
  <r>
    <x v="0"/>
    <x v="3"/>
    <x v="1"/>
    <x v="14"/>
    <x v="16"/>
    <x v="5"/>
    <x v="1"/>
    <n v="1"/>
  </r>
  <r>
    <x v="0"/>
    <x v="3"/>
    <x v="1"/>
    <x v="14"/>
    <x v="16"/>
    <x v="11"/>
    <x v="1"/>
    <n v="1"/>
  </r>
  <r>
    <x v="0"/>
    <x v="3"/>
    <x v="1"/>
    <x v="15"/>
    <x v="11"/>
    <x v="14"/>
    <x v="12"/>
    <n v="1"/>
  </r>
  <r>
    <x v="0"/>
    <x v="3"/>
    <x v="1"/>
    <x v="15"/>
    <x v="17"/>
    <x v="1"/>
    <x v="3"/>
    <n v="1"/>
  </r>
  <r>
    <x v="0"/>
    <x v="3"/>
    <x v="1"/>
    <x v="15"/>
    <x v="17"/>
    <x v="0"/>
    <x v="5"/>
    <n v="1"/>
  </r>
  <r>
    <x v="0"/>
    <x v="3"/>
    <x v="1"/>
    <x v="19"/>
    <x v="7"/>
    <x v="19"/>
    <x v="1"/>
    <n v="17"/>
  </r>
  <r>
    <x v="0"/>
    <x v="3"/>
    <x v="1"/>
    <x v="19"/>
    <x v="7"/>
    <x v="16"/>
    <x v="6"/>
    <n v="17"/>
  </r>
  <r>
    <x v="0"/>
    <x v="3"/>
    <x v="1"/>
    <x v="19"/>
    <x v="7"/>
    <x v="16"/>
    <x v="10"/>
    <n v="13"/>
  </r>
  <r>
    <x v="0"/>
    <x v="3"/>
    <x v="1"/>
    <x v="19"/>
    <x v="7"/>
    <x v="16"/>
    <x v="1"/>
    <n v="18"/>
  </r>
  <r>
    <x v="0"/>
    <x v="3"/>
    <x v="1"/>
    <x v="19"/>
    <x v="7"/>
    <x v="16"/>
    <x v="13"/>
    <n v="3"/>
  </r>
  <r>
    <x v="0"/>
    <x v="3"/>
    <x v="1"/>
    <x v="19"/>
    <x v="7"/>
    <x v="15"/>
    <x v="7"/>
    <n v="1"/>
  </r>
  <r>
    <x v="0"/>
    <x v="3"/>
    <x v="1"/>
    <x v="19"/>
    <x v="7"/>
    <x v="15"/>
    <x v="6"/>
    <n v="17"/>
  </r>
  <r>
    <x v="0"/>
    <x v="3"/>
    <x v="1"/>
    <x v="19"/>
    <x v="7"/>
    <x v="15"/>
    <x v="10"/>
    <n v="17"/>
  </r>
  <r>
    <x v="0"/>
    <x v="3"/>
    <x v="1"/>
    <x v="19"/>
    <x v="7"/>
    <x v="15"/>
    <x v="1"/>
    <n v="18"/>
  </r>
  <r>
    <x v="0"/>
    <x v="3"/>
    <x v="1"/>
    <x v="19"/>
    <x v="7"/>
    <x v="15"/>
    <x v="5"/>
    <n v="1"/>
  </r>
  <r>
    <x v="0"/>
    <x v="3"/>
    <x v="1"/>
    <x v="19"/>
    <x v="7"/>
    <x v="14"/>
    <x v="6"/>
    <n v="11"/>
  </r>
  <r>
    <x v="0"/>
    <x v="3"/>
    <x v="1"/>
    <x v="19"/>
    <x v="7"/>
    <x v="14"/>
    <x v="10"/>
    <n v="10"/>
  </r>
  <r>
    <x v="0"/>
    <x v="3"/>
    <x v="1"/>
    <x v="19"/>
    <x v="7"/>
    <x v="14"/>
    <x v="3"/>
    <n v="3"/>
  </r>
  <r>
    <x v="0"/>
    <x v="3"/>
    <x v="1"/>
    <x v="19"/>
    <x v="7"/>
    <x v="13"/>
    <x v="6"/>
    <n v="4"/>
  </r>
  <r>
    <x v="0"/>
    <x v="3"/>
    <x v="1"/>
    <x v="19"/>
    <x v="7"/>
    <x v="13"/>
    <x v="12"/>
    <n v="9"/>
  </r>
  <r>
    <x v="0"/>
    <x v="3"/>
    <x v="1"/>
    <x v="19"/>
    <x v="7"/>
    <x v="2"/>
    <x v="1"/>
    <n v="4"/>
  </r>
  <r>
    <x v="0"/>
    <x v="3"/>
    <x v="1"/>
    <x v="19"/>
    <x v="7"/>
    <x v="2"/>
    <x v="5"/>
    <n v="1"/>
  </r>
  <r>
    <x v="0"/>
    <x v="3"/>
    <x v="1"/>
    <x v="19"/>
    <x v="7"/>
    <x v="2"/>
    <x v="2"/>
    <n v="2"/>
  </r>
  <r>
    <x v="0"/>
    <x v="3"/>
    <x v="1"/>
    <x v="19"/>
    <x v="7"/>
    <x v="2"/>
    <x v="13"/>
    <n v="1"/>
  </r>
  <r>
    <x v="0"/>
    <x v="3"/>
    <x v="1"/>
    <x v="19"/>
    <x v="7"/>
    <x v="2"/>
    <x v="11"/>
    <n v="1"/>
  </r>
  <r>
    <x v="0"/>
    <x v="3"/>
    <x v="1"/>
    <x v="19"/>
    <x v="7"/>
    <x v="2"/>
    <x v="14"/>
    <n v="2"/>
  </r>
  <r>
    <x v="0"/>
    <x v="3"/>
    <x v="1"/>
    <x v="19"/>
    <x v="7"/>
    <x v="10"/>
    <x v="4"/>
    <n v="2"/>
  </r>
  <r>
    <x v="0"/>
    <x v="3"/>
    <x v="1"/>
    <x v="19"/>
    <x v="7"/>
    <x v="10"/>
    <x v="17"/>
    <n v="1"/>
  </r>
  <r>
    <x v="0"/>
    <x v="3"/>
    <x v="1"/>
    <x v="19"/>
    <x v="7"/>
    <x v="3"/>
    <x v="10"/>
    <n v="4"/>
  </r>
  <r>
    <x v="0"/>
    <x v="3"/>
    <x v="1"/>
    <x v="19"/>
    <x v="7"/>
    <x v="3"/>
    <x v="3"/>
    <n v="5"/>
  </r>
  <r>
    <x v="0"/>
    <x v="3"/>
    <x v="1"/>
    <x v="19"/>
    <x v="7"/>
    <x v="3"/>
    <x v="4"/>
    <n v="1"/>
  </r>
  <r>
    <x v="0"/>
    <x v="3"/>
    <x v="1"/>
    <x v="19"/>
    <x v="7"/>
    <x v="3"/>
    <x v="5"/>
    <n v="4"/>
  </r>
  <r>
    <x v="0"/>
    <x v="3"/>
    <x v="1"/>
    <x v="19"/>
    <x v="7"/>
    <x v="3"/>
    <x v="13"/>
    <n v="1"/>
  </r>
  <r>
    <x v="0"/>
    <x v="3"/>
    <x v="1"/>
    <x v="19"/>
    <x v="7"/>
    <x v="4"/>
    <x v="9"/>
    <n v="1"/>
  </r>
  <r>
    <x v="0"/>
    <x v="3"/>
    <x v="1"/>
    <x v="19"/>
    <x v="7"/>
    <x v="4"/>
    <x v="3"/>
    <n v="6"/>
  </r>
  <r>
    <x v="0"/>
    <x v="3"/>
    <x v="1"/>
    <x v="19"/>
    <x v="7"/>
    <x v="4"/>
    <x v="4"/>
    <n v="2"/>
  </r>
  <r>
    <x v="0"/>
    <x v="3"/>
    <x v="1"/>
    <x v="19"/>
    <x v="7"/>
    <x v="4"/>
    <x v="5"/>
    <n v="3"/>
  </r>
  <r>
    <x v="0"/>
    <x v="3"/>
    <x v="1"/>
    <x v="19"/>
    <x v="7"/>
    <x v="4"/>
    <x v="2"/>
    <n v="1"/>
  </r>
  <r>
    <x v="0"/>
    <x v="3"/>
    <x v="1"/>
    <x v="19"/>
    <x v="7"/>
    <x v="5"/>
    <x v="12"/>
    <n v="4"/>
  </r>
  <r>
    <x v="0"/>
    <x v="3"/>
    <x v="1"/>
    <x v="19"/>
    <x v="7"/>
    <x v="5"/>
    <x v="9"/>
    <n v="2"/>
  </r>
  <r>
    <x v="0"/>
    <x v="3"/>
    <x v="1"/>
    <x v="19"/>
    <x v="7"/>
    <x v="5"/>
    <x v="3"/>
    <n v="5"/>
  </r>
  <r>
    <x v="0"/>
    <x v="3"/>
    <x v="1"/>
    <x v="19"/>
    <x v="7"/>
    <x v="5"/>
    <x v="4"/>
    <n v="2"/>
  </r>
  <r>
    <x v="0"/>
    <x v="3"/>
    <x v="1"/>
    <x v="19"/>
    <x v="7"/>
    <x v="5"/>
    <x v="2"/>
    <n v="1"/>
  </r>
  <r>
    <x v="0"/>
    <x v="3"/>
    <x v="1"/>
    <x v="19"/>
    <x v="7"/>
    <x v="11"/>
    <x v="12"/>
    <n v="1"/>
  </r>
  <r>
    <x v="0"/>
    <x v="3"/>
    <x v="1"/>
    <x v="19"/>
    <x v="7"/>
    <x v="11"/>
    <x v="3"/>
    <n v="1"/>
  </r>
  <r>
    <x v="0"/>
    <x v="3"/>
    <x v="1"/>
    <x v="19"/>
    <x v="7"/>
    <x v="11"/>
    <x v="4"/>
    <n v="3"/>
  </r>
  <r>
    <x v="0"/>
    <x v="3"/>
    <x v="1"/>
    <x v="19"/>
    <x v="7"/>
    <x v="11"/>
    <x v="5"/>
    <n v="1"/>
  </r>
  <r>
    <x v="0"/>
    <x v="3"/>
    <x v="1"/>
    <x v="19"/>
    <x v="7"/>
    <x v="6"/>
    <x v="9"/>
    <n v="1"/>
  </r>
  <r>
    <x v="0"/>
    <x v="3"/>
    <x v="1"/>
    <x v="19"/>
    <x v="7"/>
    <x v="6"/>
    <x v="3"/>
    <n v="2"/>
  </r>
  <r>
    <x v="0"/>
    <x v="3"/>
    <x v="1"/>
    <x v="19"/>
    <x v="7"/>
    <x v="12"/>
    <x v="12"/>
    <n v="1"/>
  </r>
  <r>
    <x v="0"/>
    <x v="3"/>
    <x v="1"/>
    <x v="19"/>
    <x v="7"/>
    <x v="12"/>
    <x v="9"/>
    <n v="2"/>
  </r>
  <r>
    <x v="0"/>
    <x v="3"/>
    <x v="2"/>
    <x v="0"/>
    <x v="8"/>
    <x v="0"/>
    <x v="17"/>
    <n v="1"/>
  </r>
  <r>
    <x v="0"/>
    <x v="3"/>
    <x v="2"/>
    <x v="0"/>
    <x v="8"/>
    <x v="0"/>
    <x v="19"/>
    <n v="25"/>
  </r>
  <r>
    <x v="0"/>
    <x v="3"/>
    <x v="2"/>
    <x v="0"/>
    <x v="9"/>
    <x v="0"/>
    <x v="19"/>
    <n v="88"/>
  </r>
  <r>
    <x v="0"/>
    <x v="3"/>
    <x v="2"/>
    <x v="2"/>
    <x v="12"/>
    <x v="0"/>
    <x v="0"/>
    <n v="1"/>
  </r>
  <r>
    <x v="0"/>
    <x v="3"/>
    <x v="2"/>
    <x v="3"/>
    <x v="1"/>
    <x v="0"/>
    <x v="9"/>
    <n v="2"/>
  </r>
  <r>
    <x v="0"/>
    <x v="3"/>
    <x v="2"/>
    <x v="4"/>
    <x v="12"/>
    <x v="0"/>
    <x v="19"/>
    <n v="5"/>
  </r>
  <r>
    <x v="0"/>
    <x v="3"/>
    <x v="2"/>
    <x v="4"/>
    <x v="14"/>
    <x v="0"/>
    <x v="5"/>
    <n v="1"/>
  </r>
  <r>
    <x v="0"/>
    <x v="3"/>
    <x v="2"/>
    <x v="4"/>
    <x v="11"/>
    <x v="0"/>
    <x v="19"/>
    <n v="3"/>
  </r>
  <r>
    <x v="0"/>
    <x v="3"/>
    <x v="2"/>
    <x v="5"/>
    <x v="16"/>
    <x v="0"/>
    <x v="4"/>
    <n v="2"/>
  </r>
  <r>
    <x v="0"/>
    <x v="3"/>
    <x v="2"/>
    <x v="5"/>
    <x v="9"/>
    <x v="0"/>
    <x v="0"/>
    <n v="1"/>
  </r>
  <r>
    <x v="0"/>
    <x v="3"/>
    <x v="2"/>
    <x v="6"/>
    <x v="12"/>
    <x v="0"/>
    <x v="17"/>
    <n v="1"/>
  </r>
  <r>
    <x v="0"/>
    <x v="3"/>
    <x v="2"/>
    <x v="6"/>
    <x v="12"/>
    <x v="0"/>
    <x v="19"/>
    <n v="11"/>
  </r>
  <r>
    <x v="0"/>
    <x v="3"/>
    <x v="2"/>
    <x v="6"/>
    <x v="18"/>
    <x v="0"/>
    <x v="9"/>
    <n v="1"/>
  </r>
  <r>
    <x v="0"/>
    <x v="3"/>
    <x v="2"/>
    <x v="6"/>
    <x v="18"/>
    <x v="0"/>
    <x v="3"/>
    <n v="3"/>
  </r>
  <r>
    <x v="0"/>
    <x v="3"/>
    <x v="2"/>
    <x v="6"/>
    <x v="18"/>
    <x v="0"/>
    <x v="4"/>
    <n v="3"/>
  </r>
  <r>
    <x v="0"/>
    <x v="1"/>
    <x v="7"/>
    <x v="3"/>
    <x v="9"/>
    <x v="12"/>
    <x v="0"/>
    <n v="1"/>
  </r>
  <r>
    <x v="0"/>
    <x v="1"/>
    <x v="7"/>
    <x v="3"/>
    <x v="9"/>
    <x v="8"/>
    <x v="19"/>
    <n v="1"/>
  </r>
  <r>
    <x v="0"/>
    <x v="1"/>
    <x v="7"/>
    <x v="4"/>
    <x v="8"/>
    <x v="5"/>
    <x v="11"/>
    <n v="1"/>
  </r>
  <r>
    <x v="0"/>
    <x v="1"/>
    <x v="7"/>
    <x v="4"/>
    <x v="8"/>
    <x v="6"/>
    <x v="2"/>
    <n v="1"/>
  </r>
  <r>
    <x v="0"/>
    <x v="1"/>
    <x v="7"/>
    <x v="4"/>
    <x v="18"/>
    <x v="5"/>
    <x v="17"/>
    <n v="1"/>
  </r>
  <r>
    <x v="0"/>
    <x v="1"/>
    <x v="7"/>
    <x v="5"/>
    <x v="8"/>
    <x v="10"/>
    <x v="19"/>
    <n v="1"/>
  </r>
  <r>
    <x v="0"/>
    <x v="1"/>
    <x v="7"/>
    <x v="5"/>
    <x v="3"/>
    <x v="16"/>
    <x v="11"/>
    <n v="13"/>
  </r>
  <r>
    <x v="0"/>
    <x v="1"/>
    <x v="7"/>
    <x v="5"/>
    <x v="3"/>
    <x v="13"/>
    <x v="18"/>
    <n v="6"/>
  </r>
  <r>
    <x v="0"/>
    <x v="1"/>
    <x v="7"/>
    <x v="5"/>
    <x v="3"/>
    <x v="2"/>
    <x v="13"/>
    <n v="1"/>
  </r>
  <r>
    <x v="0"/>
    <x v="1"/>
    <x v="7"/>
    <x v="5"/>
    <x v="3"/>
    <x v="2"/>
    <x v="11"/>
    <n v="4"/>
  </r>
  <r>
    <x v="0"/>
    <x v="1"/>
    <x v="7"/>
    <x v="5"/>
    <x v="3"/>
    <x v="2"/>
    <x v="14"/>
    <n v="3"/>
  </r>
  <r>
    <x v="0"/>
    <x v="1"/>
    <x v="7"/>
    <x v="5"/>
    <x v="3"/>
    <x v="2"/>
    <x v="17"/>
    <n v="4"/>
  </r>
  <r>
    <x v="0"/>
    <x v="1"/>
    <x v="7"/>
    <x v="5"/>
    <x v="3"/>
    <x v="2"/>
    <x v="19"/>
    <n v="18"/>
  </r>
  <r>
    <x v="0"/>
    <x v="1"/>
    <x v="7"/>
    <x v="5"/>
    <x v="3"/>
    <x v="10"/>
    <x v="2"/>
    <n v="2"/>
  </r>
  <r>
    <x v="0"/>
    <x v="1"/>
    <x v="7"/>
    <x v="5"/>
    <x v="3"/>
    <x v="10"/>
    <x v="13"/>
    <n v="2"/>
  </r>
  <r>
    <x v="0"/>
    <x v="1"/>
    <x v="7"/>
    <x v="5"/>
    <x v="3"/>
    <x v="10"/>
    <x v="11"/>
    <n v="3"/>
  </r>
  <r>
    <x v="0"/>
    <x v="1"/>
    <x v="7"/>
    <x v="5"/>
    <x v="3"/>
    <x v="10"/>
    <x v="14"/>
    <n v="3"/>
  </r>
  <r>
    <x v="0"/>
    <x v="1"/>
    <x v="7"/>
    <x v="5"/>
    <x v="3"/>
    <x v="10"/>
    <x v="17"/>
    <n v="1"/>
  </r>
  <r>
    <x v="0"/>
    <x v="1"/>
    <x v="7"/>
    <x v="5"/>
    <x v="3"/>
    <x v="10"/>
    <x v="19"/>
    <n v="12"/>
  </r>
  <r>
    <x v="0"/>
    <x v="1"/>
    <x v="7"/>
    <x v="5"/>
    <x v="3"/>
    <x v="3"/>
    <x v="2"/>
    <n v="1"/>
  </r>
  <r>
    <x v="0"/>
    <x v="1"/>
    <x v="7"/>
    <x v="5"/>
    <x v="3"/>
    <x v="3"/>
    <x v="11"/>
    <n v="2"/>
  </r>
  <r>
    <x v="0"/>
    <x v="1"/>
    <x v="7"/>
    <x v="5"/>
    <x v="3"/>
    <x v="3"/>
    <x v="14"/>
    <n v="3"/>
  </r>
  <r>
    <x v="0"/>
    <x v="1"/>
    <x v="7"/>
    <x v="5"/>
    <x v="3"/>
    <x v="3"/>
    <x v="17"/>
    <n v="6"/>
  </r>
  <r>
    <x v="0"/>
    <x v="1"/>
    <x v="7"/>
    <x v="5"/>
    <x v="3"/>
    <x v="4"/>
    <x v="2"/>
    <n v="2"/>
  </r>
  <r>
    <x v="0"/>
    <x v="1"/>
    <x v="7"/>
    <x v="5"/>
    <x v="3"/>
    <x v="4"/>
    <x v="13"/>
    <n v="2"/>
  </r>
  <r>
    <x v="0"/>
    <x v="1"/>
    <x v="7"/>
    <x v="5"/>
    <x v="3"/>
    <x v="4"/>
    <x v="11"/>
    <n v="2"/>
  </r>
  <r>
    <x v="0"/>
    <x v="1"/>
    <x v="7"/>
    <x v="5"/>
    <x v="3"/>
    <x v="5"/>
    <x v="13"/>
    <n v="2"/>
  </r>
  <r>
    <x v="0"/>
    <x v="1"/>
    <x v="7"/>
    <x v="5"/>
    <x v="3"/>
    <x v="5"/>
    <x v="11"/>
    <n v="2"/>
  </r>
  <r>
    <x v="0"/>
    <x v="1"/>
    <x v="7"/>
    <x v="5"/>
    <x v="3"/>
    <x v="11"/>
    <x v="13"/>
    <n v="1"/>
  </r>
  <r>
    <x v="0"/>
    <x v="1"/>
    <x v="7"/>
    <x v="5"/>
    <x v="3"/>
    <x v="9"/>
    <x v="18"/>
    <n v="2"/>
  </r>
  <r>
    <x v="0"/>
    <x v="1"/>
    <x v="7"/>
    <x v="5"/>
    <x v="3"/>
    <x v="12"/>
    <x v="18"/>
    <n v="3"/>
  </r>
  <r>
    <x v="0"/>
    <x v="1"/>
    <x v="7"/>
    <x v="5"/>
    <x v="3"/>
    <x v="7"/>
    <x v="11"/>
    <n v="1"/>
  </r>
  <r>
    <x v="0"/>
    <x v="1"/>
    <x v="7"/>
    <x v="5"/>
    <x v="3"/>
    <x v="7"/>
    <x v="19"/>
    <n v="1"/>
  </r>
  <r>
    <x v="0"/>
    <x v="1"/>
    <x v="7"/>
    <x v="5"/>
    <x v="11"/>
    <x v="3"/>
    <x v="17"/>
    <n v="1"/>
  </r>
  <r>
    <x v="0"/>
    <x v="1"/>
    <x v="7"/>
    <x v="6"/>
    <x v="2"/>
    <x v="19"/>
    <x v="0"/>
    <n v="13"/>
  </r>
  <r>
    <x v="0"/>
    <x v="1"/>
    <x v="7"/>
    <x v="6"/>
    <x v="2"/>
    <x v="16"/>
    <x v="19"/>
    <n v="72"/>
  </r>
  <r>
    <x v="0"/>
    <x v="1"/>
    <x v="7"/>
    <x v="6"/>
    <x v="2"/>
    <x v="15"/>
    <x v="14"/>
    <n v="13"/>
  </r>
  <r>
    <x v="0"/>
    <x v="1"/>
    <x v="7"/>
    <x v="6"/>
    <x v="2"/>
    <x v="15"/>
    <x v="17"/>
    <n v="11"/>
  </r>
  <r>
    <x v="0"/>
    <x v="1"/>
    <x v="7"/>
    <x v="6"/>
    <x v="2"/>
    <x v="15"/>
    <x v="19"/>
    <n v="43"/>
  </r>
  <r>
    <x v="0"/>
    <x v="1"/>
    <x v="7"/>
    <x v="6"/>
    <x v="2"/>
    <x v="14"/>
    <x v="13"/>
    <n v="7"/>
  </r>
  <r>
    <x v="0"/>
    <x v="1"/>
    <x v="7"/>
    <x v="6"/>
    <x v="2"/>
    <x v="14"/>
    <x v="11"/>
    <n v="8"/>
  </r>
  <r>
    <x v="0"/>
    <x v="1"/>
    <x v="7"/>
    <x v="6"/>
    <x v="2"/>
    <x v="14"/>
    <x v="14"/>
    <n v="12"/>
  </r>
  <r>
    <x v="0"/>
    <x v="1"/>
    <x v="7"/>
    <x v="6"/>
    <x v="2"/>
    <x v="14"/>
    <x v="17"/>
    <n v="5"/>
  </r>
  <r>
    <x v="0"/>
    <x v="1"/>
    <x v="7"/>
    <x v="6"/>
    <x v="2"/>
    <x v="14"/>
    <x v="19"/>
    <n v="15"/>
  </r>
  <r>
    <x v="0"/>
    <x v="1"/>
    <x v="7"/>
    <x v="6"/>
    <x v="2"/>
    <x v="13"/>
    <x v="5"/>
    <n v="2"/>
  </r>
  <r>
    <x v="0"/>
    <x v="1"/>
    <x v="7"/>
    <x v="6"/>
    <x v="2"/>
    <x v="13"/>
    <x v="2"/>
    <n v="4"/>
  </r>
  <r>
    <x v="0"/>
    <x v="1"/>
    <x v="7"/>
    <x v="6"/>
    <x v="2"/>
    <x v="13"/>
    <x v="13"/>
    <n v="3"/>
  </r>
  <r>
    <x v="0"/>
    <x v="1"/>
    <x v="7"/>
    <x v="6"/>
    <x v="2"/>
    <x v="13"/>
    <x v="14"/>
    <n v="1"/>
  </r>
  <r>
    <x v="0"/>
    <x v="1"/>
    <x v="7"/>
    <x v="6"/>
    <x v="2"/>
    <x v="13"/>
    <x v="17"/>
    <n v="3"/>
  </r>
  <r>
    <x v="0"/>
    <x v="1"/>
    <x v="7"/>
    <x v="6"/>
    <x v="2"/>
    <x v="13"/>
    <x v="19"/>
    <n v="7"/>
  </r>
  <r>
    <x v="0"/>
    <x v="1"/>
    <x v="7"/>
    <x v="6"/>
    <x v="2"/>
    <x v="11"/>
    <x v="14"/>
    <n v="1"/>
  </r>
  <r>
    <x v="0"/>
    <x v="1"/>
    <x v="7"/>
    <x v="6"/>
    <x v="15"/>
    <x v="7"/>
    <x v="19"/>
    <n v="2"/>
  </r>
  <r>
    <x v="0"/>
    <x v="1"/>
    <x v="7"/>
    <x v="9"/>
    <x v="13"/>
    <x v="11"/>
    <x v="19"/>
    <n v="1"/>
  </r>
  <r>
    <x v="0"/>
    <x v="1"/>
    <x v="7"/>
    <x v="7"/>
    <x v="0"/>
    <x v="10"/>
    <x v="0"/>
    <n v="2"/>
  </r>
  <r>
    <x v="0"/>
    <x v="1"/>
    <x v="7"/>
    <x v="7"/>
    <x v="0"/>
    <x v="3"/>
    <x v="18"/>
    <n v="1"/>
  </r>
  <r>
    <x v="0"/>
    <x v="1"/>
    <x v="7"/>
    <x v="7"/>
    <x v="0"/>
    <x v="4"/>
    <x v="0"/>
    <n v="2"/>
  </r>
  <r>
    <x v="0"/>
    <x v="1"/>
    <x v="7"/>
    <x v="8"/>
    <x v="13"/>
    <x v="15"/>
    <x v="19"/>
    <n v="5"/>
  </r>
  <r>
    <x v="0"/>
    <x v="1"/>
    <x v="7"/>
    <x v="8"/>
    <x v="13"/>
    <x v="13"/>
    <x v="13"/>
    <n v="1"/>
  </r>
  <r>
    <x v="0"/>
    <x v="1"/>
    <x v="7"/>
    <x v="8"/>
    <x v="13"/>
    <x v="13"/>
    <x v="17"/>
    <n v="1"/>
  </r>
  <r>
    <x v="0"/>
    <x v="1"/>
    <x v="7"/>
    <x v="8"/>
    <x v="13"/>
    <x v="13"/>
    <x v="19"/>
    <n v="2"/>
  </r>
  <r>
    <x v="0"/>
    <x v="1"/>
    <x v="7"/>
    <x v="8"/>
    <x v="11"/>
    <x v="6"/>
    <x v="14"/>
    <n v="1"/>
  </r>
  <r>
    <x v="0"/>
    <x v="1"/>
    <x v="7"/>
    <x v="8"/>
    <x v="18"/>
    <x v="6"/>
    <x v="19"/>
    <n v="1"/>
  </r>
  <r>
    <x v="0"/>
    <x v="1"/>
    <x v="7"/>
    <x v="11"/>
    <x v="8"/>
    <x v="14"/>
    <x v="4"/>
    <n v="2"/>
  </r>
  <r>
    <x v="0"/>
    <x v="1"/>
    <x v="7"/>
    <x v="11"/>
    <x v="8"/>
    <x v="14"/>
    <x v="5"/>
    <n v="3"/>
  </r>
  <r>
    <x v="0"/>
    <x v="1"/>
    <x v="7"/>
    <x v="11"/>
    <x v="8"/>
    <x v="14"/>
    <x v="2"/>
    <n v="1"/>
  </r>
  <r>
    <x v="0"/>
    <x v="1"/>
    <x v="7"/>
    <x v="11"/>
    <x v="8"/>
    <x v="14"/>
    <x v="13"/>
    <n v="2"/>
  </r>
  <r>
    <x v="0"/>
    <x v="1"/>
    <x v="7"/>
    <x v="11"/>
    <x v="8"/>
    <x v="13"/>
    <x v="4"/>
    <n v="3"/>
  </r>
  <r>
    <x v="0"/>
    <x v="1"/>
    <x v="7"/>
    <x v="12"/>
    <x v="1"/>
    <x v="13"/>
    <x v="0"/>
    <n v="1"/>
  </r>
  <r>
    <x v="0"/>
    <x v="1"/>
    <x v="7"/>
    <x v="12"/>
    <x v="1"/>
    <x v="13"/>
    <x v="18"/>
    <n v="2"/>
  </r>
  <r>
    <x v="0"/>
    <x v="1"/>
    <x v="7"/>
    <x v="12"/>
    <x v="1"/>
    <x v="2"/>
    <x v="13"/>
    <n v="1"/>
  </r>
  <r>
    <x v="0"/>
    <x v="1"/>
    <x v="7"/>
    <x v="12"/>
    <x v="1"/>
    <x v="2"/>
    <x v="11"/>
    <n v="1"/>
  </r>
  <r>
    <x v="0"/>
    <x v="1"/>
    <x v="7"/>
    <x v="12"/>
    <x v="1"/>
    <x v="2"/>
    <x v="14"/>
    <n v="1"/>
  </r>
  <r>
    <x v="0"/>
    <x v="3"/>
    <x v="2"/>
    <x v="6"/>
    <x v="18"/>
    <x v="0"/>
    <x v="5"/>
    <n v="1"/>
  </r>
  <r>
    <x v="0"/>
    <x v="3"/>
    <x v="2"/>
    <x v="6"/>
    <x v="18"/>
    <x v="0"/>
    <x v="2"/>
    <n v="3"/>
  </r>
  <r>
    <x v="0"/>
    <x v="3"/>
    <x v="2"/>
    <x v="7"/>
    <x v="2"/>
    <x v="0"/>
    <x v="19"/>
    <n v="1"/>
  </r>
  <r>
    <x v="0"/>
    <x v="3"/>
    <x v="2"/>
    <x v="7"/>
    <x v="13"/>
    <x v="0"/>
    <x v="1"/>
    <n v="1"/>
  </r>
  <r>
    <x v="0"/>
    <x v="3"/>
    <x v="2"/>
    <x v="10"/>
    <x v="0"/>
    <x v="0"/>
    <x v="19"/>
    <n v="48"/>
  </r>
  <r>
    <x v="0"/>
    <x v="3"/>
    <x v="2"/>
    <x v="10"/>
    <x v="15"/>
    <x v="0"/>
    <x v="18"/>
    <n v="1"/>
  </r>
  <r>
    <x v="0"/>
    <x v="3"/>
    <x v="2"/>
    <x v="10"/>
    <x v="3"/>
    <x v="0"/>
    <x v="9"/>
    <n v="1"/>
  </r>
  <r>
    <x v="0"/>
    <x v="3"/>
    <x v="2"/>
    <x v="10"/>
    <x v="3"/>
    <x v="0"/>
    <x v="5"/>
    <n v="1"/>
  </r>
  <r>
    <x v="0"/>
    <x v="3"/>
    <x v="2"/>
    <x v="10"/>
    <x v="3"/>
    <x v="0"/>
    <x v="0"/>
    <n v="3"/>
  </r>
  <r>
    <x v="0"/>
    <x v="3"/>
    <x v="2"/>
    <x v="11"/>
    <x v="7"/>
    <x v="0"/>
    <x v="0"/>
    <n v="1"/>
  </r>
  <r>
    <x v="0"/>
    <x v="3"/>
    <x v="2"/>
    <x v="12"/>
    <x v="0"/>
    <x v="0"/>
    <x v="19"/>
    <n v="3"/>
  </r>
  <r>
    <x v="0"/>
    <x v="3"/>
    <x v="2"/>
    <x v="12"/>
    <x v="15"/>
    <x v="0"/>
    <x v="12"/>
    <n v="1"/>
  </r>
  <r>
    <x v="0"/>
    <x v="3"/>
    <x v="2"/>
    <x v="12"/>
    <x v="15"/>
    <x v="0"/>
    <x v="9"/>
    <n v="2"/>
  </r>
  <r>
    <x v="0"/>
    <x v="3"/>
    <x v="2"/>
    <x v="12"/>
    <x v="15"/>
    <x v="0"/>
    <x v="3"/>
    <n v="2"/>
  </r>
  <r>
    <x v="0"/>
    <x v="3"/>
    <x v="2"/>
    <x v="14"/>
    <x v="14"/>
    <x v="0"/>
    <x v="0"/>
    <n v="5"/>
  </r>
  <r>
    <x v="0"/>
    <x v="3"/>
    <x v="2"/>
    <x v="14"/>
    <x v="14"/>
    <x v="0"/>
    <x v="18"/>
    <n v="7"/>
  </r>
  <r>
    <x v="0"/>
    <x v="3"/>
    <x v="2"/>
    <x v="14"/>
    <x v="19"/>
    <x v="0"/>
    <x v="19"/>
    <n v="1"/>
  </r>
  <r>
    <x v="0"/>
    <x v="3"/>
    <x v="2"/>
    <x v="18"/>
    <x v="0"/>
    <x v="0"/>
    <x v="5"/>
    <n v="1"/>
  </r>
  <r>
    <x v="0"/>
    <x v="3"/>
    <x v="2"/>
    <x v="18"/>
    <x v="0"/>
    <x v="0"/>
    <x v="11"/>
    <n v="2"/>
  </r>
  <r>
    <x v="0"/>
    <x v="3"/>
    <x v="2"/>
    <x v="18"/>
    <x v="10"/>
    <x v="0"/>
    <x v="19"/>
    <n v="3"/>
  </r>
  <r>
    <x v="0"/>
    <x v="3"/>
    <x v="2"/>
    <x v="15"/>
    <x v="16"/>
    <x v="0"/>
    <x v="19"/>
    <n v="1"/>
  </r>
  <r>
    <x v="0"/>
    <x v="3"/>
    <x v="2"/>
    <x v="15"/>
    <x v="5"/>
    <x v="0"/>
    <x v="18"/>
    <n v="8"/>
  </r>
  <r>
    <x v="0"/>
    <x v="3"/>
    <x v="2"/>
    <x v="16"/>
    <x v="17"/>
    <x v="0"/>
    <x v="11"/>
    <n v="1"/>
  </r>
  <r>
    <x v="0"/>
    <x v="3"/>
    <x v="2"/>
    <x v="17"/>
    <x v="11"/>
    <x v="0"/>
    <x v="14"/>
    <n v="3"/>
  </r>
  <r>
    <x v="0"/>
    <x v="3"/>
    <x v="2"/>
    <x v="17"/>
    <x v="11"/>
    <x v="0"/>
    <x v="17"/>
    <n v="1"/>
  </r>
  <r>
    <x v="0"/>
    <x v="3"/>
    <x v="2"/>
    <x v="17"/>
    <x v="11"/>
    <x v="0"/>
    <x v="19"/>
    <n v="1"/>
  </r>
  <r>
    <x v="0"/>
    <x v="3"/>
    <x v="2"/>
    <x v="19"/>
    <x v="2"/>
    <x v="0"/>
    <x v="0"/>
    <n v="1"/>
  </r>
  <r>
    <x v="0"/>
    <x v="3"/>
    <x v="2"/>
    <x v="19"/>
    <x v="10"/>
    <x v="0"/>
    <x v="1"/>
    <n v="4"/>
  </r>
  <r>
    <x v="0"/>
    <x v="3"/>
    <x v="2"/>
    <x v="19"/>
    <x v="19"/>
    <x v="0"/>
    <x v="19"/>
    <n v="2"/>
  </r>
  <r>
    <x v="0"/>
    <x v="3"/>
    <x v="3"/>
    <x v="0"/>
    <x v="11"/>
    <x v="0"/>
    <x v="19"/>
    <n v="1"/>
  </r>
  <r>
    <x v="0"/>
    <x v="3"/>
    <x v="3"/>
    <x v="1"/>
    <x v="7"/>
    <x v="0"/>
    <x v="13"/>
    <n v="1"/>
  </r>
  <r>
    <x v="0"/>
    <x v="3"/>
    <x v="3"/>
    <x v="4"/>
    <x v="2"/>
    <x v="0"/>
    <x v="13"/>
    <n v="1"/>
  </r>
  <r>
    <x v="0"/>
    <x v="3"/>
    <x v="3"/>
    <x v="4"/>
    <x v="2"/>
    <x v="0"/>
    <x v="11"/>
    <n v="1"/>
  </r>
  <r>
    <x v="0"/>
    <x v="3"/>
    <x v="3"/>
    <x v="8"/>
    <x v="13"/>
    <x v="5"/>
    <x v="13"/>
    <n v="1"/>
  </r>
  <r>
    <x v="0"/>
    <x v="3"/>
    <x v="3"/>
    <x v="10"/>
    <x v="19"/>
    <x v="7"/>
    <x v="10"/>
    <n v="1"/>
  </r>
  <r>
    <x v="0"/>
    <x v="3"/>
    <x v="3"/>
    <x v="11"/>
    <x v="0"/>
    <x v="0"/>
    <x v="1"/>
    <n v="1"/>
  </r>
  <r>
    <x v="0"/>
    <x v="3"/>
    <x v="3"/>
    <x v="12"/>
    <x v="19"/>
    <x v="0"/>
    <x v="19"/>
    <n v="4"/>
  </r>
  <r>
    <x v="0"/>
    <x v="3"/>
    <x v="3"/>
    <x v="15"/>
    <x v="13"/>
    <x v="0"/>
    <x v="5"/>
    <n v="1"/>
  </r>
  <r>
    <x v="0"/>
    <x v="3"/>
    <x v="3"/>
    <x v="15"/>
    <x v="9"/>
    <x v="0"/>
    <x v="0"/>
    <n v="1"/>
  </r>
  <r>
    <x v="0"/>
    <x v="3"/>
    <x v="3"/>
    <x v="19"/>
    <x v="12"/>
    <x v="0"/>
    <x v="6"/>
    <n v="1"/>
  </r>
  <r>
    <x v="0"/>
    <x v="3"/>
    <x v="4"/>
    <x v="0"/>
    <x v="1"/>
    <x v="9"/>
    <x v="10"/>
    <n v="1"/>
  </r>
  <r>
    <x v="0"/>
    <x v="3"/>
    <x v="4"/>
    <x v="0"/>
    <x v="1"/>
    <x v="1"/>
    <x v="10"/>
    <n v="1"/>
  </r>
  <r>
    <x v="0"/>
    <x v="3"/>
    <x v="4"/>
    <x v="0"/>
    <x v="1"/>
    <x v="0"/>
    <x v="7"/>
    <n v="2"/>
  </r>
  <r>
    <x v="0"/>
    <x v="3"/>
    <x v="4"/>
    <x v="0"/>
    <x v="1"/>
    <x v="0"/>
    <x v="6"/>
    <n v="15"/>
  </r>
  <r>
    <x v="0"/>
    <x v="3"/>
    <x v="4"/>
    <x v="0"/>
    <x v="1"/>
    <x v="0"/>
    <x v="10"/>
    <n v="15"/>
  </r>
  <r>
    <x v="0"/>
    <x v="3"/>
    <x v="4"/>
    <x v="0"/>
    <x v="1"/>
    <x v="0"/>
    <x v="1"/>
    <n v="8"/>
  </r>
  <r>
    <x v="0"/>
    <x v="3"/>
    <x v="4"/>
    <x v="0"/>
    <x v="1"/>
    <x v="0"/>
    <x v="5"/>
    <n v="1"/>
  </r>
  <r>
    <x v="0"/>
    <x v="3"/>
    <x v="4"/>
    <x v="0"/>
    <x v="10"/>
    <x v="0"/>
    <x v="9"/>
    <n v="1"/>
  </r>
  <r>
    <x v="0"/>
    <x v="3"/>
    <x v="4"/>
    <x v="0"/>
    <x v="10"/>
    <x v="0"/>
    <x v="3"/>
    <n v="1"/>
  </r>
  <r>
    <x v="0"/>
    <x v="3"/>
    <x v="4"/>
    <x v="0"/>
    <x v="19"/>
    <x v="12"/>
    <x v="7"/>
    <n v="1"/>
  </r>
  <r>
    <x v="0"/>
    <x v="3"/>
    <x v="4"/>
    <x v="1"/>
    <x v="0"/>
    <x v="0"/>
    <x v="12"/>
    <n v="1"/>
  </r>
  <r>
    <x v="0"/>
    <x v="3"/>
    <x v="4"/>
    <x v="2"/>
    <x v="15"/>
    <x v="0"/>
    <x v="10"/>
    <n v="2"/>
  </r>
  <r>
    <x v="0"/>
    <x v="3"/>
    <x v="4"/>
    <x v="2"/>
    <x v="6"/>
    <x v="9"/>
    <x v="6"/>
    <n v="1"/>
  </r>
  <r>
    <x v="0"/>
    <x v="3"/>
    <x v="4"/>
    <x v="2"/>
    <x v="6"/>
    <x v="9"/>
    <x v="10"/>
    <n v="1"/>
  </r>
  <r>
    <x v="0"/>
    <x v="3"/>
    <x v="4"/>
    <x v="2"/>
    <x v="6"/>
    <x v="12"/>
    <x v="7"/>
    <n v="1"/>
  </r>
  <r>
    <x v="0"/>
    <x v="3"/>
    <x v="4"/>
    <x v="2"/>
    <x v="6"/>
    <x v="12"/>
    <x v="6"/>
    <n v="6"/>
  </r>
  <r>
    <x v="0"/>
    <x v="3"/>
    <x v="4"/>
    <x v="2"/>
    <x v="6"/>
    <x v="1"/>
    <x v="7"/>
    <n v="1"/>
  </r>
  <r>
    <x v="0"/>
    <x v="3"/>
    <x v="4"/>
    <x v="2"/>
    <x v="6"/>
    <x v="1"/>
    <x v="6"/>
    <n v="7"/>
  </r>
  <r>
    <x v="0"/>
    <x v="3"/>
    <x v="4"/>
    <x v="2"/>
    <x v="6"/>
    <x v="1"/>
    <x v="12"/>
    <n v="1"/>
  </r>
  <r>
    <x v="0"/>
    <x v="3"/>
    <x v="4"/>
    <x v="2"/>
    <x v="6"/>
    <x v="8"/>
    <x v="11"/>
    <n v="2"/>
  </r>
  <r>
    <x v="0"/>
    <x v="3"/>
    <x v="4"/>
    <x v="3"/>
    <x v="0"/>
    <x v="0"/>
    <x v="14"/>
    <n v="1"/>
  </r>
  <r>
    <x v="0"/>
    <x v="3"/>
    <x v="4"/>
    <x v="3"/>
    <x v="12"/>
    <x v="0"/>
    <x v="13"/>
    <n v="4"/>
  </r>
  <r>
    <x v="0"/>
    <x v="3"/>
    <x v="4"/>
    <x v="4"/>
    <x v="1"/>
    <x v="8"/>
    <x v="6"/>
    <n v="3"/>
  </r>
  <r>
    <x v="0"/>
    <x v="3"/>
    <x v="4"/>
    <x v="5"/>
    <x v="13"/>
    <x v="0"/>
    <x v="0"/>
    <n v="2"/>
  </r>
  <r>
    <x v="0"/>
    <x v="3"/>
    <x v="4"/>
    <x v="5"/>
    <x v="13"/>
    <x v="0"/>
    <x v="18"/>
    <n v="2"/>
  </r>
  <r>
    <x v="0"/>
    <x v="3"/>
    <x v="4"/>
    <x v="5"/>
    <x v="9"/>
    <x v="0"/>
    <x v="13"/>
    <n v="4"/>
  </r>
  <r>
    <x v="0"/>
    <x v="3"/>
    <x v="4"/>
    <x v="5"/>
    <x v="9"/>
    <x v="0"/>
    <x v="11"/>
    <n v="3"/>
  </r>
  <r>
    <x v="0"/>
    <x v="3"/>
    <x v="4"/>
    <x v="5"/>
    <x v="9"/>
    <x v="0"/>
    <x v="17"/>
    <n v="2"/>
  </r>
  <r>
    <x v="0"/>
    <x v="3"/>
    <x v="4"/>
    <x v="5"/>
    <x v="9"/>
    <x v="0"/>
    <x v="19"/>
    <n v="1"/>
  </r>
  <r>
    <x v="0"/>
    <x v="3"/>
    <x v="4"/>
    <x v="6"/>
    <x v="19"/>
    <x v="0"/>
    <x v="4"/>
    <n v="3"/>
  </r>
  <r>
    <x v="0"/>
    <x v="3"/>
    <x v="4"/>
    <x v="6"/>
    <x v="19"/>
    <x v="0"/>
    <x v="5"/>
    <n v="1"/>
  </r>
  <r>
    <x v="0"/>
    <x v="3"/>
    <x v="4"/>
    <x v="9"/>
    <x v="10"/>
    <x v="10"/>
    <x v="5"/>
    <n v="1"/>
  </r>
  <r>
    <x v="0"/>
    <x v="3"/>
    <x v="4"/>
    <x v="9"/>
    <x v="10"/>
    <x v="4"/>
    <x v="5"/>
    <n v="2"/>
  </r>
  <r>
    <x v="0"/>
    <x v="3"/>
    <x v="4"/>
    <x v="9"/>
    <x v="10"/>
    <x v="5"/>
    <x v="4"/>
    <n v="1"/>
  </r>
  <r>
    <x v="0"/>
    <x v="3"/>
    <x v="4"/>
    <x v="7"/>
    <x v="12"/>
    <x v="0"/>
    <x v="1"/>
    <n v="5"/>
  </r>
  <r>
    <x v="0"/>
    <x v="3"/>
    <x v="4"/>
    <x v="11"/>
    <x v="14"/>
    <x v="11"/>
    <x v="5"/>
    <n v="1"/>
  </r>
  <r>
    <x v="0"/>
    <x v="3"/>
    <x v="4"/>
    <x v="11"/>
    <x v="14"/>
    <x v="9"/>
    <x v="3"/>
    <n v="1"/>
  </r>
  <r>
    <x v="0"/>
    <x v="3"/>
    <x v="4"/>
    <x v="11"/>
    <x v="10"/>
    <x v="0"/>
    <x v="17"/>
    <n v="4"/>
  </r>
  <r>
    <x v="0"/>
    <x v="3"/>
    <x v="4"/>
    <x v="12"/>
    <x v="2"/>
    <x v="0"/>
    <x v="12"/>
    <n v="1"/>
  </r>
  <r>
    <x v="0"/>
    <x v="3"/>
    <x v="4"/>
    <x v="12"/>
    <x v="2"/>
    <x v="0"/>
    <x v="18"/>
    <n v="1"/>
  </r>
  <r>
    <x v="0"/>
    <x v="3"/>
    <x v="4"/>
    <x v="13"/>
    <x v="16"/>
    <x v="8"/>
    <x v="3"/>
    <n v="1"/>
  </r>
  <r>
    <x v="0"/>
    <x v="3"/>
    <x v="4"/>
    <x v="13"/>
    <x v="1"/>
    <x v="0"/>
    <x v="11"/>
    <n v="3"/>
  </r>
  <r>
    <x v="0"/>
    <x v="3"/>
    <x v="4"/>
    <x v="13"/>
    <x v="1"/>
    <x v="0"/>
    <x v="14"/>
    <n v="3"/>
  </r>
  <r>
    <x v="0"/>
    <x v="3"/>
    <x v="4"/>
    <x v="13"/>
    <x v="1"/>
    <x v="0"/>
    <x v="17"/>
    <n v="3"/>
  </r>
  <r>
    <x v="0"/>
    <x v="1"/>
    <x v="7"/>
    <x v="12"/>
    <x v="1"/>
    <x v="2"/>
    <x v="17"/>
    <n v="1"/>
  </r>
  <r>
    <x v="0"/>
    <x v="1"/>
    <x v="7"/>
    <x v="12"/>
    <x v="1"/>
    <x v="2"/>
    <x v="19"/>
    <n v="3"/>
  </r>
  <r>
    <x v="0"/>
    <x v="1"/>
    <x v="7"/>
    <x v="12"/>
    <x v="1"/>
    <x v="10"/>
    <x v="2"/>
    <n v="1"/>
  </r>
  <r>
    <x v="0"/>
    <x v="1"/>
    <x v="7"/>
    <x v="12"/>
    <x v="1"/>
    <x v="10"/>
    <x v="13"/>
    <n v="1"/>
  </r>
  <r>
    <x v="0"/>
    <x v="1"/>
    <x v="7"/>
    <x v="12"/>
    <x v="1"/>
    <x v="10"/>
    <x v="11"/>
    <n v="3"/>
  </r>
  <r>
    <x v="0"/>
    <x v="1"/>
    <x v="7"/>
    <x v="12"/>
    <x v="1"/>
    <x v="10"/>
    <x v="17"/>
    <n v="1"/>
  </r>
  <r>
    <x v="0"/>
    <x v="1"/>
    <x v="7"/>
    <x v="12"/>
    <x v="1"/>
    <x v="3"/>
    <x v="2"/>
    <n v="1"/>
  </r>
  <r>
    <x v="0"/>
    <x v="1"/>
    <x v="7"/>
    <x v="12"/>
    <x v="1"/>
    <x v="3"/>
    <x v="11"/>
    <n v="3"/>
  </r>
  <r>
    <x v="0"/>
    <x v="1"/>
    <x v="7"/>
    <x v="12"/>
    <x v="1"/>
    <x v="4"/>
    <x v="2"/>
    <n v="1"/>
  </r>
  <r>
    <x v="0"/>
    <x v="1"/>
    <x v="7"/>
    <x v="12"/>
    <x v="1"/>
    <x v="4"/>
    <x v="13"/>
    <n v="1"/>
  </r>
  <r>
    <x v="0"/>
    <x v="1"/>
    <x v="7"/>
    <x v="12"/>
    <x v="1"/>
    <x v="5"/>
    <x v="2"/>
    <n v="1"/>
  </r>
  <r>
    <x v="0"/>
    <x v="1"/>
    <x v="7"/>
    <x v="12"/>
    <x v="1"/>
    <x v="9"/>
    <x v="0"/>
    <n v="1"/>
  </r>
  <r>
    <x v="0"/>
    <x v="1"/>
    <x v="7"/>
    <x v="12"/>
    <x v="1"/>
    <x v="12"/>
    <x v="18"/>
    <n v="1"/>
  </r>
  <r>
    <x v="0"/>
    <x v="1"/>
    <x v="7"/>
    <x v="12"/>
    <x v="1"/>
    <x v="7"/>
    <x v="14"/>
    <n v="1"/>
  </r>
  <r>
    <x v="0"/>
    <x v="1"/>
    <x v="7"/>
    <x v="12"/>
    <x v="6"/>
    <x v="19"/>
    <x v="11"/>
    <n v="1"/>
  </r>
  <r>
    <x v="0"/>
    <x v="1"/>
    <x v="7"/>
    <x v="12"/>
    <x v="6"/>
    <x v="19"/>
    <x v="17"/>
    <n v="1"/>
  </r>
  <r>
    <x v="0"/>
    <x v="1"/>
    <x v="7"/>
    <x v="12"/>
    <x v="6"/>
    <x v="16"/>
    <x v="11"/>
    <n v="1"/>
  </r>
  <r>
    <x v="0"/>
    <x v="1"/>
    <x v="7"/>
    <x v="12"/>
    <x v="6"/>
    <x v="15"/>
    <x v="5"/>
    <n v="1"/>
  </r>
  <r>
    <x v="0"/>
    <x v="1"/>
    <x v="7"/>
    <x v="12"/>
    <x v="6"/>
    <x v="3"/>
    <x v="5"/>
    <n v="2"/>
  </r>
  <r>
    <x v="0"/>
    <x v="1"/>
    <x v="7"/>
    <x v="13"/>
    <x v="6"/>
    <x v="14"/>
    <x v="18"/>
    <n v="2"/>
  </r>
  <r>
    <x v="0"/>
    <x v="1"/>
    <x v="7"/>
    <x v="13"/>
    <x v="6"/>
    <x v="13"/>
    <x v="0"/>
    <n v="1"/>
  </r>
  <r>
    <x v="0"/>
    <x v="1"/>
    <x v="7"/>
    <x v="13"/>
    <x v="6"/>
    <x v="9"/>
    <x v="18"/>
    <n v="2"/>
  </r>
  <r>
    <x v="0"/>
    <x v="1"/>
    <x v="7"/>
    <x v="13"/>
    <x v="17"/>
    <x v="18"/>
    <x v="19"/>
    <n v="51"/>
  </r>
  <r>
    <x v="0"/>
    <x v="1"/>
    <x v="7"/>
    <x v="13"/>
    <x v="17"/>
    <x v="19"/>
    <x v="14"/>
    <n v="3"/>
  </r>
  <r>
    <x v="0"/>
    <x v="1"/>
    <x v="7"/>
    <x v="13"/>
    <x v="17"/>
    <x v="16"/>
    <x v="0"/>
    <n v="16"/>
  </r>
  <r>
    <x v="0"/>
    <x v="1"/>
    <x v="7"/>
    <x v="13"/>
    <x v="17"/>
    <x v="16"/>
    <x v="18"/>
    <n v="29"/>
  </r>
  <r>
    <x v="0"/>
    <x v="1"/>
    <x v="7"/>
    <x v="13"/>
    <x v="17"/>
    <x v="15"/>
    <x v="0"/>
    <n v="18"/>
  </r>
  <r>
    <x v="0"/>
    <x v="1"/>
    <x v="7"/>
    <x v="13"/>
    <x v="17"/>
    <x v="15"/>
    <x v="18"/>
    <n v="15"/>
  </r>
  <r>
    <x v="0"/>
    <x v="1"/>
    <x v="7"/>
    <x v="13"/>
    <x v="17"/>
    <x v="2"/>
    <x v="18"/>
    <n v="2"/>
  </r>
  <r>
    <x v="0"/>
    <x v="1"/>
    <x v="7"/>
    <x v="13"/>
    <x v="17"/>
    <x v="10"/>
    <x v="0"/>
    <n v="2"/>
  </r>
  <r>
    <x v="0"/>
    <x v="1"/>
    <x v="7"/>
    <x v="13"/>
    <x v="17"/>
    <x v="10"/>
    <x v="18"/>
    <n v="1"/>
  </r>
  <r>
    <x v="0"/>
    <x v="1"/>
    <x v="7"/>
    <x v="13"/>
    <x v="17"/>
    <x v="3"/>
    <x v="0"/>
    <n v="6"/>
  </r>
  <r>
    <x v="0"/>
    <x v="1"/>
    <x v="7"/>
    <x v="13"/>
    <x v="17"/>
    <x v="3"/>
    <x v="18"/>
    <n v="2"/>
  </r>
  <r>
    <x v="0"/>
    <x v="1"/>
    <x v="7"/>
    <x v="14"/>
    <x v="16"/>
    <x v="10"/>
    <x v="11"/>
    <n v="2"/>
  </r>
  <r>
    <x v="0"/>
    <x v="1"/>
    <x v="7"/>
    <x v="14"/>
    <x v="16"/>
    <x v="11"/>
    <x v="5"/>
    <n v="1"/>
  </r>
  <r>
    <x v="0"/>
    <x v="1"/>
    <x v="7"/>
    <x v="14"/>
    <x v="16"/>
    <x v="11"/>
    <x v="2"/>
    <n v="1"/>
  </r>
  <r>
    <x v="0"/>
    <x v="1"/>
    <x v="7"/>
    <x v="18"/>
    <x v="8"/>
    <x v="7"/>
    <x v="19"/>
    <n v="1"/>
  </r>
  <r>
    <x v="0"/>
    <x v="1"/>
    <x v="7"/>
    <x v="16"/>
    <x v="19"/>
    <x v="5"/>
    <x v="17"/>
    <n v="1"/>
  </r>
  <r>
    <x v="0"/>
    <x v="1"/>
    <x v="7"/>
    <x v="17"/>
    <x v="9"/>
    <x v="16"/>
    <x v="19"/>
    <n v="22"/>
  </r>
  <r>
    <x v="0"/>
    <x v="1"/>
    <x v="7"/>
    <x v="17"/>
    <x v="9"/>
    <x v="2"/>
    <x v="14"/>
    <n v="1"/>
  </r>
  <r>
    <x v="0"/>
    <x v="1"/>
    <x v="7"/>
    <x v="17"/>
    <x v="9"/>
    <x v="2"/>
    <x v="17"/>
    <n v="3"/>
  </r>
  <r>
    <x v="0"/>
    <x v="1"/>
    <x v="7"/>
    <x v="17"/>
    <x v="9"/>
    <x v="2"/>
    <x v="19"/>
    <n v="10"/>
  </r>
  <r>
    <x v="0"/>
    <x v="1"/>
    <x v="7"/>
    <x v="17"/>
    <x v="9"/>
    <x v="10"/>
    <x v="14"/>
    <n v="1"/>
  </r>
  <r>
    <x v="0"/>
    <x v="1"/>
    <x v="7"/>
    <x v="17"/>
    <x v="9"/>
    <x v="10"/>
    <x v="19"/>
    <n v="4"/>
  </r>
  <r>
    <x v="0"/>
    <x v="1"/>
    <x v="7"/>
    <x v="17"/>
    <x v="9"/>
    <x v="3"/>
    <x v="13"/>
    <n v="1"/>
  </r>
  <r>
    <x v="0"/>
    <x v="1"/>
    <x v="7"/>
    <x v="17"/>
    <x v="9"/>
    <x v="3"/>
    <x v="19"/>
    <n v="3"/>
  </r>
  <r>
    <x v="0"/>
    <x v="1"/>
    <x v="7"/>
    <x v="17"/>
    <x v="9"/>
    <x v="4"/>
    <x v="19"/>
    <n v="4"/>
  </r>
  <r>
    <x v="0"/>
    <x v="1"/>
    <x v="7"/>
    <x v="19"/>
    <x v="7"/>
    <x v="17"/>
    <x v="14"/>
    <n v="2"/>
  </r>
  <r>
    <x v="0"/>
    <x v="1"/>
    <x v="7"/>
    <x v="19"/>
    <x v="7"/>
    <x v="18"/>
    <x v="11"/>
    <n v="12"/>
  </r>
  <r>
    <x v="0"/>
    <x v="1"/>
    <x v="7"/>
    <x v="19"/>
    <x v="7"/>
    <x v="18"/>
    <x v="14"/>
    <n v="7"/>
  </r>
  <r>
    <x v="0"/>
    <x v="1"/>
    <x v="7"/>
    <x v="19"/>
    <x v="7"/>
    <x v="18"/>
    <x v="17"/>
    <n v="6"/>
  </r>
  <r>
    <x v="0"/>
    <x v="1"/>
    <x v="7"/>
    <x v="19"/>
    <x v="7"/>
    <x v="18"/>
    <x v="19"/>
    <n v="2"/>
  </r>
  <r>
    <x v="0"/>
    <x v="1"/>
    <x v="7"/>
    <x v="19"/>
    <x v="7"/>
    <x v="19"/>
    <x v="4"/>
    <n v="1"/>
  </r>
  <r>
    <x v="0"/>
    <x v="1"/>
    <x v="7"/>
    <x v="19"/>
    <x v="7"/>
    <x v="19"/>
    <x v="5"/>
    <n v="10"/>
  </r>
  <r>
    <x v="0"/>
    <x v="1"/>
    <x v="7"/>
    <x v="19"/>
    <x v="7"/>
    <x v="19"/>
    <x v="2"/>
    <n v="23"/>
  </r>
  <r>
    <x v="0"/>
    <x v="1"/>
    <x v="7"/>
    <x v="19"/>
    <x v="7"/>
    <x v="19"/>
    <x v="13"/>
    <n v="20"/>
  </r>
  <r>
    <x v="0"/>
    <x v="1"/>
    <x v="7"/>
    <x v="19"/>
    <x v="7"/>
    <x v="19"/>
    <x v="11"/>
    <n v="28"/>
  </r>
  <r>
    <x v="0"/>
    <x v="1"/>
    <x v="7"/>
    <x v="19"/>
    <x v="7"/>
    <x v="19"/>
    <x v="14"/>
    <n v="14"/>
  </r>
  <r>
    <x v="0"/>
    <x v="1"/>
    <x v="7"/>
    <x v="19"/>
    <x v="7"/>
    <x v="16"/>
    <x v="4"/>
    <n v="3"/>
  </r>
  <r>
    <x v="0"/>
    <x v="1"/>
    <x v="7"/>
    <x v="19"/>
    <x v="7"/>
    <x v="16"/>
    <x v="5"/>
    <n v="24"/>
  </r>
  <r>
    <x v="0"/>
    <x v="1"/>
    <x v="7"/>
    <x v="19"/>
    <x v="7"/>
    <x v="16"/>
    <x v="0"/>
    <n v="3"/>
  </r>
  <r>
    <x v="0"/>
    <x v="1"/>
    <x v="7"/>
    <x v="19"/>
    <x v="7"/>
    <x v="16"/>
    <x v="18"/>
    <n v="1"/>
  </r>
  <r>
    <x v="0"/>
    <x v="1"/>
    <x v="7"/>
    <x v="19"/>
    <x v="7"/>
    <x v="15"/>
    <x v="0"/>
    <n v="1"/>
  </r>
  <r>
    <x v="0"/>
    <x v="1"/>
    <x v="7"/>
    <x v="19"/>
    <x v="7"/>
    <x v="2"/>
    <x v="18"/>
    <n v="1"/>
  </r>
  <r>
    <x v="0"/>
    <x v="1"/>
    <x v="7"/>
    <x v="19"/>
    <x v="7"/>
    <x v="10"/>
    <x v="0"/>
    <n v="1"/>
  </r>
  <r>
    <x v="0"/>
    <x v="1"/>
    <x v="7"/>
    <x v="19"/>
    <x v="10"/>
    <x v="12"/>
    <x v="11"/>
    <n v="1"/>
  </r>
  <r>
    <x v="0"/>
    <x v="1"/>
    <x v="7"/>
    <x v="19"/>
    <x v="10"/>
    <x v="7"/>
    <x v="0"/>
    <n v="1"/>
  </r>
  <r>
    <x v="0"/>
    <x v="2"/>
    <x v="0"/>
    <x v="2"/>
    <x v="6"/>
    <x v="0"/>
    <x v="1"/>
    <n v="1"/>
  </r>
  <r>
    <x v="0"/>
    <x v="2"/>
    <x v="0"/>
    <x v="8"/>
    <x v="10"/>
    <x v="11"/>
    <x v="10"/>
    <n v="1"/>
  </r>
  <r>
    <x v="0"/>
    <x v="2"/>
    <x v="0"/>
    <x v="8"/>
    <x v="10"/>
    <x v="9"/>
    <x v="10"/>
    <n v="3"/>
  </r>
  <r>
    <x v="0"/>
    <x v="2"/>
    <x v="0"/>
    <x v="11"/>
    <x v="8"/>
    <x v="10"/>
    <x v="15"/>
    <n v="1"/>
  </r>
  <r>
    <x v="0"/>
    <x v="2"/>
    <x v="0"/>
    <x v="11"/>
    <x v="8"/>
    <x v="3"/>
    <x v="15"/>
    <n v="2"/>
  </r>
  <r>
    <x v="0"/>
    <x v="2"/>
    <x v="0"/>
    <x v="11"/>
    <x v="8"/>
    <x v="5"/>
    <x v="2"/>
    <n v="1"/>
  </r>
  <r>
    <x v="0"/>
    <x v="2"/>
    <x v="0"/>
    <x v="11"/>
    <x v="8"/>
    <x v="6"/>
    <x v="10"/>
    <n v="1"/>
  </r>
  <r>
    <x v="0"/>
    <x v="2"/>
    <x v="0"/>
    <x v="13"/>
    <x v="17"/>
    <x v="2"/>
    <x v="3"/>
    <n v="1"/>
  </r>
  <r>
    <x v="0"/>
    <x v="2"/>
    <x v="0"/>
    <x v="14"/>
    <x v="16"/>
    <x v="11"/>
    <x v="6"/>
    <n v="1"/>
  </r>
  <r>
    <x v="0"/>
    <x v="2"/>
    <x v="0"/>
    <x v="19"/>
    <x v="7"/>
    <x v="14"/>
    <x v="8"/>
    <n v="1"/>
  </r>
  <r>
    <x v="0"/>
    <x v="2"/>
    <x v="0"/>
    <x v="19"/>
    <x v="7"/>
    <x v="2"/>
    <x v="6"/>
    <n v="1"/>
  </r>
  <r>
    <x v="0"/>
    <x v="2"/>
    <x v="0"/>
    <x v="19"/>
    <x v="7"/>
    <x v="10"/>
    <x v="7"/>
    <n v="1"/>
  </r>
  <r>
    <x v="0"/>
    <x v="2"/>
    <x v="0"/>
    <x v="19"/>
    <x v="7"/>
    <x v="3"/>
    <x v="7"/>
    <n v="2"/>
  </r>
  <r>
    <x v="0"/>
    <x v="2"/>
    <x v="0"/>
    <x v="19"/>
    <x v="7"/>
    <x v="3"/>
    <x v="10"/>
    <n v="1"/>
  </r>
  <r>
    <x v="0"/>
    <x v="2"/>
    <x v="0"/>
    <x v="19"/>
    <x v="10"/>
    <x v="7"/>
    <x v="6"/>
    <n v="1"/>
  </r>
  <r>
    <x v="0"/>
    <x v="2"/>
    <x v="1"/>
    <x v="5"/>
    <x v="6"/>
    <x v="16"/>
    <x v="17"/>
    <n v="1"/>
  </r>
  <r>
    <x v="0"/>
    <x v="2"/>
    <x v="1"/>
    <x v="9"/>
    <x v="10"/>
    <x v="13"/>
    <x v="5"/>
    <n v="1"/>
  </r>
  <r>
    <x v="0"/>
    <x v="2"/>
    <x v="1"/>
    <x v="8"/>
    <x v="7"/>
    <x v="19"/>
    <x v="0"/>
    <n v="1"/>
  </r>
  <r>
    <x v="0"/>
    <x v="2"/>
    <x v="1"/>
    <x v="8"/>
    <x v="7"/>
    <x v="16"/>
    <x v="17"/>
    <n v="1"/>
  </r>
  <r>
    <x v="0"/>
    <x v="2"/>
    <x v="1"/>
    <x v="8"/>
    <x v="7"/>
    <x v="10"/>
    <x v="19"/>
    <n v="1"/>
  </r>
  <r>
    <x v="0"/>
    <x v="2"/>
    <x v="1"/>
    <x v="11"/>
    <x v="7"/>
    <x v="9"/>
    <x v="0"/>
    <n v="1"/>
  </r>
  <r>
    <x v="0"/>
    <x v="2"/>
    <x v="1"/>
    <x v="13"/>
    <x v="16"/>
    <x v="6"/>
    <x v="5"/>
    <n v="1"/>
  </r>
  <r>
    <x v="0"/>
    <x v="2"/>
    <x v="1"/>
    <x v="19"/>
    <x v="7"/>
    <x v="16"/>
    <x v="1"/>
    <n v="1"/>
  </r>
  <r>
    <x v="0"/>
    <x v="2"/>
    <x v="1"/>
    <x v="19"/>
    <x v="7"/>
    <x v="16"/>
    <x v="9"/>
    <n v="1"/>
  </r>
  <r>
    <x v="0"/>
    <x v="2"/>
    <x v="1"/>
    <x v="19"/>
    <x v="7"/>
    <x v="5"/>
    <x v="3"/>
    <n v="1"/>
  </r>
  <r>
    <x v="0"/>
    <x v="2"/>
    <x v="1"/>
    <x v="19"/>
    <x v="7"/>
    <x v="11"/>
    <x v="3"/>
    <n v="1"/>
  </r>
  <r>
    <x v="0"/>
    <x v="2"/>
    <x v="2"/>
    <x v="0"/>
    <x v="8"/>
    <x v="0"/>
    <x v="19"/>
    <n v="1"/>
  </r>
  <r>
    <x v="0"/>
    <x v="2"/>
    <x v="2"/>
    <x v="6"/>
    <x v="9"/>
    <x v="0"/>
    <x v="19"/>
    <n v="1"/>
  </r>
  <r>
    <x v="0"/>
    <x v="2"/>
    <x v="2"/>
    <x v="10"/>
    <x v="0"/>
    <x v="0"/>
    <x v="19"/>
    <n v="8"/>
  </r>
  <r>
    <x v="0"/>
    <x v="2"/>
    <x v="2"/>
    <x v="13"/>
    <x v="5"/>
    <x v="0"/>
    <x v="19"/>
    <n v="5"/>
  </r>
  <r>
    <x v="0"/>
    <x v="2"/>
    <x v="2"/>
    <x v="18"/>
    <x v="0"/>
    <x v="0"/>
    <x v="2"/>
    <n v="1"/>
  </r>
  <r>
    <x v="0"/>
    <x v="2"/>
    <x v="4"/>
    <x v="2"/>
    <x v="6"/>
    <x v="6"/>
    <x v="12"/>
    <n v="1"/>
  </r>
  <r>
    <x v="0"/>
    <x v="2"/>
    <x v="4"/>
    <x v="2"/>
    <x v="6"/>
    <x v="12"/>
    <x v="6"/>
    <n v="1"/>
  </r>
  <r>
    <x v="0"/>
    <x v="2"/>
    <x v="4"/>
    <x v="2"/>
    <x v="6"/>
    <x v="7"/>
    <x v="6"/>
    <n v="1"/>
  </r>
  <r>
    <x v="0"/>
    <x v="2"/>
    <x v="4"/>
    <x v="2"/>
    <x v="6"/>
    <x v="7"/>
    <x v="13"/>
    <n v="1"/>
  </r>
  <r>
    <x v="0"/>
    <x v="2"/>
    <x v="4"/>
    <x v="3"/>
    <x v="19"/>
    <x v="0"/>
    <x v="13"/>
    <n v="1"/>
  </r>
  <r>
    <x v="0"/>
    <x v="2"/>
    <x v="4"/>
    <x v="5"/>
    <x v="13"/>
    <x v="0"/>
    <x v="19"/>
    <n v="3"/>
  </r>
  <r>
    <x v="0"/>
    <x v="2"/>
    <x v="4"/>
    <x v="5"/>
    <x v="9"/>
    <x v="0"/>
    <x v="4"/>
    <n v="1"/>
  </r>
  <r>
    <x v="0"/>
    <x v="2"/>
    <x v="4"/>
    <x v="5"/>
    <x v="9"/>
    <x v="0"/>
    <x v="13"/>
    <n v="1"/>
  </r>
  <r>
    <x v="0"/>
    <x v="2"/>
    <x v="4"/>
    <x v="5"/>
    <x v="9"/>
    <x v="0"/>
    <x v="11"/>
    <n v="1"/>
  </r>
  <r>
    <x v="0"/>
    <x v="2"/>
    <x v="4"/>
    <x v="5"/>
    <x v="9"/>
    <x v="0"/>
    <x v="14"/>
    <n v="1"/>
  </r>
  <r>
    <x v="0"/>
    <x v="2"/>
    <x v="4"/>
    <x v="6"/>
    <x v="9"/>
    <x v="0"/>
    <x v="11"/>
    <n v="1"/>
  </r>
  <r>
    <x v="0"/>
    <x v="2"/>
    <x v="4"/>
    <x v="11"/>
    <x v="8"/>
    <x v="11"/>
    <x v="8"/>
    <n v="1"/>
  </r>
  <r>
    <x v="0"/>
    <x v="2"/>
    <x v="4"/>
    <x v="13"/>
    <x v="16"/>
    <x v="7"/>
    <x v="3"/>
    <n v="1"/>
  </r>
  <r>
    <x v="0"/>
    <x v="2"/>
    <x v="4"/>
    <x v="13"/>
    <x v="1"/>
    <x v="0"/>
    <x v="5"/>
    <n v="7"/>
  </r>
  <r>
    <x v="0"/>
    <x v="2"/>
    <x v="4"/>
    <x v="13"/>
    <x v="1"/>
    <x v="0"/>
    <x v="2"/>
    <n v="1"/>
  </r>
  <r>
    <x v="0"/>
    <x v="2"/>
    <x v="4"/>
    <x v="13"/>
    <x v="1"/>
    <x v="0"/>
    <x v="13"/>
    <n v="1"/>
  </r>
  <r>
    <x v="0"/>
    <x v="2"/>
    <x v="4"/>
    <x v="13"/>
    <x v="1"/>
    <x v="0"/>
    <x v="11"/>
    <n v="2"/>
  </r>
  <r>
    <x v="0"/>
    <x v="2"/>
    <x v="4"/>
    <x v="13"/>
    <x v="1"/>
    <x v="0"/>
    <x v="14"/>
    <n v="1"/>
  </r>
  <r>
    <x v="0"/>
    <x v="2"/>
    <x v="4"/>
    <x v="14"/>
    <x v="16"/>
    <x v="6"/>
    <x v="8"/>
    <n v="1"/>
  </r>
  <r>
    <x v="0"/>
    <x v="2"/>
    <x v="4"/>
    <x v="14"/>
    <x v="5"/>
    <x v="12"/>
    <x v="11"/>
    <n v="1"/>
  </r>
  <r>
    <x v="0"/>
    <x v="2"/>
    <x v="4"/>
    <x v="14"/>
    <x v="5"/>
    <x v="1"/>
    <x v="5"/>
    <n v="1"/>
  </r>
  <r>
    <x v="0"/>
    <x v="2"/>
    <x v="4"/>
    <x v="14"/>
    <x v="5"/>
    <x v="0"/>
    <x v="2"/>
    <n v="1"/>
  </r>
  <r>
    <x v="0"/>
    <x v="2"/>
    <x v="4"/>
    <x v="14"/>
    <x v="5"/>
    <x v="0"/>
    <x v="13"/>
    <n v="2"/>
  </r>
  <r>
    <x v="0"/>
    <x v="2"/>
    <x v="4"/>
    <x v="14"/>
    <x v="5"/>
    <x v="0"/>
    <x v="11"/>
    <n v="1"/>
  </r>
  <r>
    <x v="0"/>
    <x v="2"/>
    <x v="4"/>
    <x v="15"/>
    <x v="16"/>
    <x v="0"/>
    <x v="0"/>
    <n v="1"/>
  </r>
  <r>
    <x v="0"/>
    <x v="2"/>
    <x v="4"/>
    <x v="17"/>
    <x v="2"/>
    <x v="7"/>
    <x v="19"/>
    <n v="1"/>
  </r>
  <r>
    <x v="0"/>
    <x v="2"/>
    <x v="4"/>
    <x v="17"/>
    <x v="2"/>
    <x v="0"/>
    <x v="0"/>
    <n v="1"/>
  </r>
  <r>
    <x v="0"/>
    <x v="2"/>
    <x v="5"/>
    <x v="2"/>
    <x v="10"/>
    <x v="0"/>
    <x v="19"/>
    <n v="1"/>
  </r>
  <r>
    <x v="0"/>
    <x v="2"/>
    <x v="5"/>
    <x v="5"/>
    <x v="8"/>
    <x v="11"/>
    <x v="19"/>
    <n v="1"/>
  </r>
  <r>
    <x v="0"/>
    <x v="2"/>
    <x v="5"/>
    <x v="5"/>
    <x v="8"/>
    <x v="12"/>
    <x v="19"/>
    <n v="1"/>
  </r>
  <r>
    <x v="0"/>
    <x v="2"/>
    <x v="5"/>
    <x v="8"/>
    <x v="7"/>
    <x v="17"/>
    <x v="19"/>
    <n v="1"/>
  </r>
  <r>
    <x v="0"/>
    <x v="2"/>
    <x v="5"/>
    <x v="13"/>
    <x v="17"/>
    <x v="16"/>
    <x v="19"/>
    <n v="6"/>
  </r>
  <r>
    <x v="0"/>
    <x v="2"/>
    <x v="5"/>
    <x v="13"/>
    <x v="17"/>
    <x v="15"/>
    <x v="19"/>
    <n v="9"/>
  </r>
  <r>
    <x v="0"/>
    <x v="2"/>
    <x v="5"/>
    <x v="13"/>
    <x v="17"/>
    <x v="14"/>
    <x v="14"/>
    <n v="1"/>
  </r>
  <r>
    <x v="0"/>
    <x v="2"/>
    <x v="5"/>
    <x v="13"/>
    <x v="17"/>
    <x v="10"/>
    <x v="19"/>
    <n v="1"/>
  </r>
  <r>
    <x v="0"/>
    <x v="2"/>
    <x v="5"/>
    <x v="17"/>
    <x v="2"/>
    <x v="2"/>
    <x v="19"/>
    <n v="1"/>
  </r>
  <r>
    <x v="0"/>
    <x v="2"/>
    <x v="5"/>
    <x v="17"/>
    <x v="2"/>
    <x v="10"/>
    <x v="19"/>
    <n v="1"/>
  </r>
  <r>
    <x v="0"/>
    <x v="2"/>
    <x v="5"/>
    <x v="17"/>
    <x v="2"/>
    <x v="3"/>
    <x v="19"/>
    <n v="2"/>
  </r>
  <r>
    <x v="0"/>
    <x v="2"/>
    <x v="6"/>
    <x v="0"/>
    <x v="12"/>
    <x v="18"/>
    <x v="19"/>
    <n v="4"/>
  </r>
  <r>
    <x v="0"/>
    <x v="2"/>
    <x v="6"/>
    <x v="0"/>
    <x v="12"/>
    <x v="13"/>
    <x v="19"/>
    <n v="1"/>
  </r>
  <r>
    <x v="0"/>
    <x v="2"/>
    <x v="6"/>
    <x v="3"/>
    <x v="8"/>
    <x v="18"/>
    <x v="19"/>
    <n v="1"/>
  </r>
  <r>
    <x v="0"/>
    <x v="2"/>
    <x v="7"/>
    <x v="0"/>
    <x v="12"/>
    <x v="19"/>
    <x v="19"/>
    <n v="1"/>
  </r>
  <r>
    <x v="0"/>
    <x v="2"/>
    <x v="7"/>
    <x v="3"/>
    <x v="8"/>
    <x v="19"/>
    <x v="19"/>
    <n v="1"/>
  </r>
  <r>
    <x v="0"/>
    <x v="2"/>
    <x v="7"/>
    <x v="13"/>
    <x v="6"/>
    <x v="11"/>
    <x v="19"/>
    <n v="1"/>
  </r>
  <r>
    <x v="0"/>
    <x v="2"/>
    <x v="7"/>
    <x v="13"/>
    <x v="6"/>
    <x v="6"/>
    <x v="19"/>
    <n v="1"/>
  </r>
  <r>
    <x v="0"/>
    <x v="2"/>
    <x v="7"/>
    <x v="13"/>
    <x v="6"/>
    <x v="1"/>
    <x v="19"/>
    <n v="1"/>
  </r>
  <r>
    <x v="0"/>
    <x v="2"/>
    <x v="7"/>
    <x v="17"/>
    <x v="9"/>
    <x v="19"/>
    <x v="19"/>
    <n v="1"/>
  </r>
  <r>
    <x v="0"/>
    <x v="3"/>
    <x v="0"/>
    <x v="0"/>
    <x v="1"/>
    <x v="12"/>
    <x v="1"/>
    <n v="1"/>
  </r>
  <r>
    <x v="0"/>
    <x v="3"/>
    <x v="0"/>
    <x v="0"/>
    <x v="1"/>
    <x v="1"/>
    <x v="10"/>
    <n v="1"/>
  </r>
  <r>
    <x v="0"/>
    <x v="3"/>
    <x v="0"/>
    <x v="0"/>
    <x v="1"/>
    <x v="0"/>
    <x v="6"/>
    <n v="1"/>
  </r>
  <r>
    <x v="0"/>
    <x v="3"/>
    <x v="0"/>
    <x v="2"/>
    <x v="6"/>
    <x v="11"/>
    <x v="6"/>
    <n v="1"/>
  </r>
  <r>
    <x v="0"/>
    <x v="3"/>
    <x v="0"/>
    <x v="2"/>
    <x v="6"/>
    <x v="11"/>
    <x v="10"/>
    <n v="3"/>
  </r>
  <r>
    <x v="0"/>
    <x v="3"/>
    <x v="0"/>
    <x v="2"/>
    <x v="6"/>
    <x v="6"/>
    <x v="7"/>
    <n v="5"/>
  </r>
  <r>
    <x v="0"/>
    <x v="3"/>
    <x v="0"/>
    <x v="2"/>
    <x v="6"/>
    <x v="6"/>
    <x v="6"/>
    <n v="2"/>
  </r>
  <r>
    <x v="0"/>
    <x v="3"/>
    <x v="0"/>
    <x v="2"/>
    <x v="6"/>
    <x v="6"/>
    <x v="10"/>
    <n v="3"/>
  </r>
  <r>
    <x v="0"/>
    <x v="3"/>
    <x v="0"/>
    <x v="2"/>
    <x v="6"/>
    <x v="9"/>
    <x v="7"/>
    <n v="17"/>
  </r>
  <r>
    <x v="0"/>
    <x v="3"/>
    <x v="0"/>
    <x v="2"/>
    <x v="6"/>
    <x v="9"/>
    <x v="6"/>
    <n v="4"/>
  </r>
  <r>
    <x v="0"/>
    <x v="3"/>
    <x v="0"/>
    <x v="2"/>
    <x v="6"/>
    <x v="9"/>
    <x v="9"/>
    <n v="1"/>
  </r>
  <r>
    <x v="0"/>
    <x v="3"/>
    <x v="0"/>
    <x v="2"/>
    <x v="6"/>
    <x v="12"/>
    <x v="7"/>
    <n v="2"/>
  </r>
  <r>
    <x v="0"/>
    <x v="3"/>
    <x v="0"/>
    <x v="2"/>
    <x v="6"/>
    <x v="12"/>
    <x v="6"/>
    <n v="7"/>
  </r>
  <r>
    <x v="0"/>
    <x v="3"/>
    <x v="0"/>
    <x v="2"/>
    <x v="6"/>
    <x v="0"/>
    <x v="12"/>
    <n v="2"/>
  </r>
  <r>
    <x v="0"/>
    <x v="3"/>
    <x v="0"/>
    <x v="4"/>
    <x v="8"/>
    <x v="13"/>
    <x v="7"/>
    <n v="1"/>
  </r>
  <r>
    <x v="0"/>
    <x v="3"/>
    <x v="0"/>
    <x v="4"/>
    <x v="8"/>
    <x v="10"/>
    <x v="6"/>
    <n v="1"/>
  </r>
  <r>
    <x v="0"/>
    <x v="3"/>
    <x v="0"/>
    <x v="4"/>
    <x v="8"/>
    <x v="4"/>
    <x v="7"/>
    <n v="2"/>
  </r>
  <r>
    <x v="0"/>
    <x v="3"/>
    <x v="0"/>
    <x v="4"/>
    <x v="8"/>
    <x v="4"/>
    <x v="6"/>
    <n v="1"/>
  </r>
  <r>
    <x v="0"/>
    <x v="3"/>
    <x v="0"/>
    <x v="4"/>
    <x v="8"/>
    <x v="4"/>
    <x v="10"/>
    <n v="1"/>
  </r>
  <r>
    <x v="0"/>
    <x v="3"/>
    <x v="0"/>
    <x v="4"/>
    <x v="8"/>
    <x v="5"/>
    <x v="7"/>
    <n v="1"/>
  </r>
  <r>
    <x v="0"/>
    <x v="3"/>
    <x v="0"/>
    <x v="4"/>
    <x v="8"/>
    <x v="11"/>
    <x v="8"/>
    <n v="1"/>
  </r>
  <r>
    <x v="0"/>
    <x v="3"/>
    <x v="0"/>
    <x v="4"/>
    <x v="8"/>
    <x v="11"/>
    <x v="7"/>
    <n v="2"/>
  </r>
  <r>
    <x v="0"/>
    <x v="3"/>
    <x v="0"/>
    <x v="4"/>
    <x v="8"/>
    <x v="11"/>
    <x v="6"/>
    <n v="2"/>
  </r>
  <r>
    <x v="0"/>
    <x v="3"/>
    <x v="0"/>
    <x v="4"/>
    <x v="8"/>
    <x v="6"/>
    <x v="7"/>
    <n v="1"/>
  </r>
  <r>
    <x v="0"/>
    <x v="3"/>
    <x v="0"/>
    <x v="4"/>
    <x v="8"/>
    <x v="9"/>
    <x v="7"/>
    <n v="1"/>
  </r>
  <r>
    <x v="0"/>
    <x v="3"/>
    <x v="0"/>
    <x v="5"/>
    <x v="9"/>
    <x v="7"/>
    <x v="3"/>
    <n v="1"/>
  </r>
  <r>
    <x v="0"/>
    <x v="3"/>
    <x v="0"/>
    <x v="7"/>
    <x v="12"/>
    <x v="8"/>
    <x v="12"/>
    <n v="1"/>
  </r>
  <r>
    <x v="0"/>
    <x v="3"/>
    <x v="0"/>
    <x v="7"/>
    <x v="12"/>
    <x v="0"/>
    <x v="10"/>
    <n v="5"/>
  </r>
  <r>
    <x v="0"/>
    <x v="3"/>
    <x v="0"/>
    <x v="7"/>
    <x v="12"/>
    <x v="0"/>
    <x v="1"/>
    <n v="5"/>
  </r>
  <r>
    <x v="0"/>
    <x v="3"/>
    <x v="0"/>
    <x v="8"/>
    <x v="10"/>
    <x v="10"/>
    <x v="7"/>
    <n v="1"/>
  </r>
  <r>
    <x v="0"/>
    <x v="3"/>
    <x v="0"/>
    <x v="8"/>
    <x v="10"/>
    <x v="5"/>
    <x v="8"/>
    <n v="1"/>
  </r>
  <r>
    <x v="0"/>
    <x v="3"/>
    <x v="0"/>
    <x v="8"/>
    <x v="10"/>
    <x v="5"/>
    <x v="12"/>
    <n v="2"/>
  </r>
  <r>
    <x v="0"/>
    <x v="3"/>
    <x v="0"/>
    <x v="8"/>
    <x v="10"/>
    <x v="7"/>
    <x v="10"/>
    <n v="1"/>
  </r>
  <r>
    <x v="0"/>
    <x v="3"/>
    <x v="0"/>
    <x v="8"/>
    <x v="10"/>
    <x v="7"/>
    <x v="3"/>
    <n v="2"/>
  </r>
  <r>
    <x v="0"/>
    <x v="3"/>
    <x v="0"/>
    <x v="8"/>
    <x v="10"/>
    <x v="8"/>
    <x v="9"/>
    <n v="2"/>
  </r>
  <r>
    <x v="0"/>
    <x v="3"/>
    <x v="0"/>
    <x v="8"/>
    <x v="10"/>
    <x v="0"/>
    <x v="14"/>
    <n v="1"/>
  </r>
  <r>
    <x v="0"/>
    <x v="3"/>
    <x v="0"/>
    <x v="8"/>
    <x v="11"/>
    <x v="1"/>
    <x v="10"/>
    <n v="2"/>
  </r>
  <r>
    <x v="0"/>
    <x v="3"/>
    <x v="0"/>
    <x v="10"/>
    <x v="16"/>
    <x v="4"/>
    <x v="6"/>
    <n v="1"/>
  </r>
  <r>
    <x v="0"/>
    <x v="3"/>
    <x v="0"/>
    <x v="10"/>
    <x v="16"/>
    <x v="5"/>
    <x v="7"/>
    <n v="1"/>
  </r>
  <r>
    <x v="0"/>
    <x v="3"/>
    <x v="0"/>
    <x v="10"/>
    <x v="16"/>
    <x v="11"/>
    <x v="7"/>
    <n v="1"/>
  </r>
  <r>
    <x v="0"/>
    <x v="3"/>
    <x v="0"/>
    <x v="11"/>
    <x v="0"/>
    <x v="4"/>
    <x v="15"/>
    <n v="1"/>
  </r>
  <r>
    <x v="0"/>
    <x v="3"/>
    <x v="0"/>
    <x v="11"/>
    <x v="0"/>
    <x v="5"/>
    <x v="15"/>
    <n v="1"/>
  </r>
  <r>
    <x v="0"/>
    <x v="3"/>
    <x v="0"/>
    <x v="11"/>
    <x v="0"/>
    <x v="1"/>
    <x v="10"/>
    <n v="1"/>
  </r>
  <r>
    <x v="0"/>
    <x v="3"/>
    <x v="0"/>
    <x v="11"/>
    <x v="0"/>
    <x v="1"/>
    <x v="5"/>
    <n v="1"/>
  </r>
  <r>
    <x v="0"/>
    <x v="3"/>
    <x v="0"/>
    <x v="11"/>
    <x v="0"/>
    <x v="0"/>
    <x v="10"/>
    <n v="3"/>
  </r>
  <r>
    <x v="0"/>
    <x v="3"/>
    <x v="0"/>
    <x v="11"/>
    <x v="8"/>
    <x v="13"/>
    <x v="8"/>
    <n v="1"/>
  </r>
  <r>
    <x v="0"/>
    <x v="3"/>
    <x v="0"/>
    <x v="11"/>
    <x v="8"/>
    <x v="3"/>
    <x v="6"/>
    <n v="1"/>
  </r>
  <r>
    <x v="0"/>
    <x v="3"/>
    <x v="0"/>
    <x v="11"/>
    <x v="8"/>
    <x v="4"/>
    <x v="7"/>
    <n v="11"/>
  </r>
  <r>
    <x v="0"/>
    <x v="3"/>
    <x v="0"/>
    <x v="11"/>
    <x v="8"/>
    <x v="5"/>
    <x v="7"/>
    <n v="9"/>
  </r>
  <r>
    <x v="0"/>
    <x v="3"/>
    <x v="0"/>
    <x v="11"/>
    <x v="8"/>
    <x v="5"/>
    <x v="12"/>
    <n v="1"/>
  </r>
  <r>
    <x v="0"/>
    <x v="3"/>
    <x v="0"/>
    <x v="11"/>
    <x v="8"/>
    <x v="11"/>
    <x v="7"/>
    <n v="22"/>
  </r>
  <r>
    <x v="0"/>
    <x v="3"/>
    <x v="0"/>
    <x v="11"/>
    <x v="8"/>
    <x v="6"/>
    <x v="12"/>
    <n v="2"/>
  </r>
  <r>
    <x v="0"/>
    <x v="3"/>
    <x v="0"/>
    <x v="11"/>
    <x v="8"/>
    <x v="6"/>
    <x v="9"/>
    <n v="1"/>
  </r>
  <r>
    <x v="0"/>
    <x v="3"/>
    <x v="0"/>
    <x v="11"/>
    <x v="8"/>
    <x v="7"/>
    <x v="6"/>
    <n v="2"/>
  </r>
  <r>
    <x v="0"/>
    <x v="3"/>
    <x v="0"/>
    <x v="11"/>
    <x v="8"/>
    <x v="7"/>
    <x v="10"/>
    <n v="1"/>
  </r>
  <r>
    <x v="0"/>
    <x v="3"/>
    <x v="0"/>
    <x v="11"/>
    <x v="8"/>
    <x v="7"/>
    <x v="1"/>
    <n v="1"/>
  </r>
  <r>
    <x v="0"/>
    <x v="3"/>
    <x v="0"/>
    <x v="11"/>
    <x v="8"/>
    <x v="8"/>
    <x v="6"/>
    <n v="2"/>
  </r>
  <r>
    <x v="0"/>
    <x v="3"/>
    <x v="0"/>
    <x v="11"/>
    <x v="8"/>
    <x v="8"/>
    <x v="10"/>
    <n v="2"/>
  </r>
  <r>
    <x v="0"/>
    <x v="3"/>
    <x v="0"/>
    <x v="13"/>
    <x v="17"/>
    <x v="13"/>
    <x v="1"/>
    <n v="1"/>
  </r>
  <r>
    <x v="0"/>
    <x v="3"/>
    <x v="0"/>
    <x v="13"/>
    <x v="17"/>
    <x v="10"/>
    <x v="8"/>
    <n v="1"/>
  </r>
  <r>
    <x v="0"/>
    <x v="3"/>
    <x v="0"/>
    <x v="13"/>
    <x v="17"/>
    <x v="4"/>
    <x v="15"/>
    <n v="2"/>
  </r>
  <r>
    <x v="0"/>
    <x v="3"/>
    <x v="0"/>
    <x v="14"/>
    <x v="16"/>
    <x v="3"/>
    <x v="8"/>
    <n v="3"/>
  </r>
  <r>
    <x v="0"/>
    <x v="3"/>
    <x v="0"/>
    <x v="14"/>
    <x v="16"/>
    <x v="4"/>
    <x v="8"/>
    <n v="1"/>
  </r>
  <r>
    <x v="0"/>
    <x v="3"/>
    <x v="0"/>
    <x v="14"/>
    <x v="16"/>
    <x v="4"/>
    <x v="7"/>
    <n v="3"/>
  </r>
  <r>
    <x v="0"/>
    <x v="3"/>
    <x v="0"/>
    <x v="14"/>
    <x v="16"/>
    <x v="5"/>
    <x v="8"/>
    <n v="1"/>
  </r>
  <r>
    <x v="0"/>
    <x v="3"/>
    <x v="0"/>
    <x v="14"/>
    <x v="16"/>
    <x v="11"/>
    <x v="8"/>
    <n v="1"/>
  </r>
  <r>
    <x v="0"/>
    <x v="3"/>
    <x v="0"/>
    <x v="15"/>
    <x v="1"/>
    <x v="9"/>
    <x v="12"/>
    <n v="1"/>
  </r>
  <r>
    <x v="0"/>
    <x v="3"/>
    <x v="0"/>
    <x v="15"/>
    <x v="1"/>
    <x v="0"/>
    <x v="12"/>
    <n v="1"/>
  </r>
  <r>
    <x v="0"/>
    <x v="3"/>
    <x v="0"/>
    <x v="15"/>
    <x v="1"/>
    <x v="0"/>
    <x v="9"/>
    <n v="1"/>
  </r>
  <r>
    <x v="0"/>
    <x v="3"/>
    <x v="0"/>
    <x v="16"/>
    <x v="19"/>
    <x v="0"/>
    <x v="3"/>
    <n v="1"/>
  </r>
  <r>
    <x v="0"/>
    <x v="3"/>
    <x v="0"/>
    <x v="19"/>
    <x v="7"/>
    <x v="16"/>
    <x v="8"/>
    <n v="1"/>
  </r>
  <r>
    <x v="0"/>
    <x v="3"/>
    <x v="0"/>
    <x v="19"/>
    <x v="7"/>
    <x v="15"/>
    <x v="15"/>
    <n v="1"/>
  </r>
  <r>
    <x v="0"/>
    <x v="3"/>
    <x v="0"/>
    <x v="19"/>
    <x v="7"/>
    <x v="14"/>
    <x v="16"/>
    <n v="1"/>
  </r>
  <r>
    <x v="0"/>
    <x v="3"/>
    <x v="0"/>
    <x v="19"/>
    <x v="7"/>
    <x v="14"/>
    <x v="15"/>
    <n v="23"/>
  </r>
  <r>
    <x v="0"/>
    <x v="3"/>
    <x v="0"/>
    <x v="19"/>
    <x v="7"/>
    <x v="2"/>
    <x v="16"/>
    <n v="65"/>
  </r>
  <r>
    <x v="0"/>
    <x v="3"/>
    <x v="0"/>
    <x v="19"/>
    <x v="7"/>
    <x v="2"/>
    <x v="8"/>
    <n v="30"/>
  </r>
  <r>
    <x v="0"/>
    <x v="3"/>
    <x v="0"/>
    <x v="19"/>
    <x v="7"/>
    <x v="10"/>
    <x v="16"/>
    <n v="3"/>
  </r>
  <r>
    <x v="0"/>
    <x v="3"/>
    <x v="0"/>
    <x v="19"/>
    <x v="7"/>
    <x v="10"/>
    <x v="8"/>
    <n v="32"/>
  </r>
  <r>
    <x v="0"/>
    <x v="3"/>
    <x v="0"/>
    <x v="19"/>
    <x v="7"/>
    <x v="4"/>
    <x v="15"/>
    <n v="17"/>
  </r>
  <r>
    <x v="0"/>
    <x v="3"/>
    <x v="0"/>
    <x v="19"/>
    <x v="7"/>
    <x v="5"/>
    <x v="15"/>
    <n v="2"/>
  </r>
  <r>
    <x v="0"/>
    <x v="3"/>
    <x v="0"/>
    <x v="19"/>
    <x v="7"/>
    <x v="12"/>
    <x v="1"/>
    <n v="1"/>
  </r>
  <r>
    <x v="0"/>
    <x v="3"/>
    <x v="0"/>
    <x v="19"/>
    <x v="10"/>
    <x v="12"/>
    <x v="10"/>
    <n v="1"/>
  </r>
  <r>
    <x v="0"/>
    <x v="3"/>
    <x v="0"/>
    <x v="19"/>
    <x v="10"/>
    <x v="1"/>
    <x v="6"/>
    <n v="7"/>
  </r>
  <r>
    <x v="0"/>
    <x v="3"/>
    <x v="0"/>
    <x v="19"/>
    <x v="10"/>
    <x v="1"/>
    <x v="4"/>
    <n v="1"/>
  </r>
  <r>
    <x v="0"/>
    <x v="3"/>
    <x v="0"/>
    <x v="19"/>
    <x v="10"/>
    <x v="0"/>
    <x v="6"/>
    <n v="1"/>
  </r>
  <r>
    <x v="0"/>
    <x v="3"/>
    <x v="0"/>
    <x v="19"/>
    <x v="10"/>
    <x v="0"/>
    <x v="4"/>
    <n v="1"/>
  </r>
  <r>
    <x v="0"/>
    <x v="3"/>
    <x v="1"/>
    <x v="2"/>
    <x v="7"/>
    <x v="9"/>
    <x v="9"/>
    <n v="1"/>
  </r>
  <r>
    <x v="0"/>
    <x v="3"/>
    <x v="1"/>
    <x v="2"/>
    <x v="6"/>
    <x v="6"/>
    <x v="12"/>
    <n v="1"/>
  </r>
  <r>
    <x v="0"/>
    <x v="3"/>
    <x v="1"/>
    <x v="2"/>
    <x v="6"/>
    <x v="9"/>
    <x v="9"/>
    <n v="1"/>
  </r>
  <r>
    <x v="0"/>
    <x v="3"/>
    <x v="1"/>
    <x v="3"/>
    <x v="8"/>
    <x v="10"/>
    <x v="19"/>
    <n v="1"/>
  </r>
  <r>
    <x v="0"/>
    <x v="3"/>
    <x v="1"/>
    <x v="5"/>
    <x v="8"/>
    <x v="11"/>
    <x v="0"/>
    <n v="1"/>
  </r>
  <r>
    <x v="0"/>
    <x v="3"/>
    <x v="1"/>
    <x v="5"/>
    <x v="9"/>
    <x v="0"/>
    <x v="11"/>
    <n v="1"/>
  </r>
  <r>
    <x v="0"/>
    <x v="3"/>
    <x v="1"/>
    <x v="5"/>
    <x v="9"/>
    <x v="0"/>
    <x v="14"/>
    <n v="1"/>
  </r>
  <r>
    <x v="0"/>
    <x v="3"/>
    <x v="1"/>
    <x v="6"/>
    <x v="8"/>
    <x v="17"/>
    <x v="2"/>
    <n v="2"/>
  </r>
  <r>
    <x v="0"/>
    <x v="3"/>
    <x v="1"/>
    <x v="6"/>
    <x v="8"/>
    <x v="17"/>
    <x v="13"/>
    <n v="4"/>
  </r>
  <r>
    <x v="0"/>
    <x v="3"/>
    <x v="1"/>
    <x v="6"/>
    <x v="8"/>
    <x v="17"/>
    <x v="11"/>
    <n v="1"/>
  </r>
  <r>
    <x v="0"/>
    <x v="3"/>
    <x v="1"/>
    <x v="6"/>
    <x v="8"/>
    <x v="17"/>
    <x v="14"/>
    <n v="1"/>
  </r>
  <r>
    <x v="0"/>
    <x v="3"/>
    <x v="1"/>
    <x v="6"/>
    <x v="8"/>
    <x v="19"/>
    <x v="2"/>
    <n v="1"/>
  </r>
  <r>
    <x v="0"/>
    <x v="3"/>
    <x v="1"/>
    <x v="6"/>
    <x v="8"/>
    <x v="19"/>
    <x v="11"/>
    <n v="1"/>
  </r>
  <r>
    <x v="0"/>
    <x v="3"/>
    <x v="1"/>
    <x v="6"/>
    <x v="8"/>
    <x v="16"/>
    <x v="9"/>
    <n v="3"/>
  </r>
  <r>
    <x v="0"/>
    <x v="3"/>
    <x v="1"/>
    <x v="6"/>
    <x v="8"/>
    <x v="16"/>
    <x v="3"/>
    <n v="5"/>
  </r>
  <r>
    <x v="0"/>
    <x v="3"/>
    <x v="1"/>
    <x v="6"/>
    <x v="8"/>
    <x v="16"/>
    <x v="4"/>
    <n v="5"/>
  </r>
  <r>
    <x v="0"/>
    <x v="3"/>
    <x v="1"/>
    <x v="6"/>
    <x v="8"/>
    <x v="15"/>
    <x v="12"/>
    <n v="1"/>
  </r>
  <r>
    <x v="0"/>
    <x v="3"/>
    <x v="1"/>
    <x v="6"/>
    <x v="8"/>
    <x v="2"/>
    <x v="4"/>
    <n v="2"/>
  </r>
  <r>
    <x v="0"/>
    <x v="3"/>
    <x v="1"/>
    <x v="6"/>
    <x v="8"/>
    <x v="2"/>
    <x v="5"/>
    <n v="1"/>
  </r>
  <r>
    <x v="0"/>
    <x v="3"/>
    <x v="1"/>
    <x v="6"/>
    <x v="8"/>
    <x v="2"/>
    <x v="2"/>
    <n v="2"/>
  </r>
  <r>
    <x v="0"/>
    <x v="3"/>
    <x v="1"/>
    <x v="6"/>
    <x v="3"/>
    <x v="10"/>
    <x v="9"/>
    <n v="1"/>
  </r>
  <r>
    <x v="0"/>
    <x v="3"/>
    <x v="1"/>
    <x v="6"/>
    <x v="3"/>
    <x v="10"/>
    <x v="3"/>
    <n v="1"/>
  </r>
  <r>
    <x v="0"/>
    <x v="3"/>
    <x v="1"/>
    <x v="6"/>
    <x v="3"/>
    <x v="4"/>
    <x v="9"/>
    <n v="1"/>
  </r>
  <r>
    <x v="0"/>
    <x v="3"/>
    <x v="1"/>
    <x v="9"/>
    <x v="10"/>
    <x v="19"/>
    <x v="5"/>
    <n v="1"/>
  </r>
  <r>
    <x v="0"/>
    <x v="3"/>
    <x v="1"/>
    <x v="9"/>
    <x v="10"/>
    <x v="16"/>
    <x v="12"/>
    <n v="1"/>
  </r>
  <r>
    <x v="0"/>
    <x v="3"/>
    <x v="1"/>
    <x v="9"/>
    <x v="10"/>
    <x v="16"/>
    <x v="9"/>
    <n v="1"/>
  </r>
  <r>
    <x v="0"/>
    <x v="3"/>
    <x v="1"/>
    <x v="9"/>
    <x v="10"/>
    <x v="16"/>
    <x v="4"/>
    <n v="1"/>
  </r>
  <r>
    <x v="0"/>
    <x v="3"/>
    <x v="1"/>
    <x v="9"/>
    <x v="10"/>
    <x v="16"/>
    <x v="5"/>
    <n v="2"/>
  </r>
  <r>
    <x v="0"/>
    <x v="3"/>
    <x v="1"/>
    <x v="9"/>
    <x v="10"/>
    <x v="16"/>
    <x v="2"/>
    <n v="1"/>
  </r>
  <r>
    <x v="0"/>
    <x v="3"/>
    <x v="1"/>
    <x v="9"/>
    <x v="10"/>
    <x v="15"/>
    <x v="9"/>
    <n v="1"/>
  </r>
  <r>
    <x v="0"/>
    <x v="3"/>
    <x v="1"/>
    <x v="9"/>
    <x v="10"/>
    <x v="15"/>
    <x v="3"/>
    <n v="3"/>
  </r>
  <r>
    <x v="0"/>
    <x v="3"/>
    <x v="1"/>
    <x v="9"/>
    <x v="10"/>
    <x v="15"/>
    <x v="5"/>
    <n v="1"/>
  </r>
  <r>
    <x v="0"/>
    <x v="3"/>
    <x v="1"/>
    <x v="9"/>
    <x v="10"/>
    <x v="14"/>
    <x v="9"/>
    <n v="1"/>
  </r>
  <r>
    <x v="0"/>
    <x v="3"/>
    <x v="1"/>
    <x v="9"/>
    <x v="10"/>
    <x v="14"/>
    <x v="3"/>
    <n v="2"/>
  </r>
  <r>
    <x v="0"/>
    <x v="3"/>
    <x v="1"/>
    <x v="9"/>
    <x v="10"/>
    <x v="2"/>
    <x v="5"/>
    <n v="1"/>
  </r>
  <r>
    <x v="0"/>
    <x v="3"/>
    <x v="1"/>
    <x v="9"/>
    <x v="10"/>
    <x v="10"/>
    <x v="4"/>
    <n v="3"/>
  </r>
  <r>
    <x v="0"/>
    <x v="3"/>
    <x v="1"/>
    <x v="9"/>
    <x v="10"/>
    <x v="3"/>
    <x v="3"/>
    <n v="1"/>
  </r>
  <r>
    <x v="0"/>
    <x v="3"/>
    <x v="1"/>
    <x v="8"/>
    <x v="7"/>
    <x v="18"/>
    <x v="17"/>
    <n v="7"/>
  </r>
  <r>
    <x v="0"/>
    <x v="3"/>
    <x v="1"/>
    <x v="8"/>
    <x v="7"/>
    <x v="18"/>
    <x v="19"/>
    <n v="20"/>
  </r>
  <r>
    <x v="0"/>
    <x v="3"/>
    <x v="1"/>
    <x v="8"/>
    <x v="7"/>
    <x v="19"/>
    <x v="2"/>
    <n v="2"/>
  </r>
  <r>
    <x v="0"/>
    <x v="3"/>
    <x v="1"/>
    <x v="8"/>
    <x v="7"/>
    <x v="19"/>
    <x v="11"/>
    <n v="2"/>
  </r>
  <r>
    <x v="0"/>
    <x v="3"/>
    <x v="1"/>
    <x v="8"/>
    <x v="7"/>
    <x v="19"/>
    <x v="14"/>
    <n v="5"/>
  </r>
  <r>
    <x v="0"/>
    <x v="3"/>
    <x v="1"/>
    <x v="8"/>
    <x v="7"/>
    <x v="19"/>
    <x v="17"/>
    <n v="3"/>
  </r>
  <r>
    <x v="0"/>
    <x v="3"/>
    <x v="1"/>
    <x v="8"/>
    <x v="7"/>
    <x v="19"/>
    <x v="19"/>
    <n v="23"/>
  </r>
  <r>
    <x v="0"/>
    <x v="3"/>
    <x v="1"/>
    <x v="8"/>
    <x v="7"/>
    <x v="16"/>
    <x v="13"/>
    <n v="1"/>
  </r>
  <r>
    <x v="0"/>
    <x v="3"/>
    <x v="1"/>
    <x v="8"/>
    <x v="7"/>
    <x v="16"/>
    <x v="11"/>
    <n v="2"/>
  </r>
  <r>
    <x v="0"/>
    <x v="3"/>
    <x v="1"/>
    <x v="8"/>
    <x v="6"/>
    <x v="19"/>
    <x v="5"/>
    <n v="1"/>
  </r>
  <r>
    <x v="0"/>
    <x v="3"/>
    <x v="1"/>
    <x v="8"/>
    <x v="6"/>
    <x v="16"/>
    <x v="9"/>
    <n v="1"/>
  </r>
  <r>
    <x v="0"/>
    <x v="3"/>
    <x v="1"/>
    <x v="8"/>
    <x v="6"/>
    <x v="16"/>
    <x v="4"/>
    <n v="1"/>
  </r>
  <r>
    <x v="0"/>
    <x v="3"/>
    <x v="1"/>
    <x v="8"/>
    <x v="6"/>
    <x v="15"/>
    <x v="3"/>
    <n v="1"/>
  </r>
  <r>
    <x v="0"/>
    <x v="3"/>
    <x v="1"/>
    <x v="8"/>
    <x v="6"/>
    <x v="14"/>
    <x v="3"/>
    <n v="1"/>
  </r>
  <r>
    <x v="0"/>
    <x v="3"/>
    <x v="1"/>
    <x v="8"/>
    <x v="6"/>
    <x v="2"/>
    <x v="1"/>
    <n v="1"/>
  </r>
  <r>
    <x v="0"/>
    <x v="3"/>
    <x v="1"/>
    <x v="8"/>
    <x v="6"/>
    <x v="2"/>
    <x v="5"/>
    <n v="1"/>
  </r>
  <r>
    <x v="0"/>
    <x v="3"/>
    <x v="1"/>
    <x v="8"/>
    <x v="6"/>
    <x v="3"/>
    <x v="3"/>
    <n v="1"/>
  </r>
  <r>
    <x v="0"/>
    <x v="3"/>
    <x v="1"/>
    <x v="8"/>
    <x v="6"/>
    <x v="9"/>
    <x v="0"/>
    <n v="1"/>
  </r>
  <r>
    <x v="0"/>
    <x v="3"/>
    <x v="1"/>
    <x v="10"/>
    <x v="16"/>
    <x v="2"/>
    <x v="1"/>
    <n v="1"/>
  </r>
  <r>
    <x v="0"/>
    <x v="3"/>
    <x v="1"/>
    <x v="10"/>
    <x v="16"/>
    <x v="5"/>
    <x v="12"/>
    <n v="1"/>
  </r>
  <r>
    <x v="0"/>
    <x v="3"/>
    <x v="1"/>
    <x v="11"/>
    <x v="14"/>
    <x v="13"/>
    <x v="4"/>
    <n v="1"/>
  </r>
  <r>
    <x v="0"/>
    <x v="3"/>
    <x v="1"/>
    <x v="11"/>
    <x v="14"/>
    <x v="3"/>
    <x v="2"/>
    <n v="1"/>
  </r>
  <r>
    <x v="0"/>
    <x v="3"/>
    <x v="1"/>
    <x v="11"/>
    <x v="8"/>
    <x v="2"/>
    <x v="10"/>
    <n v="1"/>
  </r>
  <r>
    <x v="0"/>
    <x v="3"/>
    <x v="1"/>
    <x v="11"/>
    <x v="7"/>
    <x v="3"/>
    <x v="0"/>
    <n v="1"/>
  </r>
  <r>
    <x v="0"/>
    <x v="3"/>
    <x v="1"/>
    <x v="11"/>
    <x v="7"/>
    <x v="11"/>
    <x v="0"/>
    <n v="1"/>
  </r>
  <r>
    <x v="0"/>
    <x v="3"/>
    <x v="1"/>
    <x v="11"/>
    <x v="7"/>
    <x v="6"/>
    <x v="18"/>
    <n v="1"/>
  </r>
  <r>
    <x v="0"/>
    <x v="3"/>
    <x v="1"/>
    <x v="11"/>
    <x v="7"/>
    <x v="9"/>
    <x v="0"/>
    <n v="1"/>
  </r>
  <r>
    <x v="0"/>
    <x v="3"/>
    <x v="1"/>
    <x v="11"/>
    <x v="7"/>
    <x v="7"/>
    <x v="5"/>
    <n v="1"/>
  </r>
  <r>
    <x v="0"/>
    <x v="3"/>
    <x v="1"/>
    <x v="11"/>
    <x v="7"/>
    <x v="7"/>
    <x v="13"/>
    <n v="2"/>
  </r>
  <r>
    <x v="0"/>
    <x v="3"/>
    <x v="1"/>
    <x v="11"/>
    <x v="7"/>
    <x v="7"/>
    <x v="11"/>
    <n v="3"/>
  </r>
  <r>
    <x v="0"/>
    <x v="3"/>
    <x v="1"/>
    <x v="11"/>
    <x v="7"/>
    <x v="8"/>
    <x v="4"/>
    <n v="1"/>
  </r>
  <r>
    <x v="0"/>
    <x v="3"/>
    <x v="1"/>
    <x v="11"/>
    <x v="7"/>
    <x v="8"/>
    <x v="2"/>
    <n v="1"/>
  </r>
  <r>
    <x v="0"/>
    <x v="3"/>
    <x v="1"/>
    <x v="11"/>
    <x v="7"/>
    <x v="8"/>
    <x v="13"/>
    <n v="3"/>
  </r>
  <r>
    <x v="0"/>
    <x v="3"/>
    <x v="1"/>
    <x v="11"/>
    <x v="7"/>
    <x v="0"/>
    <x v="19"/>
    <n v="1"/>
  </r>
  <r>
    <x v="0"/>
    <x v="3"/>
    <x v="1"/>
    <x v="12"/>
    <x v="6"/>
    <x v="2"/>
    <x v="9"/>
    <n v="1"/>
  </r>
  <r>
    <x v="0"/>
    <x v="3"/>
    <x v="1"/>
    <x v="13"/>
    <x v="0"/>
    <x v="17"/>
    <x v="5"/>
    <n v="2"/>
  </r>
  <r>
    <x v="0"/>
    <x v="3"/>
    <x v="1"/>
    <x v="13"/>
    <x v="0"/>
    <x v="15"/>
    <x v="14"/>
    <n v="1"/>
  </r>
  <r>
    <x v="0"/>
    <x v="3"/>
    <x v="1"/>
    <x v="13"/>
    <x v="0"/>
    <x v="15"/>
    <x v="17"/>
    <n v="1"/>
  </r>
  <r>
    <x v="0"/>
    <x v="3"/>
    <x v="1"/>
    <x v="13"/>
    <x v="0"/>
    <x v="14"/>
    <x v="5"/>
    <n v="1"/>
  </r>
  <r>
    <x v="0"/>
    <x v="3"/>
    <x v="1"/>
    <x v="13"/>
    <x v="0"/>
    <x v="14"/>
    <x v="13"/>
    <n v="3"/>
  </r>
  <r>
    <x v="0"/>
    <x v="3"/>
    <x v="1"/>
    <x v="13"/>
    <x v="0"/>
    <x v="14"/>
    <x v="11"/>
    <n v="1"/>
  </r>
  <r>
    <x v="0"/>
    <x v="3"/>
    <x v="1"/>
    <x v="13"/>
    <x v="0"/>
    <x v="14"/>
    <x v="14"/>
    <n v="2"/>
  </r>
  <r>
    <x v="0"/>
    <x v="3"/>
    <x v="1"/>
    <x v="13"/>
    <x v="0"/>
    <x v="13"/>
    <x v="5"/>
    <n v="1"/>
  </r>
  <r>
    <x v="0"/>
    <x v="3"/>
    <x v="1"/>
    <x v="13"/>
    <x v="0"/>
    <x v="13"/>
    <x v="2"/>
    <n v="1"/>
  </r>
  <r>
    <x v="0"/>
    <x v="3"/>
    <x v="1"/>
    <x v="13"/>
    <x v="0"/>
    <x v="13"/>
    <x v="13"/>
    <n v="1"/>
  </r>
  <r>
    <x v="0"/>
    <x v="3"/>
    <x v="1"/>
    <x v="13"/>
    <x v="0"/>
    <x v="13"/>
    <x v="11"/>
    <n v="3"/>
  </r>
  <r>
    <x v="0"/>
    <x v="3"/>
    <x v="1"/>
    <x v="13"/>
    <x v="0"/>
    <x v="3"/>
    <x v="19"/>
    <n v="1"/>
  </r>
  <r>
    <x v="0"/>
    <x v="3"/>
    <x v="1"/>
    <x v="13"/>
    <x v="0"/>
    <x v="11"/>
    <x v="17"/>
    <n v="1"/>
  </r>
  <r>
    <x v="0"/>
    <x v="3"/>
    <x v="1"/>
    <x v="13"/>
    <x v="16"/>
    <x v="11"/>
    <x v="9"/>
    <n v="1"/>
  </r>
  <r>
    <x v="0"/>
    <x v="3"/>
    <x v="1"/>
    <x v="14"/>
    <x v="16"/>
    <x v="2"/>
    <x v="6"/>
    <n v="1"/>
  </r>
  <r>
    <x v="0"/>
    <x v="3"/>
    <x v="1"/>
    <x v="14"/>
    <x v="16"/>
    <x v="2"/>
    <x v="9"/>
    <n v="1"/>
  </r>
  <r>
    <x v="0"/>
    <x v="3"/>
    <x v="1"/>
    <x v="14"/>
    <x v="16"/>
    <x v="10"/>
    <x v="9"/>
    <n v="3"/>
  </r>
  <r>
    <x v="0"/>
    <x v="3"/>
    <x v="1"/>
    <x v="14"/>
    <x v="16"/>
    <x v="10"/>
    <x v="4"/>
    <n v="1"/>
  </r>
  <r>
    <x v="0"/>
    <x v="3"/>
    <x v="1"/>
    <x v="14"/>
    <x v="16"/>
    <x v="3"/>
    <x v="12"/>
    <n v="2"/>
  </r>
  <r>
    <x v="0"/>
    <x v="3"/>
    <x v="1"/>
    <x v="14"/>
    <x v="16"/>
    <x v="3"/>
    <x v="9"/>
    <n v="1"/>
  </r>
  <r>
    <x v="0"/>
    <x v="3"/>
    <x v="1"/>
    <x v="14"/>
    <x v="16"/>
    <x v="11"/>
    <x v="12"/>
    <n v="2"/>
  </r>
  <r>
    <x v="0"/>
    <x v="3"/>
    <x v="1"/>
    <x v="14"/>
    <x v="18"/>
    <x v="2"/>
    <x v="3"/>
    <n v="1"/>
  </r>
  <r>
    <x v="0"/>
    <x v="3"/>
    <x v="1"/>
    <x v="14"/>
    <x v="18"/>
    <x v="10"/>
    <x v="9"/>
    <n v="1"/>
  </r>
  <r>
    <x v="0"/>
    <x v="3"/>
    <x v="1"/>
    <x v="14"/>
    <x v="18"/>
    <x v="3"/>
    <x v="12"/>
    <n v="1"/>
  </r>
  <r>
    <x v="0"/>
    <x v="3"/>
    <x v="1"/>
    <x v="14"/>
    <x v="18"/>
    <x v="3"/>
    <x v="9"/>
    <n v="1"/>
  </r>
  <r>
    <x v="0"/>
    <x v="3"/>
    <x v="1"/>
    <x v="14"/>
    <x v="18"/>
    <x v="3"/>
    <x v="3"/>
    <n v="2"/>
  </r>
  <r>
    <x v="0"/>
    <x v="3"/>
    <x v="1"/>
    <x v="14"/>
    <x v="18"/>
    <x v="3"/>
    <x v="4"/>
    <n v="1"/>
  </r>
  <r>
    <x v="0"/>
    <x v="3"/>
    <x v="1"/>
    <x v="14"/>
    <x v="18"/>
    <x v="4"/>
    <x v="12"/>
    <n v="1"/>
  </r>
  <r>
    <x v="0"/>
    <x v="3"/>
    <x v="1"/>
    <x v="14"/>
    <x v="18"/>
    <x v="4"/>
    <x v="3"/>
    <n v="1"/>
  </r>
  <r>
    <x v="0"/>
    <x v="3"/>
    <x v="1"/>
    <x v="14"/>
    <x v="18"/>
    <x v="5"/>
    <x v="12"/>
    <n v="1"/>
  </r>
  <r>
    <x v="0"/>
    <x v="3"/>
    <x v="1"/>
    <x v="14"/>
    <x v="18"/>
    <x v="5"/>
    <x v="9"/>
    <n v="1"/>
  </r>
  <r>
    <x v="0"/>
    <x v="3"/>
    <x v="1"/>
    <x v="15"/>
    <x v="17"/>
    <x v="8"/>
    <x v="2"/>
    <n v="1"/>
  </r>
  <r>
    <x v="0"/>
    <x v="3"/>
    <x v="1"/>
    <x v="15"/>
    <x v="19"/>
    <x v="8"/>
    <x v="5"/>
    <n v="1"/>
  </r>
  <r>
    <x v="0"/>
    <x v="3"/>
    <x v="1"/>
    <x v="19"/>
    <x v="7"/>
    <x v="17"/>
    <x v="4"/>
    <n v="1"/>
  </r>
  <r>
    <x v="0"/>
    <x v="3"/>
    <x v="1"/>
    <x v="19"/>
    <x v="7"/>
    <x v="17"/>
    <x v="2"/>
    <n v="1"/>
  </r>
  <r>
    <x v="0"/>
    <x v="3"/>
    <x v="1"/>
    <x v="19"/>
    <x v="7"/>
    <x v="18"/>
    <x v="10"/>
    <n v="8"/>
  </r>
  <r>
    <x v="0"/>
    <x v="3"/>
    <x v="1"/>
    <x v="19"/>
    <x v="7"/>
    <x v="18"/>
    <x v="9"/>
    <n v="5"/>
  </r>
  <r>
    <x v="0"/>
    <x v="3"/>
    <x v="1"/>
    <x v="19"/>
    <x v="7"/>
    <x v="18"/>
    <x v="3"/>
    <n v="1"/>
  </r>
  <r>
    <x v="0"/>
    <x v="3"/>
    <x v="1"/>
    <x v="19"/>
    <x v="7"/>
    <x v="18"/>
    <x v="4"/>
    <n v="2"/>
  </r>
  <r>
    <x v="0"/>
    <x v="3"/>
    <x v="1"/>
    <x v="19"/>
    <x v="7"/>
    <x v="18"/>
    <x v="2"/>
    <n v="2"/>
  </r>
  <r>
    <x v="0"/>
    <x v="3"/>
    <x v="1"/>
    <x v="19"/>
    <x v="7"/>
    <x v="19"/>
    <x v="12"/>
    <n v="13"/>
  </r>
  <r>
    <x v="0"/>
    <x v="3"/>
    <x v="1"/>
    <x v="19"/>
    <x v="7"/>
    <x v="19"/>
    <x v="9"/>
    <n v="10"/>
  </r>
  <r>
    <x v="0"/>
    <x v="3"/>
    <x v="1"/>
    <x v="19"/>
    <x v="7"/>
    <x v="19"/>
    <x v="3"/>
    <n v="4"/>
  </r>
  <r>
    <x v="0"/>
    <x v="3"/>
    <x v="1"/>
    <x v="19"/>
    <x v="7"/>
    <x v="19"/>
    <x v="4"/>
    <n v="2"/>
  </r>
  <r>
    <x v="0"/>
    <x v="3"/>
    <x v="1"/>
    <x v="19"/>
    <x v="7"/>
    <x v="13"/>
    <x v="11"/>
    <n v="1"/>
  </r>
  <r>
    <x v="0"/>
    <x v="3"/>
    <x v="2"/>
    <x v="0"/>
    <x v="1"/>
    <x v="0"/>
    <x v="9"/>
    <n v="2"/>
  </r>
  <r>
    <x v="0"/>
    <x v="3"/>
    <x v="2"/>
    <x v="0"/>
    <x v="8"/>
    <x v="0"/>
    <x v="18"/>
    <n v="2"/>
  </r>
  <r>
    <x v="0"/>
    <x v="3"/>
    <x v="2"/>
    <x v="1"/>
    <x v="13"/>
    <x v="0"/>
    <x v="2"/>
    <n v="1"/>
  </r>
  <r>
    <x v="0"/>
    <x v="3"/>
    <x v="2"/>
    <x v="2"/>
    <x v="12"/>
    <x v="0"/>
    <x v="17"/>
    <n v="1"/>
  </r>
  <r>
    <x v="0"/>
    <x v="3"/>
    <x v="2"/>
    <x v="2"/>
    <x v="12"/>
    <x v="0"/>
    <x v="19"/>
    <n v="153"/>
  </r>
  <r>
    <x v="0"/>
    <x v="3"/>
    <x v="2"/>
    <x v="2"/>
    <x v="2"/>
    <x v="0"/>
    <x v="2"/>
    <n v="1"/>
  </r>
  <r>
    <x v="0"/>
    <x v="3"/>
    <x v="2"/>
    <x v="2"/>
    <x v="10"/>
    <x v="0"/>
    <x v="19"/>
    <n v="12"/>
  </r>
  <r>
    <x v="0"/>
    <x v="3"/>
    <x v="2"/>
    <x v="3"/>
    <x v="0"/>
    <x v="0"/>
    <x v="13"/>
    <n v="1"/>
  </r>
  <r>
    <x v="0"/>
    <x v="3"/>
    <x v="2"/>
    <x v="4"/>
    <x v="12"/>
    <x v="0"/>
    <x v="18"/>
    <n v="3"/>
  </r>
  <r>
    <x v="0"/>
    <x v="3"/>
    <x v="2"/>
    <x v="5"/>
    <x v="13"/>
    <x v="0"/>
    <x v="19"/>
    <n v="4"/>
  </r>
  <r>
    <x v="0"/>
    <x v="3"/>
    <x v="2"/>
    <x v="5"/>
    <x v="9"/>
    <x v="0"/>
    <x v="17"/>
    <n v="1"/>
  </r>
  <r>
    <x v="0"/>
    <x v="3"/>
    <x v="2"/>
    <x v="6"/>
    <x v="12"/>
    <x v="0"/>
    <x v="0"/>
    <n v="1"/>
  </r>
  <r>
    <x v="0"/>
    <x v="3"/>
    <x v="2"/>
    <x v="6"/>
    <x v="15"/>
    <x v="0"/>
    <x v="19"/>
    <n v="3"/>
  </r>
  <r>
    <x v="0"/>
    <x v="3"/>
    <x v="2"/>
    <x v="6"/>
    <x v="18"/>
    <x v="0"/>
    <x v="11"/>
    <n v="3"/>
  </r>
  <r>
    <x v="0"/>
    <x v="3"/>
    <x v="2"/>
    <x v="6"/>
    <x v="18"/>
    <x v="0"/>
    <x v="17"/>
    <n v="1"/>
  </r>
  <r>
    <x v="0"/>
    <x v="3"/>
    <x v="2"/>
    <x v="9"/>
    <x v="9"/>
    <x v="0"/>
    <x v="14"/>
    <n v="2"/>
  </r>
  <r>
    <x v="0"/>
    <x v="3"/>
    <x v="2"/>
    <x v="9"/>
    <x v="9"/>
    <x v="0"/>
    <x v="19"/>
    <n v="2"/>
  </r>
  <r>
    <x v="0"/>
    <x v="3"/>
    <x v="2"/>
    <x v="7"/>
    <x v="12"/>
    <x v="0"/>
    <x v="9"/>
    <n v="1"/>
  </r>
  <r>
    <x v="0"/>
    <x v="3"/>
    <x v="2"/>
    <x v="7"/>
    <x v="12"/>
    <x v="0"/>
    <x v="3"/>
    <n v="1"/>
  </r>
  <r>
    <x v="0"/>
    <x v="3"/>
    <x v="2"/>
    <x v="7"/>
    <x v="9"/>
    <x v="0"/>
    <x v="19"/>
    <n v="4"/>
  </r>
  <r>
    <x v="0"/>
    <x v="3"/>
    <x v="2"/>
    <x v="8"/>
    <x v="10"/>
    <x v="0"/>
    <x v="2"/>
    <n v="3"/>
  </r>
  <r>
    <x v="0"/>
    <x v="3"/>
    <x v="2"/>
    <x v="8"/>
    <x v="10"/>
    <x v="0"/>
    <x v="13"/>
    <n v="9"/>
  </r>
  <r>
    <x v="0"/>
    <x v="3"/>
    <x v="2"/>
    <x v="8"/>
    <x v="10"/>
    <x v="0"/>
    <x v="11"/>
    <n v="9"/>
  </r>
  <r>
    <x v="0"/>
    <x v="3"/>
    <x v="2"/>
    <x v="8"/>
    <x v="10"/>
    <x v="0"/>
    <x v="14"/>
    <n v="1"/>
  </r>
  <r>
    <x v="0"/>
    <x v="3"/>
    <x v="2"/>
    <x v="8"/>
    <x v="11"/>
    <x v="0"/>
    <x v="12"/>
    <n v="1"/>
  </r>
  <r>
    <x v="0"/>
    <x v="3"/>
    <x v="2"/>
    <x v="10"/>
    <x v="1"/>
    <x v="0"/>
    <x v="19"/>
    <n v="2"/>
  </r>
  <r>
    <x v="0"/>
    <x v="3"/>
    <x v="2"/>
    <x v="10"/>
    <x v="3"/>
    <x v="0"/>
    <x v="14"/>
    <n v="2"/>
  </r>
  <r>
    <x v="0"/>
    <x v="3"/>
    <x v="2"/>
    <x v="10"/>
    <x v="3"/>
    <x v="0"/>
    <x v="17"/>
    <n v="1"/>
  </r>
  <r>
    <x v="0"/>
    <x v="3"/>
    <x v="2"/>
    <x v="10"/>
    <x v="3"/>
    <x v="0"/>
    <x v="19"/>
    <n v="1"/>
  </r>
  <r>
    <x v="0"/>
    <x v="3"/>
    <x v="2"/>
    <x v="11"/>
    <x v="1"/>
    <x v="0"/>
    <x v="19"/>
    <n v="1"/>
  </r>
  <r>
    <x v="0"/>
    <x v="3"/>
    <x v="2"/>
    <x v="11"/>
    <x v="7"/>
    <x v="1"/>
    <x v="19"/>
    <n v="2"/>
  </r>
  <r>
    <x v="0"/>
    <x v="3"/>
    <x v="2"/>
    <x v="11"/>
    <x v="7"/>
    <x v="0"/>
    <x v="11"/>
    <n v="1"/>
  </r>
  <r>
    <x v="0"/>
    <x v="3"/>
    <x v="2"/>
    <x v="11"/>
    <x v="7"/>
    <x v="0"/>
    <x v="14"/>
    <n v="2"/>
  </r>
  <r>
    <x v="0"/>
    <x v="3"/>
    <x v="2"/>
    <x v="11"/>
    <x v="7"/>
    <x v="0"/>
    <x v="17"/>
    <n v="2"/>
  </r>
  <r>
    <x v="0"/>
    <x v="3"/>
    <x v="2"/>
    <x v="11"/>
    <x v="9"/>
    <x v="0"/>
    <x v="11"/>
    <n v="1"/>
  </r>
  <r>
    <x v="0"/>
    <x v="3"/>
    <x v="2"/>
    <x v="12"/>
    <x v="5"/>
    <x v="0"/>
    <x v="5"/>
    <n v="1"/>
  </r>
  <r>
    <x v="0"/>
    <x v="3"/>
    <x v="2"/>
    <x v="12"/>
    <x v="15"/>
    <x v="0"/>
    <x v="14"/>
    <n v="2"/>
  </r>
  <r>
    <x v="0"/>
    <x v="3"/>
    <x v="2"/>
    <x v="12"/>
    <x v="15"/>
    <x v="0"/>
    <x v="19"/>
    <n v="2"/>
  </r>
  <r>
    <x v="0"/>
    <x v="3"/>
    <x v="2"/>
    <x v="14"/>
    <x v="14"/>
    <x v="0"/>
    <x v="14"/>
    <n v="1"/>
  </r>
  <r>
    <x v="0"/>
    <x v="3"/>
    <x v="2"/>
    <x v="14"/>
    <x v="14"/>
    <x v="0"/>
    <x v="17"/>
    <n v="4"/>
  </r>
  <r>
    <x v="0"/>
    <x v="3"/>
    <x v="2"/>
    <x v="14"/>
    <x v="14"/>
    <x v="0"/>
    <x v="19"/>
    <n v="262"/>
  </r>
  <r>
    <x v="0"/>
    <x v="3"/>
    <x v="2"/>
    <x v="18"/>
    <x v="4"/>
    <x v="0"/>
    <x v="19"/>
    <n v="4"/>
  </r>
  <r>
    <x v="0"/>
    <x v="3"/>
    <x v="2"/>
    <x v="18"/>
    <x v="11"/>
    <x v="0"/>
    <x v="19"/>
    <n v="1"/>
  </r>
  <r>
    <x v="0"/>
    <x v="3"/>
    <x v="2"/>
    <x v="15"/>
    <x v="5"/>
    <x v="0"/>
    <x v="17"/>
    <n v="6"/>
  </r>
  <r>
    <x v="0"/>
    <x v="3"/>
    <x v="2"/>
    <x v="15"/>
    <x v="5"/>
    <x v="0"/>
    <x v="19"/>
    <n v="38"/>
  </r>
  <r>
    <x v="0"/>
    <x v="3"/>
    <x v="2"/>
    <x v="16"/>
    <x v="17"/>
    <x v="0"/>
    <x v="0"/>
    <n v="1"/>
  </r>
  <r>
    <x v="0"/>
    <x v="3"/>
    <x v="2"/>
    <x v="16"/>
    <x v="17"/>
    <x v="0"/>
    <x v="18"/>
    <n v="1"/>
  </r>
  <r>
    <x v="0"/>
    <x v="3"/>
    <x v="2"/>
    <x v="17"/>
    <x v="1"/>
    <x v="0"/>
    <x v="19"/>
    <n v="1"/>
  </r>
  <r>
    <x v="0"/>
    <x v="3"/>
    <x v="2"/>
    <x v="17"/>
    <x v="9"/>
    <x v="0"/>
    <x v="19"/>
    <n v="1"/>
  </r>
  <r>
    <x v="0"/>
    <x v="3"/>
    <x v="2"/>
    <x v="19"/>
    <x v="5"/>
    <x v="0"/>
    <x v="5"/>
    <n v="1"/>
  </r>
  <r>
    <x v="0"/>
    <x v="3"/>
    <x v="2"/>
    <x v="19"/>
    <x v="10"/>
    <x v="0"/>
    <x v="12"/>
    <n v="5"/>
  </r>
  <r>
    <x v="0"/>
    <x v="3"/>
    <x v="3"/>
    <x v="0"/>
    <x v="14"/>
    <x v="6"/>
    <x v="6"/>
    <n v="1"/>
  </r>
  <r>
    <x v="0"/>
    <x v="3"/>
    <x v="3"/>
    <x v="4"/>
    <x v="4"/>
    <x v="3"/>
    <x v="12"/>
    <n v="1"/>
  </r>
  <r>
    <x v="0"/>
    <x v="3"/>
    <x v="3"/>
    <x v="4"/>
    <x v="9"/>
    <x v="0"/>
    <x v="9"/>
    <n v="1"/>
  </r>
  <r>
    <x v="0"/>
    <x v="3"/>
    <x v="3"/>
    <x v="5"/>
    <x v="19"/>
    <x v="0"/>
    <x v="0"/>
    <n v="1"/>
  </r>
  <r>
    <x v="0"/>
    <x v="3"/>
    <x v="3"/>
    <x v="10"/>
    <x v="19"/>
    <x v="12"/>
    <x v="6"/>
    <n v="1"/>
  </r>
  <r>
    <x v="0"/>
    <x v="1"/>
    <x v="5"/>
    <x v="13"/>
    <x v="17"/>
    <x v="14"/>
    <x v="11"/>
    <n v="111"/>
  </r>
  <r>
    <x v="0"/>
    <x v="1"/>
    <x v="5"/>
    <x v="13"/>
    <x v="17"/>
    <x v="13"/>
    <x v="2"/>
    <n v="74"/>
  </r>
  <r>
    <x v="0"/>
    <x v="1"/>
    <x v="5"/>
    <x v="13"/>
    <x v="17"/>
    <x v="2"/>
    <x v="0"/>
    <n v="44"/>
  </r>
  <r>
    <x v="0"/>
    <x v="1"/>
    <x v="5"/>
    <x v="13"/>
    <x v="17"/>
    <x v="2"/>
    <x v="18"/>
    <n v="54"/>
  </r>
  <r>
    <x v="0"/>
    <x v="1"/>
    <x v="5"/>
    <x v="13"/>
    <x v="17"/>
    <x v="10"/>
    <x v="0"/>
    <n v="34"/>
  </r>
  <r>
    <x v="0"/>
    <x v="1"/>
    <x v="5"/>
    <x v="13"/>
    <x v="17"/>
    <x v="10"/>
    <x v="18"/>
    <n v="33"/>
  </r>
  <r>
    <x v="0"/>
    <x v="1"/>
    <x v="5"/>
    <x v="13"/>
    <x v="17"/>
    <x v="3"/>
    <x v="0"/>
    <n v="18"/>
  </r>
  <r>
    <x v="0"/>
    <x v="1"/>
    <x v="5"/>
    <x v="13"/>
    <x v="17"/>
    <x v="3"/>
    <x v="18"/>
    <n v="21"/>
  </r>
  <r>
    <x v="0"/>
    <x v="1"/>
    <x v="5"/>
    <x v="13"/>
    <x v="17"/>
    <x v="4"/>
    <x v="0"/>
    <n v="17"/>
  </r>
  <r>
    <x v="0"/>
    <x v="1"/>
    <x v="5"/>
    <x v="13"/>
    <x v="17"/>
    <x v="4"/>
    <x v="18"/>
    <n v="15"/>
  </r>
  <r>
    <x v="0"/>
    <x v="1"/>
    <x v="5"/>
    <x v="13"/>
    <x v="17"/>
    <x v="5"/>
    <x v="0"/>
    <n v="11"/>
  </r>
  <r>
    <x v="0"/>
    <x v="1"/>
    <x v="5"/>
    <x v="13"/>
    <x v="17"/>
    <x v="5"/>
    <x v="18"/>
    <n v="6"/>
  </r>
  <r>
    <x v="0"/>
    <x v="1"/>
    <x v="5"/>
    <x v="13"/>
    <x v="17"/>
    <x v="11"/>
    <x v="0"/>
    <n v="7"/>
  </r>
  <r>
    <x v="0"/>
    <x v="1"/>
    <x v="5"/>
    <x v="13"/>
    <x v="17"/>
    <x v="11"/>
    <x v="18"/>
    <n v="5"/>
  </r>
  <r>
    <x v="0"/>
    <x v="1"/>
    <x v="5"/>
    <x v="13"/>
    <x v="17"/>
    <x v="6"/>
    <x v="0"/>
    <n v="6"/>
  </r>
  <r>
    <x v="0"/>
    <x v="1"/>
    <x v="5"/>
    <x v="13"/>
    <x v="17"/>
    <x v="0"/>
    <x v="19"/>
    <n v="1"/>
  </r>
  <r>
    <x v="0"/>
    <x v="1"/>
    <x v="5"/>
    <x v="16"/>
    <x v="0"/>
    <x v="6"/>
    <x v="19"/>
    <n v="1"/>
  </r>
  <r>
    <x v="0"/>
    <x v="1"/>
    <x v="5"/>
    <x v="16"/>
    <x v="0"/>
    <x v="9"/>
    <x v="19"/>
    <n v="1"/>
  </r>
  <r>
    <x v="0"/>
    <x v="1"/>
    <x v="5"/>
    <x v="16"/>
    <x v="19"/>
    <x v="6"/>
    <x v="19"/>
    <n v="2"/>
  </r>
  <r>
    <x v="0"/>
    <x v="1"/>
    <x v="5"/>
    <x v="16"/>
    <x v="19"/>
    <x v="9"/>
    <x v="19"/>
    <n v="1"/>
  </r>
  <r>
    <x v="0"/>
    <x v="1"/>
    <x v="5"/>
    <x v="17"/>
    <x v="12"/>
    <x v="5"/>
    <x v="19"/>
    <n v="1"/>
  </r>
  <r>
    <x v="0"/>
    <x v="1"/>
    <x v="5"/>
    <x v="17"/>
    <x v="12"/>
    <x v="11"/>
    <x v="19"/>
    <n v="1"/>
  </r>
  <r>
    <x v="0"/>
    <x v="1"/>
    <x v="5"/>
    <x v="17"/>
    <x v="12"/>
    <x v="6"/>
    <x v="19"/>
    <n v="2"/>
  </r>
  <r>
    <x v="0"/>
    <x v="1"/>
    <x v="5"/>
    <x v="17"/>
    <x v="2"/>
    <x v="2"/>
    <x v="19"/>
    <n v="12"/>
  </r>
  <r>
    <x v="0"/>
    <x v="1"/>
    <x v="5"/>
    <x v="17"/>
    <x v="2"/>
    <x v="10"/>
    <x v="19"/>
    <n v="11"/>
  </r>
  <r>
    <x v="0"/>
    <x v="1"/>
    <x v="5"/>
    <x v="17"/>
    <x v="2"/>
    <x v="3"/>
    <x v="19"/>
    <n v="15"/>
  </r>
  <r>
    <x v="0"/>
    <x v="1"/>
    <x v="5"/>
    <x v="17"/>
    <x v="2"/>
    <x v="4"/>
    <x v="19"/>
    <n v="10"/>
  </r>
  <r>
    <x v="0"/>
    <x v="1"/>
    <x v="5"/>
    <x v="17"/>
    <x v="2"/>
    <x v="11"/>
    <x v="2"/>
    <n v="1"/>
  </r>
  <r>
    <x v="0"/>
    <x v="1"/>
    <x v="5"/>
    <x v="17"/>
    <x v="2"/>
    <x v="11"/>
    <x v="13"/>
    <n v="1"/>
  </r>
  <r>
    <x v="0"/>
    <x v="1"/>
    <x v="5"/>
    <x v="17"/>
    <x v="9"/>
    <x v="2"/>
    <x v="14"/>
    <n v="1"/>
  </r>
  <r>
    <x v="0"/>
    <x v="1"/>
    <x v="5"/>
    <x v="17"/>
    <x v="9"/>
    <x v="2"/>
    <x v="17"/>
    <n v="1"/>
  </r>
  <r>
    <x v="0"/>
    <x v="1"/>
    <x v="5"/>
    <x v="17"/>
    <x v="9"/>
    <x v="2"/>
    <x v="19"/>
    <n v="6"/>
  </r>
  <r>
    <x v="0"/>
    <x v="1"/>
    <x v="5"/>
    <x v="17"/>
    <x v="9"/>
    <x v="10"/>
    <x v="11"/>
    <n v="1"/>
  </r>
  <r>
    <x v="0"/>
    <x v="1"/>
    <x v="5"/>
    <x v="17"/>
    <x v="9"/>
    <x v="10"/>
    <x v="14"/>
    <n v="3"/>
  </r>
  <r>
    <x v="0"/>
    <x v="1"/>
    <x v="5"/>
    <x v="17"/>
    <x v="9"/>
    <x v="10"/>
    <x v="17"/>
    <n v="3"/>
  </r>
  <r>
    <x v="0"/>
    <x v="1"/>
    <x v="5"/>
    <x v="17"/>
    <x v="9"/>
    <x v="10"/>
    <x v="19"/>
    <n v="9"/>
  </r>
  <r>
    <x v="0"/>
    <x v="1"/>
    <x v="5"/>
    <x v="17"/>
    <x v="9"/>
    <x v="3"/>
    <x v="13"/>
    <n v="2"/>
  </r>
  <r>
    <x v="0"/>
    <x v="1"/>
    <x v="5"/>
    <x v="17"/>
    <x v="9"/>
    <x v="3"/>
    <x v="11"/>
    <n v="1"/>
  </r>
  <r>
    <x v="0"/>
    <x v="1"/>
    <x v="5"/>
    <x v="17"/>
    <x v="9"/>
    <x v="3"/>
    <x v="14"/>
    <n v="1"/>
  </r>
  <r>
    <x v="0"/>
    <x v="1"/>
    <x v="5"/>
    <x v="17"/>
    <x v="9"/>
    <x v="3"/>
    <x v="17"/>
    <n v="2"/>
  </r>
  <r>
    <x v="0"/>
    <x v="1"/>
    <x v="5"/>
    <x v="17"/>
    <x v="9"/>
    <x v="3"/>
    <x v="19"/>
    <n v="2"/>
  </r>
  <r>
    <x v="0"/>
    <x v="1"/>
    <x v="5"/>
    <x v="17"/>
    <x v="9"/>
    <x v="4"/>
    <x v="11"/>
    <n v="1"/>
  </r>
  <r>
    <x v="0"/>
    <x v="1"/>
    <x v="5"/>
    <x v="17"/>
    <x v="9"/>
    <x v="4"/>
    <x v="17"/>
    <n v="2"/>
  </r>
  <r>
    <x v="0"/>
    <x v="1"/>
    <x v="5"/>
    <x v="17"/>
    <x v="9"/>
    <x v="4"/>
    <x v="19"/>
    <n v="4"/>
  </r>
  <r>
    <x v="0"/>
    <x v="1"/>
    <x v="5"/>
    <x v="17"/>
    <x v="9"/>
    <x v="5"/>
    <x v="13"/>
    <n v="1"/>
  </r>
  <r>
    <x v="0"/>
    <x v="1"/>
    <x v="5"/>
    <x v="17"/>
    <x v="9"/>
    <x v="8"/>
    <x v="19"/>
    <n v="1"/>
  </r>
  <r>
    <x v="0"/>
    <x v="1"/>
    <x v="5"/>
    <x v="19"/>
    <x v="10"/>
    <x v="7"/>
    <x v="0"/>
    <n v="1"/>
  </r>
  <r>
    <x v="0"/>
    <x v="1"/>
    <x v="5"/>
    <x v="19"/>
    <x v="10"/>
    <x v="1"/>
    <x v="17"/>
    <n v="2"/>
  </r>
  <r>
    <x v="0"/>
    <x v="1"/>
    <x v="6"/>
    <x v="0"/>
    <x v="12"/>
    <x v="17"/>
    <x v="19"/>
    <n v="4200"/>
  </r>
  <r>
    <x v="0"/>
    <x v="1"/>
    <x v="6"/>
    <x v="0"/>
    <x v="12"/>
    <x v="16"/>
    <x v="17"/>
    <n v="4"/>
  </r>
  <r>
    <x v="0"/>
    <x v="1"/>
    <x v="6"/>
    <x v="0"/>
    <x v="12"/>
    <x v="16"/>
    <x v="19"/>
    <n v="446"/>
  </r>
  <r>
    <x v="0"/>
    <x v="1"/>
    <x v="6"/>
    <x v="0"/>
    <x v="12"/>
    <x v="15"/>
    <x v="17"/>
    <n v="1"/>
  </r>
  <r>
    <x v="0"/>
    <x v="1"/>
    <x v="6"/>
    <x v="0"/>
    <x v="12"/>
    <x v="15"/>
    <x v="19"/>
    <n v="187"/>
  </r>
  <r>
    <x v="0"/>
    <x v="1"/>
    <x v="6"/>
    <x v="0"/>
    <x v="12"/>
    <x v="10"/>
    <x v="18"/>
    <n v="1"/>
  </r>
  <r>
    <x v="0"/>
    <x v="1"/>
    <x v="6"/>
    <x v="0"/>
    <x v="16"/>
    <x v="7"/>
    <x v="19"/>
    <n v="1"/>
  </r>
  <r>
    <x v="0"/>
    <x v="1"/>
    <x v="6"/>
    <x v="3"/>
    <x v="8"/>
    <x v="17"/>
    <x v="19"/>
    <n v="232"/>
  </r>
  <r>
    <x v="0"/>
    <x v="1"/>
    <x v="6"/>
    <x v="3"/>
    <x v="8"/>
    <x v="16"/>
    <x v="19"/>
    <n v="5"/>
  </r>
  <r>
    <x v="0"/>
    <x v="1"/>
    <x v="6"/>
    <x v="3"/>
    <x v="8"/>
    <x v="15"/>
    <x v="19"/>
    <n v="1"/>
  </r>
  <r>
    <x v="0"/>
    <x v="1"/>
    <x v="6"/>
    <x v="3"/>
    <x v="9"/>
    <x v="9"/>
    <x v="19"/>
    <n v="1"/>
  </r>
  <r>
    <x v="0"/>
    <x v="1"/>
    <x v="6"/>
    <x v="5"/>
    <x v="3"/>
    <x v="15"/>
    <x v="18"/>
    <n v="2"/>
  </r>
  <r>
    <x v="0"/>
    <x v="1"/>
    <x v="6"/>
    <x v="5"/>
    <x v="3"/>
    <x v="14"/>
    <x v="18"/>
    <n v="4"/>
  </r>
  <r>
    <x v="0"/>
    <x v="1"/>
    <x v="6"/>
    <x v="5"/>
    <x v="3"/>
    <x v="6"/>
    <x v="19"/>
    <n v="4"/>
  </r>
  <r>
    <x v="0"/>
    <x v="1"/>
    <x v="6"/>
    <x v="6"/>
    <x v="2"/>
    <x v="18"/>
    <x v="19"/>
    <n v="78"/>
  </r>
  <r>
    <x v="0"/>
    <x v="1"/>
    <x v="6"/>
    <x v="6"/>
    <x v="2"/>
    <x v="19"/>
    <x v="17"/>
    <n v="1"/>
  </r>
  <r>
    <x v="0"/>
    <x v="1"/>
    <x v="6"/>
    <x v="6"/>
    <x v="2"/>
    <x v="19"/>
    <x v="19"/>
    <n v="140"/>
  </r>
  <r>
    <x v="0"/>
    <x v="1"/>
    <x v="6"/>
    <x v="6"/>
    <x v="2"/>
    <x v="16"/>
    <x v="18"/>
    <n v="15"/>
  </r>
  <r>
    <x v="0"/>
    <x v="1"/>
    <x v="6"/>
    <x v="6"/>
    <x v="2"/>
    <x v="15"/>
    <x v="18"/>
    <n v="3"/>
  </r>
  <r>
    <x v="0"/>
    <x v="1"/>
    <x v="6"/>
    <x v="6"/>
    <x v="2"/>
    <x v="10"/>
    <x v="19"/>
    <n v="2"/>
  </r>
  <r>
    <x v="0"/>
    <x v="1"/>
    <x v="6"/>
    <x v="6"/>
    <x v="11"/>
    <x v="9"/>
    <x v="19"/>
    <n v="1"/>
  </r>
  <r>
    <x v="0"/>
    <x v="1"/>
    <x v="6"/>
    <x v="6"/>
    <x v="11"/>
    <x v="12"/>
    <x v="19"/>
    <n v="1"/>
  </r>
  <r>
    <x v="0"/>
    <x v="1"/>
    <x v="6"/>
    <x v="7"/>
    <x v="0"/>
    <x v="14"/>
    <x v="19"/>
    <n v="1"/>
  </r>
  <r>
    <x v="0"/>
    <x v="1"/>
    <x v="6"/>
    <x v="12"/>
    <x v="1"/>
    <x v="19"/>
    <x v="19"/>
    <n v="1"/>
  </r>
  <r>
    <x v="0"/>
    <x v="3"/>
    <x v="3"/>
    <x v="11"/>
    <x v="8"/>
    <x v="3"/>
    <x v="8"/>
    <n v="1"/>
  </r>
  <r>
    <x v="0"/>
    <x v="3"/>
    <x v="3"/>
    <x v="12"/>
    <x v="6"/>
    <x v="9"/>
    <x v="10"/>
    <n v="1"/>
  </r>
  <r>
    <x v="0"/>
    <x v="3"/>
    <x v="3"/>
    <x v="14"/>
    <x v="2"/>
    <x v="0"/>
    <x v="19"/>
    <n v="1"/>
  </r>
  <r>
    <x v="0"/>
    <x v="3"/>
    <x v="3"/>
    <x v="18"/>
    <x v="5"/>
    <x v="0"/>
    <x v="12"/>
    <n v="1"/>
  </r>
  <r>
    <x v="0"/>
    <x v="3"/>
    <x v="3"/>
    <x v="18"/>
    <x v="5"/>
    <x v="0"/>
    <x v="9"/>
    <n v="1"/>
  </r>
  <r>
    <x v="0"/>
    <x v="3"/>
    <x v="3"/>
    <x v="16"/>
    <x v="4"/>
    <x v="0"/>
    <x v="9"/>
    <n v="1"/>
  </r>
  <r>
    <x v="0"/>
    <x v="3"/>
    <x v="3"/>
    <x v="16"/>
    <x v="1"/>
    <x v="10"/>
    <x v="11"/>
    <n v="1"/>
  </r>
  <r>
    <x v="0"/>
    <x v="3"/>
    <x v="3"/>
    <x v="17"/>
    <x v="7"/>
    <x v="0"/>
    <x v="17"/>
    <n v="1"/>
  </r>
  <r>
    <x v="0"/>
    <x v="3"/>
    <x v="3"/>
    <x v="19"/>
    <x v="0"/>
    <x v="0"/>
    <x v="19"/>
    <n v="1"/>
  </r>
  <r>
    <x v="0"/>
    <x v="3"/>
    <x v="3"/>
    <x v="19"/>
    <x v="18"/>
    <x v="0"/>
    <x v="2"/>
    <n v="1"/>
  </r>
  <r>
    <x v="0"/>
    <x v="3"/>
    <x v="4"/>
    <x v="0"/>
    <x v="1"/>
    <x v="9"/>
    <x v="8"/>
    <n v="5"/>
  </r>
  <r>
    <x v="0"/>
    <x v="3"/>
    <x v="4"/>
    <x v="0"/>
    <x v="1"/>
    <x v="7"/>
    <x v="6"/>
    <n v="2"/>
  </r>
  <r>
    <x v="0"/>
    <x v="3"/>
    <x v="4"/>
    <x v="0"/>
    <x v="1"/>
    <x v="8"/>
    <x v="7"/>
    <n v="4"/>
  </r>
  <r>
    <x v="0"/>
    <x v="3"/>
    <x v="4"/>
    <x v="0"/>
    <x v="1"/>
    <x v="8"/>
    <x v="6"/>
    <n v="8"/>
  </r>
  <r>
    <x v="0"/>
    <x v="3"/>
    <x v="4"/>
    <x v="0"/>
    <x v="1"/>
    <x v="8"/>
    <x v="10"/>
    <n v="2"/>
  </r>
  <r>
    <x v="0"/>
    <x v="3"/>
    <x v="4"/>
    <x v="1"/>
    <x v="0"/>
    <x v="7"/>
    <x v="9"/>
    <n v="1"/>
  </r>
  <r>
    <x v="0"/>
    <x v="3"/>
    <x v="4"/>
    <x v="1"/>
    <x v="0"/>
    <x v="0"/>
    <x v="1"/>
    <n v="1"/>
  </r>
  <r>
    <x v="0"/>
    <x v="3"/>
    <x v="4"/>
    <x v="1"/>
    <x v="11"/>
    <x v="0"/>
    <x v="12"/>
    <n v="1"/>
  </r>
  <r>
    <x v="0"/>
    <x v="3"/>
    <x v="4"/>
    <x v="2"/>
    <x v="6"/>
    <x v="7"/>
    <x v="7"/>
    <n v="1"/>
  </r>
  <r>
    <x v="0"/>
    <x v="3"/>
    <x v="4"/>
    <x v="2"/>
    <x v="6"/>
    <x v="7"/>
    <x v="6"/>
    <n v="12"/>
  </r>
  <r>
    <x v="0"/>
    <x v="3"/>
    <x v="4"/>
    <x v="2"/>
    <x v="6"/>
    <x v="7"/>
    <x v="12"/>
    <n v="1"/>
  </r>
  <r>
    <x v="0"/>
    <x v="3"/>
    <x v="4"/>
    <x v="2"/>
    <x v="6"/>
    <x v="8"/>
    <x v="6"/>
    <n v="1"/>
  </r>
  <r>
    <x v="0"/>
    <x v="3"/>
    <x v="4"/>
    <x v="2"/>
    <x v="6"/>
    <x v="0"/>
    <x v="11"/>
    <n v="2"/>
  </r>
  <r>
    <x v="0"/>
    <x v="3"/>
    <x v="4"/>
    <x v="3"/>
    <x v="3"/>
    <x v="0"/>
    <x v="5"/>
    <n v="1"/>
  </r>
  <r>
    <x v="0"/>
    <x v="3"/>
    <x v="4"/>
    <x v="3"/>
    <x v="19"/>
    <x v="0"/>
    <x v="12"/>
    <n v="1"/>
  </r>
  <r>
    <x v="0"/>
    <x v="3"/>
    <x v="4"/>
    <x v="3"/>
    <x v="19"/>
    <x v="0"/>
    <x v="3"/>
    <n v="5"/>
  </r>
  <r>
    <x v="0"/>
    <x v="3"/>
    <x v="4"/>
    <x v="3"/>
    <x v="19"/>
    <x v="0"/>
    <x v="4"/>
    <n v="1"/>
  </r>
  <r>
    <x v="0"/>
    <x v="3"/>
    <x v="4"/>
    <x v="3"/>
    <x v="19"/>
    <x v="0"/>
    <x v="5"/>
    <n v="3"/>
  </r>
  <r>
    <x v="0"/>
    <x v="3"/>
    <x v="4"/>
    <x v="4"/>
    <x v="1"/>
    <x v="1"/>
    <x v="6"/>
    <n v="2"/>
  </r>
  <r>
    <x v="0"/>
    <x v="3"/>
    <x v="4"/>
    <x v="4"/>
    <x v="1"/>
    <x v="0"/>
    <x v="6"/>
    <n v="22"/>
  </r>
  <r>
    <x v="0"/>
    <x v="3"/>
    <x v="4"/>
    <x v="4"/>
    <x v="1"/>
    <x v="0"/>
    <x v="10"/>
    <n v="16"/>
  </r>
  <r>
    <x v="0"/>
    <x v="3"/>
    <x v="4"/>
    <x v="4"/>
    <x v="1"/>
    <x v="0"/>
    <x v="1"/>
    <n v="13"/>
  </r>
  <r>
    <x v="0"/>
    <x v="3"/>
    <x v="4"/>
    <x v="4"/>
    <x v="1"/>
    <x v="0"/>
    <x v="5"/>
    <n v="1"/>
  </r>
  <r>
    <x v="0"/>
    <x v="3"/>
    <x v="4"/>
    <x v="4"/>
    <x v="15"/>
    <x v="0"/>
    <x v="1"/>
    <n v="1"/>
  </r>
  <r>
    <x v="0"/>
    <x v="3"/>
    <x v="4"/>
    <x v="4"/>
    <x v="19"/>
    <x v="7"/>
    <x v="13"/>
    <n v="1"/>
  </r>
  <r>
    <x v="0"/>
    <x v="3"/>
    <x v="4"/>
    <x v="4"/>
    <x v="19"/>
    <x v="8"/>
    <x v="13"/>
    <n v="1"/>
  </r>
  <r>
    <x v="0"/>
    <x v="3"/>
    <x v="4"/>
    <x v="5"/>
    <x v="5"/>
    <x v="9"/>
    <x v="1"/>
    <n v="1"/>
  </r>
  <r>
    <x v="0"/>
    <x v="3"/>
    <x v="4"/>
    <x v="5"/>
    <x v="5"/>
    <x v="12"/>
    <x v="9"/>
    <n v="1"/>
  </r>
  <r>
    <x v="0"/>
    <x v="3"/>
    <x v="4"/>
    <x v="5"/>
    <x v="5"/>
    <x v="1"/>
    <x v="10"/>
    <n v="1"/>
  </r>
  <r>
    <x v="0"/>
    <x v="3"/>
    <x v="4"/>
    <x v="5"/>
    <x v="5"/>
    <x v="1"/>
    <x v="9"/>
    <n v="1"/>
  </r>
  <r>
    <x v="0"/>
    <x v="3"/>
    <x v="4"/>
    <x v="5"/>
    <x v="13"/>
    <x v="0"/>
    <x v="14"/>
    <n v="1"/>
  </r>
  <r>
    <x v="0"/>
    <x v="3"/>
    <x v="4"/>
    <x v="5"/>
    <x v="13"/>
    <x v="0"/>
    <x v="17"/>
    <n v="1"/>
  </r>
  <r>
    <x v="0"/>
    <x v="3"/>
    <x v="4"/>
    <x v="5"/>
    <x v="13"/>
    <x v="0"/>
    <x v="19"/>
    <n v="6"/>
  </r>
  <r>
    <x v="0"/>
    <x v="3"/>
    <x v="4"/>
    <x v="5"/>
    <x v="6"/>
    <x v="7"/>
    <x v="19"/>
    <n v="1"/>
  </r>
  <r>
    <x v="0"/>
    <x v="3"/>
    <x v="4"/>
    <x v="5"/>
    <x v="9"/>
    <x v="9"/>
    <x v="9"/>
    <n v="1"/>
  </r>
  <r>
    <x v="0"/>
    <x v="3"/>
    <x v="4"/>
    <x v="5"/>
    <x v="9"/>
    <x v="9"/>
    <x v="3"/>
    <n v="1"/>
  </r>
  <r>
    <x v="0"/>
    <x v="3"/>
    <x v="4"/>
    <x v="5"/>
    <x v="9"/>
    <x v="0"/>
    <x v="4"/>
    <n v="4"/>
  </r>
  <r>
    <x v="0"/>
    <x v="3"/>
    <x v="4"/>
    <x v="6"/>
    <x v="3"/>
    <x v="6"/>
    <x v="10"/>
    <n v="1"/>
  </r>
  <r>
    <x v="0"/>
    <x v="3"/>
    <x v="4"/>
    <x v="6"/>
    <x v="3"/>
    <x v="12"/>
    <x v="6"/>
    <n v="1"/>
  </r>
  <r>
    <x v="0"/>
    <x v="3"/>
    <x v="4"/>
    <x v="6"/>
    <x v="9"/>
    <x v="0"/>
    <x v="0"/>
    <n v="1"/>
  </r>
  <r>
    <x v="0"/>
    <x v="3"/>
    <x v="4"/>
    <x v="7"/>
    <x v="12"/>
    <x v="0"/>
    <x v="12"/>
    <n v="6"/>
  </r>
  <r>
    <x v="0"/>
    <x v="3"/>
    <x v="4"/>
    <x v="7"/>
    <x v="12"/>
    <x v="0"/>
    <x v="9"/>
    <n v="6"/>
  </r>
  <r>
    <x v="0"/>
    <x v="3"/>
    <x v="4"/>
    <x v="7"/>
    <x v="16"/>
    <x v="0"/>
    <x v="1"/>
    <n v="1"/>
  </r>
  <r>
    <x v="0"/>
    <x v="3"/>
    <x v="4"/>
    <x v="7"/>
    <x v="5"/>
    <x v="0"/>
    <x v="13"/>
    <n v="1"/>
  </r>
  <r>
    <x v="0"/>
    <x v="3"/>
    <x v="4"/>
    <x v="8"/>
    <x v="1"/>
    <x v="0"/>
    <x v="13"/>
    <n v="1"/>
  </r>
  <r>
    <x v="0"/>
    <x v="3"/>
    <x v="4"/>
    <x v="11"/>
    <x v="14"/>
    <x v="1"/>
    <x v="2"/>
    <n v="1"/>
  </r>
  <r>
    <x v="0"/>
    <x v="3"/>
    <x v="4"/>
    <x v="11"/>
    <x v="14"/>
    <x v="0"/>
    <x v="13"/>
    <n v="1"/>
  </r>
  <r>
    <x v="0"/>
    <x v="3"/>
    <x v="4"/>
    <x v="11"/>
    <x v="10"/>
    <x v="0"/>
    <x v="0"/>
    <n v="1"/>
  </r>
  <r>
    <x v="0"/>
    <x v="3"/>
    <x v="4"/>
    <x v="11"/>
    <x v="10"/>
    <x v="0"/>
    <x v="18"/>
    <n v="2"/>
  </r>
  <r>
    <x v="0"/>
    <x v="3"/>
    <x v="4"/>
    <x v="12"/>
    <x v="2"/>
    <x v="0"/>
    <x v="11"/>
    <n v="2"/>
  </r>
  <r>
    <x v="0"/>
    <x v="3"/>
    <x v="4"/>
    <x v="12"/>
    <x v="2"/>
    <x v="0"/>
    <x v="14"/>
    <n v="2"/>
  </r>
  <r>
    <x v="0"/>
    <x v="3"/>
    <x v="4"/>
    <x v="13"/>
    <x v="16"/>
    <x v="0"/>
    <x v="12"/>
    <n v="5"/>
  </r>
  <r>
    <x v="0"/>
    <x v="3"/>
    <x v="4"/>
    <x v="13"/>
    <x v="16"/>
    <x v="0"/>
    <x v="9"/>
    <n v="4"/>
  </r>
  <r>
    <x v="0"/>
    <x v="3"/>
    <x v="4"/>
    <x v="13"/>
    <x v="16"/>
    <x v="0"/>
    <x v="3"/>
    <n v="8"/>
  </r>
  <r>
    <x v="0"/>
    <x v="3"/>
    <x v="4"/>
    <x v="13"/>
    <x v="16"/>
    <x v="0"/>
    <x v="4"/>
    <n v="3"/>
  </r>
  <r>
    <x v="0"/>
    <x v="3"/>
    <x v="4"/>
    <x v="13"/>
    <x v="16"/>
    <x v="0"/>
    <x v="2"/>
    <n v="1"/>
  </r>
  <r>
    <x v="0"/>
    <x v="3"/>
    <x v="4"/>
    <x v="13"/>
    <x v="16"/>
    <x v="0"/>
    <x v="13"/>
    <n v="1"/>
  </r>
  <r>
    <x v="0"/>
    <x v="3"/>
    <x v="4"/>
    <x v="13"/>
    <x v="1"/>
    <x v="0"/>
    <x v="9"/>
    <n v="1"/>
  </r>
  <r>
    <x v="0"/>
    <x v="3"/>
    <x v="4"/>
    <x v="13"/>
    <x v="1"/>
    <x v="0"/>
    <x v="3"/>
    <n v="15"/>
  </r>
  <r>
    <x v="0"/>
    <x v="3"/>
    <x v="4"/>
    <x v="13"/>
    <x v="1"/>
    <x v="0"/>
    <x v="4"/>
    <n v="20"/>
  </r>
  <r>
    <x v="0"/>
    <x v="3"/>
    <x v="4"/>
    <x v="13"/>
    <x v="1"/>
    <x v="0"/>
    <x v="5"/>
    <n v="26"/>
  </r>
  <r>
    <x v="0"/>
    <x v="3"/>
    <x v="4"/>
    <x v="13"/>
    <x v="1"/>
    <x v="0"/>
    <x v="0"/>
    <n v="4"/>
  </r>
  <r>
    <x v="0"/>
    <x v="3"/>
    <x v="4"/>
    <x v="13"/>
    <x v="1"/>
    <x v="0"/>
    <x v="18"/>
    <n v="4"/>
  </r>
  <r>
    <x v="0"/>
    <x v="3"/>
    <x v="4"/>
    <x v="14"/>
    <x v="16"/>
    <x v="11"/>
    <x v="1"/>
    <n v="2"/>
  </r>
  <r>
    <x v="0"/>
    <x v="3"/>
    <x v="4"/>
    <x v="14"/>
    <x v="16"/>
    <x v="11"/>
    <x v="2"/>
    <n v="1"/>
  </r>
  <r>
    <x v="0"/>
    <x v="3"/>
    <x v="4"/>
    <x v="14"/>
    <x v="16"/>
    <x v="6"/>
    <x v="10"/>
    <n v="4"/>
  </r>
  <r>
    <x v="0"/>
    <x v="3"/>
    <x v="4"/>
    <x v="14"/>
    <x v="16"/>
    <x v="6"/>
    <x v="4"/>
    <n v="1"/>
  </r>
  <r>
    <x v="0"/>
    <x v="3"/>
    <x v="4"/>
    <x v="14"/>
    <x v="16"/>
    <x v="9"/>
    <x v="10"/>
    <n v="1"/>
  </r>
  <r>
    <x v="0"/>
    <x v="3"/>
    <x v="4"/>
    <x v="14"/>
    <x v="16"/>
    <x v="9"/>
    <x v="3"/>
    <n v="1"/>
  </r>
  <r>
    <x v="0"/>
    <x v="3"/>
    <x v="4"/>
    <x v="14"/>
    <x v="16"/>
    <x v="12"/>
    <x v="6"/>
    <n v="2"/>
  </r>
  <r>
    <x v="0"/>
    <x v="3"/>
    <x v="4"/>
    <x v="14"/>
    <x v="16"/>
    <x v="12"/>
    <x v="4"/>
    <n v="1"/>
  </r>
  <r>
    <x v="0"/>
    <x v="3"/>
    <x v="4"/>
    <x v="14"/>
    <x v="16"/>
    <x v="7"/>
    <x v="8"/>
    <n v="8"/>
  </r>
  <r>
    <x v="0"/>
    <x v="3"/>
    <x v="4"/>
    <x v="14"/>
    <x v="16"/>
    <x v="0"/>
    <x v="12"/>
    <n v="1"/>
  </r>
  <r>
    <x v="0"/>
    <x v="3"/>
    <x v="4"/>
    <x v="14"/>
    <x v="16"/>
    <x v="0"/>
    <x v="9"/>
    <n v="1"/>
  </r>
  <r>
    <x v="0"/>
    <x v="3"/>
    <x v="4"/>
    <x v="13"/>
    <x v="6"/>
    <x v="0"/>
    <x v="19"/>
    <n v="1"/>
  </r>
  <r>
    <x v="0"/>
    <x v="3"/>
    <x v="4"/>
    <x v="13"/>
    <x v="17"/>
    <x v="9"/>
    <x v="14"/>
    <n v="1"/>
  </r>
  <r>
    <x v="0"/>
    <x v="3"/>
    <x v="4"/>
    <x v="13"/>
    <x v="17"/>
    <x v="12"/>
    <x v="17"/>
    <n v="1"/>
  </r>
  <r>
    <x v="0"/>
    <x v="3"/>
    <x v="4"/>
    <x v="13"/>
    <x v="17"/>
    <x v="8"/>
    <x v="18"/>
    <n v="1"/>
  </r>
  <r>
    <x v="0"/>
    <x v="3"/>
    <x v="4"/>
    <x v="14"/>
    <x v="16"/>
    <x v="10"/>
    <x v="6"/>
    <n v="1"/>
  </r>
  <r>
    <x v="0"/>
    <x v="3"/>
    <x v="4"/>
    <x v="14"/>
    <x v="16"/>
    <x v="3"/>
    <x v="6"/>
    <n v="1"/>
  </r>
  <r>
    <x v="0"/>
    <x v="3"/>
    <x v="4"/>
    <x v="14"/>
    <x v="16"/>
    <x v="5"/>
    <x v="8"/>
    <n v="2"/>
  </r>
  <r>
    <x v="0"/>
    <x v="3"/>
    <x v="4"/>
    <x v="14"/>
    <x v="16"/>
    <x v="5"/>
    <x v="7"/>
    <n v="3"/>
  </r>
  <r>
    <x v="0"/>
    <x v="3"/>
    <x v="4"/>
    <x v="14"/>
    <x v="16"/>
    <x v="11"/>
    <x v="8"/>
    <n v="4"/>
  </r>
  <r>
    <x v="0"/>
    <x v="3"/>
    <x v="4"/>
    <x v="14"/>
    <x v="16"/>
    <x v="6"/>
    <x v="8"/>
    <n v="3"/>
  </r>
  <r>
    <x v="0"/>
    <x v="3"/>
    <x v="4"/>
    <x v="14"/>
    <x v="16"/>
    <x v="9"/>
    <x v="8"/>
    <n v="7"/>
  </r>
  <r>
    <x v="0"/>
    <x v="3"/>
    <x v="4"/>
    <x v="14"/>
    <x v="16"/>
    <x v="12"/>
    <x v="8"/>
    <n v="11"/>
  </r>
  <r>
    <x v="0"/>
    <x v="3"/>
    <x v="4"/>
    <x v="14"/>
    <x v="16"/>
    <x v="7"/>
    <x v="6"/>
    <n v="1"/>
  </r>
  <r>
    <x v="0"/>
    <x v="3"/>
    <x v="4"/>
    <x v="14"/>
    <x v="16"/>
    <x v="8"/>
    <x v="7"/>
    <n v="1"/>
  </r>
  <r>
    <x v="0"/>
    <x v="3"/>
    <x v="4"/>
    <x v="14"/>
    <x v="16"/>
    <x v="8"/>
    <x v="6"/>
    <n v="1"/>
  </r>
  <r>
    <x v="0"/>
    <x v="3"/>
    <x v="4"/>
    <x v="14"/>
    <x v="16"/>
    <x v="8"/>
    <x v="9"/>
    <n v="1"/>
  </r>
  <r>
    <x v="0"/>
    <x v="3"/>
    <x v="4"/>
    <x v="14"/>
    <x v="16"/>
    <x v="8"/>
    <x v="3"/>
    <n v="2"/>
  </r>
  <r>
    <x v="0"/>
    <x v="3"/>
    <x v="4"/>
    <x v="14"/>
    <x v="5"/>
    <x v="9"/>
    <x v="11"/>
    <n v="1"/>
  </r>
  <r>
    <x v="0"/>
    <x v="3"/>
    <x v="4"/>
    <x v="14"/>
    <x v="5"/>
    <x v="0"/>
    <x v="5"/>
    <n v="1"/>
  </r>
  <r>
    <x v="0"/>
    <x v="3"/>
    <x v="4"/>
    <x v="14"/>
    <x v="5"/>
    <x v="0"/>
    <x v="2"/>
    <n v="1"/>
  </r>
  <r>
    <x v="0"/>
    <x v="3"/>
    <x v="4"/>
    <x v="14"/>
    <x v="5"/>
    <x v="0"/>
    <x v="13"/>
    <n v="4"/>
  </r>
  <r>
    <x v="0"/>
    <x v="3"/>
    <x v="4"/>
    <x v="18"/>
    <x v="0"/>
    <x v="0"/>
    <x v="0"/>
    <n v="1"/>
  </r>
  <r>
    <x v="0"/>
    <x v="3"/>
    <x v="4"/>
    <x v="18"/>
    <x v="14"/>
    <x v="0"/>
    <x v="19"/>
    <n v="2"/>
  </r>
  <r>
    <x v="0"/>
    <x v="3"/>
    <x v="4"/>
    <x v="15"/>
    <x v="2"/>
    <x v="0"/>
    <x v="5"/>
    <n v="1"/>
  </r>
  <r>
    <x v="0"/>
    <x v="3"/>
    <x v="4"/>
    <x v="15"/>
    <x v="2"/>
    <x v="0"/>
    <x v="2"/>
    <n v="1"/>
  </r>
  <r>
    <x v="0"/>
    <x v="3"/>
    <x v="4"/>
    <x v="15"/>
    <x v="16"/>
    <x v="0"/>
    <x v="0"/>
    <n v="3"/>
  </r>
  <r>
    <x v="0"/>
    <x v="3"/>
    <x v="4"/>
    <x v="15"/>
    <x v="16"/>
    <x v="0"/>
    <x v="18"/>
    <n v="1"/>
  </r>
  <r>
    <x v="0"/>
    <x v="3"/>
    <x v="4"/>
    <x v="17"/>
    <x v="12"/>
    <x v="12"/>
    <x v="19"/>
    <n v="1"/>
  </r>
  <r>
    <x v="0"/>
    <x v="3"/>
    <x v="4"/>
    <x v="17"/>
    <x v="12"/>
    <x v="7"/>
    <x v="0"/>
    <n v="1"/>
  </r>
  <r>
    <x v="0"/>
    <x v="3"/>
    <x v="4"/>
    <x v="17"/>
    <x v="2"/>
    <x v="12"/>
    <x v="19"/>
    <n v="1"/>
  </r>
  <r>
    <x v="0"/>
    <x v="3"/>
    <x v="4"/>
    <x v="17"/>
    <x v="4"/>
    <x v="0"/>
    <x v="5"/>
    <n v="1"/>
  </r>
  <r>
    <x v="0"/>
    <x v="3"/>
    <x v="4"/>
    <x v="17"/>
    <x v="16"/>
    <x v="0"/>
    <x v="3"/>
    <n v="1"/>
  </r>
  <r>
    <x v="0"/>
    <x v="3"/>
    <x v="4"/>
    <x v="17"/>
    <x v="11"/>
    <x v="0"/>
    <x v="13"/>
    <n v="1"/>
  </r>
  <r>
    <x v="0"/>
    <x v="3"/>
    <x v="5"/>
    <x v="2"/>
    <x v="10"/>
    <x v="7"/>
    <x v="19"/>
    <n v="3"/>
  </r>
  <r>
    <x v="0"/>
    <x v="3"/>
    <x v="5"/>
    <x v="5"/>
    <x v="8"/>
    <x v="12"/>
    <x v="19"/>
    <n v="5"/>
  </r>
  <r>
    <x v="0"/>
    <x v="3"/>
    <x v="5"/>
    <x v="5"/>
    <x v="8"/>
    <x v="1"/>
    <x v="19"/>
    <n v="5"/>
  </r>
  <r>
    <x v="0"/>
    <x v="3"/>
    <x v="5"/>
    <x v="5"/>
    <x v="8"/>
    <x v="0"/>
    <x v="19"/>
    <n v="3"/>
  </r>
  <r>
    <x v="0"/>
    <x v="3"/>
    <x v="5"/>
    <x v="5"/>
    <x v="6"/>
    <x v="13"/>
    <x v="19"/>
    <n v="7"/>
  </r>
  <r>
    <x v="0"/>
    <x v="3"/>
    <x v="5"/>
    <x v="6"/>
    <x v="15"/>
    <x v="12"/>
    <x v="19"/>
    <n v="1"/>
  </r>
  <r>
    <x v="0"/>
    <x v="3"/>
    <x v="5"/>
    <x v="6"/>
    <x v="15"/>
    <x v="0"/>
    <x v="19"/>
    <n v="8"/>
  </r>
  <r>
    <x v="0"/>
    <x v="3"/>
    <x v="5"/>
    <x v="8"/>
    <x v="13"/>
    <x v="10"/>
    <x v="19"/>
    <n v="1"/>
  </r>
  <r>
    <x v="0"/>
    <x v="3"/>
    <x v="5"/>
    <x v="8"/>
    <x v="7"/>
    <x v="17"/>
    <x v="19"/>
    <n v="10"/>
  </r>
  <r>
    <x v="0"/>
    <x v="3"/>
    <x v="5"/>
    <x v="8"/>
    <x v="7"/>
    <x v="18"/>
    <x v="19"/>
    <n v="43"/>
  </r>
  <r>
    <x v="0"/>
    <x v="3"/>
    <x v="5"/>
    <x v="8"/>
    <x v="18"/>
    <x v="16"/>
    <x v="19"/>
    <n v="14"/>
  </r>
  <r>
    <x v="0"/>
    <x v="3"/>
    <x v="5"/>
    <x v="8"/>
    <x v="18"/>
    <x v="7"/>
    <x v="19"/>
    <n v="56"/>
  </r>
  <r>
    <x v="0"/>
    <x v="3"/>
    <x v="5"/>
    <x v="8"/>
    <x v="18"/>
    <x v="8"/>
    <x v="19"/>
    <n v="29"/>
  </r>
  <r>
    <x v="0"/>
    <x v="3"/>
    <x v="5"/>
    <x v="11"/>
    <x v="7"/>
    <x v="12"/>
    <x v="19"/>
    <n v="1"/>
  </r>
  <r>
    <x v="0"/>
    <x v="3"/>
    <x v="5"/>
    <x v="11"/>
    <x v="7"/>
    <x v="1"/>
    <x v="19"/>
    <n v="1"/>
  </r>
  <r>
    <x v="0"/>
    <x v="3"/>
    <x v="5"/>
    <x v="11"/>
    <x v="9"/>
    <x v="1"/>
    <x v="19"/>
    <n v="1"/>
  </r>
  <r>
    <x v="0"/>
    <x v="3"/>
    <x v="5"/>
    <x v="11"/>
    <x v="9"/>
    <x v="8"/>
    <x v="18"/>
    <n v="1"/>
  </r>
  <r>
    <x v="0"/>
    <x v="3"/>
    <x v="5"/>
    <x v="11"/>
    <x v="9"/>
    <x v="0"/>
    <x v="19"/>
    <n v="12"/>
  </r>
  <r>
    <x v="0"/>
    <x v="3"/>
    <x v="5"/>
    <x v="12"/>
    <x v="19"/>
    <x v="6"/>
    <x v="19"/>
    <n v="1"/>
  </r>
  <r>
    <x v="0"/>
    <x v="3"/>
    <x v="5"/>
    <x v="12"/>
    <x v="19"/>
    <x v="9"/>
    <x v="19"/>
    <n v="1"/>
  </r>
  <r>
    <x v="0"/>
    <x v="3"/>
    <x v="5"/>
    <x v="12"/>
    <x v="19"/>
    <x v="8"/>
    <x v="19"/>
    <n v="1"/>
  </r>
  <r>
    <x v="0"/>
    <x v="3"/>
    <x v="5"/>
    <x v="13"/>
    <x v="17"/>
    <x v="19"/>
    <x v="18"/>
    <n v="1"/>
  </r>
  <r>
    <x v="0"/>
    <x v="3"/>
    <x v="5"/>
    <x v="13"/>
    <x v="17"/>
    <x v="16"/>
    <x v="19"/>
    <n v="203"/>
  </r>
  <r>
    <x v="0"/>
    <x v="3"/>
    <x v="5"/>
    <x v="13"/>
    <x v="17"/>
    <x v="15"/>
    <x v="14"/>
    <n v="1"/>
  </r>
  <r>
    <x v="0"/>
    <x v="3"/>
    <x v="5"/>
    <x v="13"/>
    <x v="17"/>
    <x v="15"/>
    <x v="17"/>
    <n v="3"/>
  </r>
  <r>
    <x v="0"/>
    <x v="3"/>
    <x v="5"/>
    <x v="13"/>
    <x v="17"/>
    <x v="15"/>
    <x v="19"/>
    <n v="254"/>
  </r>
  <r>
    <x v="0"/>
    <x v="3"/>
    <x v="5"/>
    <x v="13"/>
    <x v="17"/>
    <x v="14"/>
    <x v="13"/>
    <n v="4"/>
  </r>
  <r>
    <x v="0"/>
    <x v="3"/>
    <x v="5"/>
    <x v="13"/>
    <x v="17"/>
    <x v="14"/>
    <x v="11"/>
    <n v="3"/>
  </r>
  <r>
    <x v="0"/>
    <x v="3"/>
    <x v="5"/>
    <x v="13"/>
    <x v="17"/>
    <x v="14"/>
    <x v="14"/>
    <n v="4"/>
  </r>
  <r>
    <x v="0"/>
    <x v="3"/>
    <x v="5"/>
    <x v="13"/>
    <x v="17"/>
    <x v="14"/>
    <x v="17"/>
    <n v="10"/>
  </r>
  <r>
    <x v="0"/>
    <x v="3"/>
    <x v="5"/>
    <x v="13"/>
    <x v="17"/>
    <x v="14"/>
    <x v="19"/>
    <n v="200"/>
  </r>
  <r>
    <x v="0"/>
    <x v="3"/>
    <x v="5"/>
    <x v="13"/>
    <x v="17"/>
    <x v="13"/>
    <x v="5"/>
    <n v="1"/>
  </r>
  <r>
    <x v="0"/>
    <x v="3"/>
    <x v="5"/>
    <x v="13"/>
    <x v="17"/>
    <x v="13"/>
    <x v="13"/>
    <n v="2"/>
  </r>
  <r>
    <x v="0"/>
    <x v="3"/>
    <x v="5"/>
    <x v="13"/>
    <x v="17"/>
    <x v="13"/>
    <x v="11"/>
    <n v="3"/>
  </r>
  <r>
    <x v="0"/>
    <x v="3"/>
    <x v="5"/>
    <x v="13"/>
    <x v="17"/>
    <x v="13"/>
    <x v="14"/>
    <n v="3"/>
  </r>
  <r>
    <x v="0"/>
    <x v="3"/>
    <x v="5"/>
    <x v="13"/>
    <x v="17"/>
    <x v="3"/>
    <x v="19"/>
    <n v="27"/>
  </r>
  <r>
    <x v="0"/>
    <x v="3"/>
    <x v="5"/>
    <x v="13"/>
    <x v="17"/>
    <x v="4"/>
    <x v="17"/>
    <n v="1"/>
  </r>
  <r>
    <x v="0"/>
    <x v="3"/>
    <x v="5"/>
    <x v="13"/>
    <x v="17"/>
    <x v="4"/>
    <x v="19"/>
    <n v="21"/>
  </r>
  <r>
    <x v="0"/>
    <x v="3"/>
    <x v="5"/>
    <x v="13"/>
    <x v="17"/>
    <x v="5"/>
    <x v="19"/>
    <n v="10"/>
  </r>
  <r>
    <x v="0"/>
    <x v="3"/>
    <x v="5"/>
    <x v="13"/>
    <x v="17"/>
    <x v="11"/>
    <x v="14"/>
    <n v="2"/>
  </r>
  <r>
    <x v="0"/>
    <x v="3"/>
    <x v="5"/>
    <x v="13"/>
    <x v="17"/>
    <x v="11"/>
    <x v="17"/>
    <n v="1"/>
  </r>
  <r>
    <x v="0"/>
    <x v="3"/>
    <x v="5"/>
    <x v="13"/>
    <x v="17"/>
    <x v="11"/>
    <x v="19"/>
    <n v="17"/>
  </r>
  <r>
    <x v="0"/>
    <x v="3"/>
    <x v="5"/>
    <x v="13"/>
    <x v="17"/>
    <x v="6"/>
    <x v="19"/>
    <n v="9"/>
  </r>
  <r>
    <x v="0"/>
    <x v="3"/>
    <x v="5"/>
    <x v="13"/>
    <x v="17"/>
    <x v="9"/>
    <x v="13"/>
    <n v="1"/>
  </r>
  <r>
    <x v="0"/>
    <x v="3"/>
    <x v="5"/>
    <x v="13"/>
    <x v="17"/>
    <x v="9"/>
    <x v="11"/>
    <n v="1"/>
  </r>
  <r>
    <x v="0"/>
    <x v="3"/>
    <x v="5"/>
    <x v="13"/>
    <x v="17"/>
    <x v="9"/>
    <x v="17"/>
    <n v="1"/>
  </r>
  <r>
    <x v="0"/>
    <x v="3"/>
    <x v="5"/>
    <x v="13"/>
    <x v="17"/>
    <x v="9"/>
    <x v="19"/>
    <n v="6"/>
  </r>
  <r>
    <x v="0"/>
    <x v="3"/>
    <x v="5"/>
    <x v="16"/>
    <x v="19"/>
    <x v="8"/>
    <x v="11"/>
    <n v="1"/>
  </r>
  <r>
    <x v="0"/>
    <x v="3"/>
    <x v="5"/>
    <x v="17"/>
    <x v="2"/>
    <x v="10"/>
    <x v="19"/>
    <n v="11"/>
  </r>
  <r>
    <x v="0"/>
    <x v="3"/>
    <x v="5"/>
    <x v="17"/>
    <x v="2"/>
    <x v="3"/>
    <x v="19"/>
    <n v="5"/>
  </r>
  <r>
    <x v="0"/>
    <x v="3"/>
    <x v="5"/>
    <x v="17"/>
    <x v="2"/>
    <x v="4"/>
    <x v="19"/>
    <n v="18"/>
  </r>
  <r>
    <x v="0"/>
    <x v="3"/>
    <x v="4"/>
    <x v="14"/>
    <x v="16"/>
    <x v="0"/>
    <x v="3"/>
    <n v="1"/>
  </r>
  <r>
    <x v="0"/>
    <x v="3"/>
    <x v="4"/>
    <x v="14"/>
    <x v="16"/>
    <x v="0"/>
    <x v="4"/>
    <n v="1"/>
  </r>
  <r>
    <x v="0"/>
    <x v="3"/>
    <x v="4"/>
    <x v="14"/>
    <x v="5"/>
    <x v="9"/>
    <x v="5"/>
    <n v="1"/>
  </r>
  <r>
    <x v="0"/>
    <x v="3"/>
    <x v="4"/>
    <x v="14"/>
    <x v="5"/>
    <x v="7"/>
    <x v="2"/>
    <n v="1"/>
  </r>
  <r>
    <x v="0"/>
    <x v="3"/>
    <x v="4"/>
    <x v="14"/>
    <x v="18"/>
    <x v="0"/>
    <x v="5"/>
    <n v="1"/>
  </r>
  <r>
    <x v="0"/>
    <x v="3"/>
    <x v="4"/>
    <x v="18"/>
    <x v="0"/>
    <x v="0"/>
    <x v="19"/>
    <n v="1"/>
  </r>
  <r>
    <x v="0"/>
    <x v="3"/>
    <x v="4"/>
    <x v="18"/>
    <x v="12"/>
    <x v="0"/>
    <x v="14"/>
    <n v="3"/>
  </r>
  <r>
    <x v="0"/>
    <x v="3"/>
    <x v="4"/>
    <x v="18"/>
    <x v="14"/>
    <x v="0"/>
    <x v="12"/>
    <n v="19"/>
  </r>
  <r>
    <x v="0"/>
    <x v="3"/>
    <x v="4"/>
    <x v="18"/>
    <x v="14"/>
    <x v="0"/>
    <x v="9"/>
    <n v="20"/>
  </r>
  <r>
    <x v="0"/>
    <x v="3"/>
    <x v="4"/>
    <x v="18"/>
    <x v="14"/>
    <x v="0"/>
    <x v="3"/>
    <n v="8"/>
  </r>
  <r>
    <x v="0"/>
    <x v="3"/>
    <x v="4"/>
    <x v="18"/>
    <x v="14"/>
    <x v="0"/>
    <x v="4"/>
    <n v="2"/>
  </r>
  <r>
    <x v="0"/>
    <x v="3"/>
    <x v="4"/>
    <x v="15"/>
    <x v="16"/>
    <x v="0"/>
    <x v="11"/>
    <n v="2"/>
  </r>
  <r>
    <x v="0"/>
    <x v="3"/>
    <x v="4"/>
    <x v="15"/>
    <x v="16"/>
    <x v="0"/>
    <x v="14"/>
    <n v="1"/>
  </r>
  <r>
    <x v="0"/>
    <x v="3"/>
    <x v="4"/>
    <x v="15"/>
    <x v="16"/>
    <x v="0"/>
    <x v="17"/>
    <n v="1"/>
  </r>
  <r>
    <x v="0"/>
    <x v="3"/>
    <x v="4"/>
    <x v="15"/>
    <x v="6"/>
    <x v="0"/>
    <x v="10"/>
    <n v="1"/>
  </r>
  <r>
    <x v="0"/>
    <x v="3"/>
    <x v="4"/>
    <x v="17"/>
    <x v="12"/>
    <x v="7"/>
    <x v="19"/>
    <n v="1"/>
  </r>
  <r>
    <x v="0"/>
    <x v="3"/>
    <x v="4"/>
    <x v="17"/>
    <x v="12"/>
    <x v="8"/>
    <x v="14"/>
    <n v="1"/>
  </r>
  <r>
    <x v="0"/>
    <x v="3"/>
    <x v="4"/>
    <x v="17"/>
    <x v="12"/>
    <x v="0"/>
    <x v="0"/>
    <n v="1"/>
  </r>
  <r>
    <x v="0"/>
    <x v="3"/>
    <x v="4"/>
    <x v="17"/>
    <x v="2"/>
    <x v="7"/>
    <x v="11"/>
    <n v="1"/>
  </r>
  <r>
    <x v="0"/>
    <x v="3"/>
    <x v="4"/>
    <x v="17"/>
    <x v="2"/>
    <x v="7"/>
    <x v="19"/>
    <n v="2"/>
  </r>
  <r>
    <x v="0"/>
    <x v="3"/>
    <x v="4"/>
    <x v="17"/>
    <x v="2"/>
    <x v="1"/>
    <x v="18"/>
    <n v="1"/>
  </r>
  <r>
    <x v="0"/>
    <x v="3"/>
    <x v="4"/>
    <x v="17"/>
    <x v="3"/>
    <x v="0"/>
    <x v="13"/>
    <n v="1"/>
  </r>
  <r>
    <x v="0"/>
    <x v="3"/>
    <x v="4"/>
    <x v="17"/>
    <x v="3"/>
    <x v="0"/>
    <x v="11"/>
    <n v="1"/>
  </r>
  <r>
    <x v="0"/>
    <x v="3"/>
    <x v="4"/>
    <x v="17"/>
    <x v="7"/>
    <x v="0"/>
    <x v="2"/>
    <n v="1"/>
  </r>
  <r>
    <x v="0"/>
    <x v="3"/>
    <x v="4"/>
    <x v="17"/>
    <x v="6"/>
    <x v="0"/>
    <x v="1"/>
    <n v="6"/>
  </r>
  <r>
    <x v="0"/>
    <x v="3"/>
    <x v="5"/>
    <x v="0"/>
    <x v="1"/>
    <x v="0"/>
    <x v="19"/>
    <n v="1"/>
  </r>
  <r>
    <x v="0"/>
    <x v="3"/>
    <x v="5"/>
    <x v="2"/>
    <x v="10"/>
    <x v="12"/>
    <x v="19"/>
    <n v="1"/>
  </r>
  <r>
    <x v="0"/>
    <x v="3"/>
    <x v="5"/>
    <x v="4"/>
    <x v="18"/>
    <x v="11"/>
    <x v="19"/>
    <n v="1"/>
  </r>
  <r>
    <x v="0"/>
    <x v="3"/>
    <x v="5"/>
    <x v="5"/>
    <x v="8"/>
    <x v="2"/>
    <x v="19"/>
    <n v="7"/>
  </r>
  <r>
    <x v="0"/>
    <x v="3"/>
    <x v="5"/>
    <x v="5"/>
    <x v="8"/>
    <x v="3"/>
    <x v="19"/>
    <n v="5"/>
  </r>
  <r>
    <x v="0"/>
    <x v="3"/>
    <x v="5"/>
    <x v="5"/>
    <x v="8"/>
    <x v="4"/>
    <x v="19"/>
    <n v="3"/>
  </r>
  <r>
    <x v="0"/>
    <x v="3"/>
    <x v="5"/>
    <x v="5"/>
    <x v="8"/>
    <x v="5"/>
    <x v="19"/>
    <n v="1"/>
  </r>
  <r>
    <x v="0"/>
    <x v="3"/>
    <x v="5"/>
    <x v="5"/>
    <x v="8"/>
    <x v="11"/>
    <x v="19"/>
    <n v="2"/>
  </r>
  <r>
    <x v="0"/>
    <x v="3"/>
    <x v="5"/>
    <x v="5"/>
    <x v="8"/>
    <x v="12"/>
    <x v="18"/>
    <n v="2"/>
  </r>
  <r>
    <x v="0"/>
    <x v="3"/>
    <x v="5"/>
    <x v="5"/>
    <x v="8"/>
    <x v="7"/>
    <x v="19"/>
    <n v="2"/>
  </r>
  <r>
    <x v="0"/>
    <x v="3"/>
    <x v="5"/>
    <x v="5"/>
    <x v="8"/>
    <x v="8"/>
    <x v="19"/>
    <n v="2"/>
  </r>
  <r>
    <x v="0"/>
    <x v="3"/>
    <x v="5"/>
    <x v="5"/>
    <x v="6"/>
    <x v="2"/>
    <x v="19"/>
    <n v="1"/>
  </r>
  <r>
    <x v="0"/>
    <x v="3"/>
    <x v="5"/>
    <x v="5"/>
    <x v="6"/>
    <x v="10"/>
    <x v="19"/>
    <n v="4"/>
  </r>
  <r>
    <x v="0"/>
    <x v="3"/>
    <x v="5"/>
    <x v="5"/>
    <x v="6"/>
    <x v="3"/>
    <x v="19"/>
    <n v="1"/>
  </r>
  <r>
    <x v="0"/>
    <x v="3"/>
    <x v="5"/>
    <x v="6"/>
    <x v="15"/>
    <x v="7"/>
    <x v="19"/>
    <n v="1"/>
  </r>
  <r>
    <x v="0"/>
    <x v="3"/>
    <x v="5"/>
    <x v="6"/>
    <x v="15"/>
    <x v="0"/>
    <x v="18"/>
    <n v="1"/>
  </r>
  <r>
    <x v="0"/>
    <x v="3"/>
    <x v="5"/>
    <x v="8"/>
    <x v="13"/>
    <x v="13"/>
    <x v="19"/>
    <n v="2"/>
  </r>
  <r>
    <x v="0"/>
    <x v="3"/>
    <x v="5"/>
    <x v="8"/>
    <x v="13"/>
    <x v="6"/>
    <x v="19"/>
    <n v="1"/>
  </r>
  <r>
    <x v="0"/>
    <x v="3"/>
    <x v="5"/>
    <x v="8"/>
    <x v="13"/>
    <x v="9"/>
    <x v="19"/>
    <n v="1"/>
  </r>
  <r>
    <x v="0"/>
    <x v="3"/>
    <x v="5"/>
    <x v="8"/>
    <x v="7"/>
    <x v="16"/>
    <x v="19"/>
    <n v="17"/>
  </r>
  <r>
    <x v="0"/>
    <x v="3"/>
    <x v="5"/>
    <x v="8"/>
    <x v="7"/>
    <x v="15"/>
    <x v="19"/>
    <n v="15"/>
  </r>
  <r>
    <x v="0"/>
    <x v="3"/>
    <x v="5"/>
    <x v="8"/>
    <x v="7"/>
    <x v="14"/>
    <x v="19"/>
    <n v="5"/>
  </r>
  <r>
    <x v="0"/>
    <x v="3"/>
    <x v="5"/>
    <x v="8"/>
    <x v="7"/>
    <x v="2"/>
    <x v="19"/>
    <n v="1"/>
  </r>
  <r>
    <x v="0"/>
    <x v="3"/>
    <x v="5"/>
    <x v="8"/>
    <x v="7"/>
    <x v="10"/>
    <x v="19"/>
    <n v="1"/>
  </r>
  <r>
    <x v="0"/>
    <x v="3"/>
    <x v="5"/>
    <x v="8"/>
    <x v="18"/>
    <x v="14"/>
    <x v="19"/>
    <n v="99"/>
  </r>
  <r>
    <x v="0"/>
    <x v="3"/>
    <x v="5"/>
    <x v="8"/>
    <x v="18"/>
    <x v="13"/>
    <x v="19"/>
    <n v="123"/>
  </r>
  <r>
    <x v="0"/>
    <x v="3"/>
    <x v="5"/>
    <x v="8"/>
    <x v="18"/>
    <x v="6"/>
    <x v="19"/>
    <n v="60"/>
  </r>
  <r>
    <x v="0"/>
    <x v="3"/>
    <x v="5"/>
    <x v="8"/>
    <x v="18"/>
    <x v="9"/>
    <x v="19"/>
    <n v="56"/>
  </r>
  <r>
    <x v="0"/>
    <x v="3"/>
    <x v="5"/>
    <x v="8"/>
    <x v="18"/>
    <x v="12"/>
    <x v="19"/>
    <n v="63"/>
  </r>
  <r>
    <x v="0"/>
    <x v="3"/>
    <x v="5"/>
    <x v="8"/>
    <x v="18"/>
    <x v="1"/>
    <x v="19"/>
    <n v="28"/>
  </r>
  <r>
    <x v="0"/>
    <x v="3"/>
    <x v="5"/>
    <x v="8"/>
    <x v="18"/>
    <x v="0"/>
    <x v="19"/>
    <n v="58"/>
  </r>
  <r>
    <x v="0"/>
    <x v="3"/>
    <x v="5"/>
    <x v="11"/>
    <x v="7"/>
    <x v="8"/>
    <x v="19"/>
    <n v="1"/>
  </r>
  <r>
    <x v="0"/>
    <x v="3"/>
    <x v="5"/>
    <x v="12"/>
    <x v="19"/>
    <x v="0"/>
    <x v="19"/>
    <n v="1"/>
  </r>
  <r>
    <x v="0"/>
    <x v="3"/>
    <x v="5"/>
    <x v="13"/>
    <x v="17"/>
    <x v="18"/>
    <x v="19"/>
    <n v="7"/>
  </r>
  <r>
    <x v="0"/>
    <x v="3"/>
    <x v="5"/>
    <x v="13"/>
    <x v="17"/>
    <x v="19"/>
    <x v="17"/>
    <n v="1"/>
  </r>
  <r>
    <x v="0"/>
    <x v="3"/>
    <x v="5"/>
    <x v="13"/>
    <x v="17"/>
    <x v="19"/>
    <x v="19"/>
    <n v="89"/>
  </r>
  <r>
    <x v="0"/>
    <x v="3"/>
    <x v="5"/>
    <x v="13"/>
    <x v="17"/>
    <x v="16"/>
    <x v="11"/>
    <n v="1"/>
  </r>
  <r>
    <x v="0"/>
    <x v="3"/>
    <x v="5"/>
    <x v="13"/>
    <x v="17"/>
    <x v="16"/>
    <x v="18"/>
    <n v="4"/>
  </r>
  <r>
    <x v="0"/>
    <x v="3"/>
    <x v="5"/>
    <x v="13"/>
    <x v="17"/>
    <x v="15"/>
    <x v="2"/>
    <n v="1"/>
  </r>
  <r>
    <x v="0"/>
    <x v="3"/>
    <x v="5"/>
    <x v="13"/>
    <x v="17"/>
    <x v="15"/>
    <x v="0"/>
    <n v="6"/>
  </r>
  <r>
    <x v="0"/>
    <x v="3"/>
    <x v="5"/>
    <x v="13"/>
    <x v="17"/>
    <x v="15"/>
    <x v="18"/>
    <n v="8"/>
  </r>
  <r>
    <x v="0"/>
    <x v="3"/>
    <x v="5"/>
    <x v="13"/>
    <x v="17"/>
    <x v="14"/>
    <x v="0"/>
    <n v="10"/>
  </r>
  <r>
    <x v="0"/>
    <x v="3"/>
    <x v="5"/>
    <x v="13"/>
    <x v="17"/>
    <x v="14"/>
    <x v="18"/>
    <n v="10"/>
  </r>
  <r>
    <x v="0"/>
    <x v="3"/>
    <x v="5"/>
    <x v="13"/>
    <x v="17"/>
    <x v="13"/>
    <x v="0"/>
    <n v="2"/>
  </r>
  <r>
    <x v="0"/>
    <x v="3"/>
    <x v="5"/>
    <x v="13"/>
    <x v="17"/>
    <x v="2"/>
    <x v="2"/>
    <n v="1"/>
  </r>
  <r>
    <x v="0"/>
    <x v="3"/>
    <x v="5"/>
    <x v="13"/>
    <x v="17"/>
    <x v="5"/>
    <x v="0"/>
    <n v="1"/>
  </r>
  <r>
    <x v="0"/>
    <x v="3"/>
    <x v="5"/>
    <x v="13"/>
    <x v="17"/>
    <x v="11"/>
    <x v="18"/>
    <n v="2"/>
  </r>
  <r>
    <x v="0"/>
    <x v="3"/>
    <x v="5"/>
    <x v="13"/>
    <x v="17"/>
    <x v="6"/>
    <x v="18"/>
    <n v="2"/>
  </r>
  <r>
    <x v="0"/>
    <x v="3"/>
    <x v="5"/>
    <x v="13"/>
    <x v="17"/>
    <x v="9"/>
    <x v="0"/>
    <n v="1"/>
  </r>
  <r>
    <x v="0"/>
    <x v="3"/>
    <x v="5"/>
    <x v="13"/>
    <x v="17"/>
    <x v="9"/>
    <x v="18"/>
    <n v="1"/>
  </r>
  <r>
    <x v="0"/>
    <x v="3"/>
    <x v="5"/>
    <x v="13"/>
    <x v="17"/>
    <x v="7"/>
    <x v="11"/>
    <n v="1"/>
  </r>
  <r>
    <x v="0"/>
    <x v="3"/>
    <x v="5"/>
    <x v="13"/>
    <x v="17"/>
    <x v="1"/>
    <x v="19"/>
    <n v="1"/>
  </r>
  <r>
    <x v="0"/>
    <x v="3"/>
    <x v="5"/>
    <x v="13"/>
    <x v="17"/>
    <x v="0"/>
    <x v="19"/>
    <n v="2"/>
  </r>
  <r>
    <x v="0"/>
    <x v="3"/>
    <x v="5"/>
    <x v="16"/>
    <x v="19"/>
    <x v="0"/>
    <x v="19"/>
    <n v="2"/>
  </r>
  <r>
    <x v="0"/>
    <x v="3"/>
    <x v="5"/>
    <x v="17"/>
    <x v="2"/>
    <x v="6"/>
    <x v="0"/>
    <n v="1"/>
  </r>
  <r>
    <x v="0"/>
    <x v="3"/>
    <x v="5"/>
    <x v="17"/>
    <x v="2"/>
    <x v="7"/>
    <x v="11"/>
    <n v="1"/>
  </r>
  <r>
    <x v="0"/>
    <x v="3"/>
    <x v="5"/>
    <x v="17"/>
    <x v="2"/>
    <x v="1"/>
    <x v="19"/>
    <n v="1"/>
  </r>
  <r>
    <x v="0"/>
    <x v="3"/>
    <x v="5"/>
    <x v="17"/>
    <x v="2"/>
    <x v="0"/>
    <x v="19"/>
    <n v="3"/>
  </r>
  <r>
    <x v="0"/>
    <x v="3"/>
    <x v="5"/>
    <x v="17"/>
    <x v="9"/>
    <x v="10"/>
    <x v="19"/>
    <n v="2"/>
  </r>
  <r>
    <x v="0"/>
    <x v="1"/>
    <x v="6"/>
    <x v="17"/>
    <x v="9"/>
    <x v="10"/>
    <x v="19"/>
    <n v="1"/>
  </r>
  <r>
    <x v="0"/>
    <x v="1"/>
    <x v="7"/>
    <x v="0"/>
    <x v="12"/>
    <x v="19"/>
    <x v="14"/>
    <n v="1"/>
  </r>
  <r>
    <x v="0"/>
    <x v="1"/>
    <x v="7"/>
    <x v="0"/>
    <x v="12"/>
    <x v="19"/>
    <x v="17"/>
    <n v="14"/>
  </r>
  <r>
    <x v="0"/>
    <x v="1"/>
    <x v="7"/>
    <x v="0"/>
    <x v="12"/>
    <x v="19"/>
    <x v="19"/>
    <n v="288"/>
  </r>
  <r>
    <x v="0"/>
    <x v="1"/>
    <x v="7"/>
    <x v="0"/>
    <x v="12"/>
    <x v="16"/>
    <x v="17"/>
    <n v="10"/>
  </r>
  <r>
    <x v="0"/>
    <x v="1"/>
    <x v="7"/>
    <x v="0"/>
    <x v="12"/>
    <x v="5"/>
    <x v="19"/>
    <n v="1"/>
  </r>
  <r>
    <x v="0"/>
    <x v="1"/>
    <x v="7"/>
    <x v="0"/>
    <x v="19"/>
    <x v="10"/>
    <x v="19"/>
    <n v="1"/>
  </r>
  <r>
    <x v="0"/>
    <x v="1"/>
    <x v="7"/>
    <x v="0"/>
    <x v="19"/>
    <x v="4"/>
    <x v="5"/>
    <n v="1"/>
  </r>
  <r>
    <x v="0"/>
    <x v="1"/>
    <x v="7"/>
    <x v="1"/>
    <x v="2"/>
    <x v="16"/>
    <x v="19"/>
    <n v="5"/>
  </r>
  <r>
    <x v="0"/>
    <x v="1"/>
    <x v="7"/>
    <x v="1"/>
    <x v="2"/>
    <x v="15"/>
    <x v="14"/>
    <n v="4"/>
  </r>
  <r>
    <x v="0"/>
    <x v="1"/>
    <x v="7"/>
    <x v="1"/>
    <x v="2"/>
    <x v="15"/>
    <x v="17"/>
    <n v="4"/>
  </r>
  <r>
    <x v="0"/>
    <x v="1"/>
    <x v="7"/>
    <x v="1"/>
    <x v="2"/>
    <x v="15"/>
    <x v="19"/>
    <n v="6"/>
  </r>
  <r>
    <x v="0"/>
    <x v="1"/>
    <x v="7"/>
    <x v="1"/>
    <x v="2"/>
    <x v="14"/>
    <x v="13"/>
    <n v="4"/>
  </r>
  <r>
    <x v="0"/>
    <x v="1"/>
    <x v="7"/>
    <x v="1"/>
    <x v="2"/>
    <x v="14"/>
    <x v="11"/>
    <n v="3"/>
  </r>
  <r>
    <x v="0"/>
    <x v="1"/>
    <x v="7"/>
    <x v="1"/>
    <x v="2"/>
    <x v="14"/>
    <x v="14"/>
    <n v="6"/>
  </r>
  <r>
    <x v="0"/>
    <x v="1"/>
    <x v="7"/>
    <x v="1"/>
    <x v="2"/>
    <x v="14"/>
    <x v="17"/>
    <n v="2"/>
  </r>
  <r>
    <x v="0"/>
    <x v="1"/>
    <x v="7"/>
    <x v="1"/>
    <x v="2"/>
    <x v="14"/>
    <x v="19"/>
    <n v="4"/>
  </r>
  <r>
    <x v="0"/>
    <x v="1"/>
    <x v="7"/>
    <x v="1"/>
    <x v="2"/>
    <x v="13"/>
    <x v="2"/>
    <n v="3"/>
  </r>
  <r>
    <x v="0"/>
    <x v="1"/>
    <x v="7"/>
    <x v="1"/>
    <x v="2"/>
    <x v="13"/>
    <x v="13"/>
    <n v="2"/>
  </r>
  <r>
    <x v="0"/>
    <x v="1"/>
    <x v="7"/>
    <x v="1"/>
    <x v="2"/>
    <x v="13"/>
    <x v="11"/>
    <n v="2"/>
  </r>
  <r>
    <x v="0"/>
    <x v="1"/>
    <x v="7"/>
    <x v="1"/>
    <x v="2"/>
    <x v="13"/>
    <x v="14"/>
    <n v="6"/>
  </r>
  <r>
    <x v="0"/>
    <x v="1"/>
    <x v="7"/>
    <x v="1"/>
    <x v="2"/>
    <x v="13"/>
    <x v="17"/>
    <n v="3"/>
  </r>
  <r>
    <x v="0"/>
    <x v="1"/>
    <x v="7"/>
    <x v="1"/>
    <x v="2"/>
    <x v="13"/>
    <x v="19"/>
    <n v="2"/>
  </r>
  <r>
    <x v="0"/>
    <x v="1"/>
    <x v="7"/>
    <x v="1"/>
    <x v="2"/>
    <x v="2"/>
    <x v="2"/>
    <n v="1"/>
  </r>
  <r>
    <x v="0"/>
    <x v="1"/>
    <x v="7"/>
    <x v="1"/>
    <x v="2"/>
    <x v="2"/>
    <x v="13"/>
    <n v="5"/>
  </r>
  <r>
    <x v="0"/>
    <x v="1"/>
    <x v="7"/>
    <x v="1"/>
    <x v="2"/>
    <x v="2"/>
    <x v="11"/>
    <n v="3"/>
  </r>
  <r>
    <x v="0"/>
    <x v="1"/>
    <x v="7"/>
    <x v="1"/>
    <x v="2"/>
    <x v="10"/>
    <x v="2"/>
    <n v="1"/>
  </r>
  <r>
    <x v="0"/>
    <x v="1"/>
    <x v="7"/>
    <x v="1"/>
    <x v="2"/>
    <x v="10"/>
    <x v="13"/>
    <n v="1"/>
  </r>
  <r>
    <x v="0"/>
    <x v="1"/>
    <x v="7"/>
    <x v="1"/>
    <x v="2"/>
    <x v="3"/>
    <x v="4"/>
    <n v="1"/>
  </r>
  <r>
    <x v="0"/>
    <x v="1"/>
    <x v="7"/>
    <x v="1"/>
    <x v="2"/>
    <x v="3"/>
    <x v="5"/>
    <n v="1"/>
  </r>
  <r>
    <x v="0"/>
    <x v="1"/>
    <x v="7"/>
    <x v="1"/>
    <x v="2"/>
    <x v="3"/>
    <x v="2"/>
    <n v="2"/>
  </r>
  <r>
    <x v="0"/>
    <x v="1"/>
    <x v="7"/>
    <x v="1"/>
    <x v="2"/>
    <x v="4"/>
    <x v="0"/>
    <n v="1"/>
  </r>
  <r>
    <x v="0"/>
    <x v="1"/>
    <x v="7"/>
    <x v="1"/>
    <x v="2"/>
    <x v="5"/>
    <x v="0"/>
    <n v="2"/>
  </r>
  <r>
    <x v="0"/>
    <x v="1"/>
    <x v="7"/>
    <x v="1"/>
    <x v="2"/>
    <x v="11"/>
    <x v="0"/>
    <n v="2"/>
  </r>
  <r>
    <x v="0"/>
    <x v="1"/>
    <x v="7"/>
    <x v="1"/>
    <x v="3"/>
    <x v="2"/>
    <x v="2"/>
    <n v="1"/>
  </r>
  <r>
    <x v="0"/>
    <x v="1"/>
    <x v="7"/>
    <x v="1"/>
    <x v="3"/>
    <x v="10"/>
    <x v="11"/>
    <n v="1"/>
  </r>
  <r>
    <x v="0"/>
    <x v="1"/>
    <x v="7"/>
    <x v="1"/>
    <x v="3"/>
    <x v="3"/>
    <x v="2"/>
    <n v="1"/>
  </r>
  <r>
    <x v="0"/>
    <x v="1"/>
    <x v="7"/>
    <x v="3"/>
    <x v="8"/>
    <x v="17"/>
    <x v="14"/>
    <n v="2"/>
  </r>
  <r>
    <x v="0"/>
    <x v="1"/>
    <x v="7"/>
    <x v="3"/>
    <x v="8"/>
    <x v="17"/>
    <x v="17"/>
    <n v="18"/>
  </r>
  <r>
    <x v="0"/>
    <x v="1"/>
    <x v="7"/>
    <x v="3"/>
    <x v="8"/>
    <x v="19"/>
    <x v="19"/>
    <n v="108"/>
  </r>
  <r>
    <x v="0"/>
    <x v="1"/>
    <x v="7"/>
    <x v="3"/>
    <x v="8"/>
    <x v="16"/>
    <x v="14"/>
    <n v="3"/>
  </r>
  <r>
    <x v="0"/>
    <x v="1"/>
    <x v="7"/>
    <x v="3"/>
    <x v="8"/>
    <x v="16"/>
    <x v="17"/>
    <n v="8"/>
  </r>
  <r>
    <x v="0"/>
    <x v="1"/>
    <x v="7"/>
    <x v="3"/>
    <x v="8"/>
    <x v="16"/>
    <x v="19"/>
    <n v="50"/>
  </r>
  <r>
    <x v="0"/>
    <x v="1"/>
    <x v="7"/>
    <x v="3"/>
    <x v="8"/>
    <x v="15"/>
    <x v="14"/>
    <n v="3"/>
  </r>
  <r>
    <x v="0"/>
    <x v="1"/>
    <x v="7"/>
    <x v="3"/>
    <x v="8"/>
    <x v="15"/>
    <x v="17"/>
    <n v="5"/>
  </r>
  <r>
    <x v="0"/>
    <x v="1"/>
    <x v="7"/>
    <x v="3"/>
    <x v="8"/>
    <x v="14"/>
    <x v="18"/>
    <n v="3"/>
  </r>
  <r>
    <x v="0"/>
    <x v="1"/>
    <x v="7"/>
    <x v="3"/>
    <x v="9"/>
    <x v="5"/>
    <x v="19"/>
    <n v="1"/>
  </r>
  <r>
    <x v="0"/>
    <x v="1"/>
    <x v="7"/>
    <x v="3"/>
    <x v="9"/>
    <x v="11"/>
    <x v="19"/>
    <n v="1"/>
  </r>
  <r>
    <x v="0"/>
    <x v="1"/>
    <x v="7"/>
    <x v="3"/>
    <x v="9"/>
    <x v="9"/>
    <x v="13"/>
    <n v="1"/>
  </r>
  <r>
    <x v="0"/>
    <x v="1"/>
    <x v="7"/>
    <x v="5"/>
    <x v="8"/>
    <x v="4"/>
    <x v="19"/>
    <n v="2"/>
  </r>
  <r>
    <x v="0"/>
    <x v="1"/>
    <x v="7"/>
    <x v="5"/>
    <x v="3"/>
    <x v="19"/>
    <x v="11"/>
    <n v="1"/>
  </r>
  <r>
    <x v="0"/>
    <x v="1"/>
    <x v="7"/>
    <x v="5"/>
    <x v="3"/>
    <x v="19"/>
    <x v="14"/>
    <n v="4"/>
  </r>
  <r>
    <x v="0"/>
    <x v="1"/>
    <x v="7"/>
    <x v="5"/>
    <x v="3"/>
    <x v="19"/>
    <x v="17"/>
    <n v="5"/>
  </r>
  <r>
    <x v="0"/>
    <x v="1"/>
    <x v="7"/>
    <x v="5"/>
    <x v="3"/>
    <x v="19"/>
    <x v="19"/>
    <n v="5"/>
  </r>
  <r>
    <x v="0"/>
    <x v="1"/>
    <x v="7"/>
    <x v="5"/>
    <x v="3"/>
    <x v="16"/>
    <x v="2"/>
    <n v="5"/>
  </r>
  <r>
    <x v="0"/>
    <x v="1"/>
    <x v="7"/>
    <x v="5"/>
    <x v="3"/>
    <x v="16"/>
    <x v="13"/>
    <n v="16"/>
  </r>
  <r>
    <x v="0"/>
    <x v="1"/>
    <x v="7"/>
    <x v="5"/>
    <x v="3"/>
    <x v="16"/>
    <x v="0"/>
    <n v="19"/>
  </r>
  <r>
    <x v="0"/>
    <x v="1"/>
    <x v="7"/>
    <x v="5"/>
    <x v="3"/>
    <x v="16"/>
    <x v="18"/>
    <n v="13"/>
  </r>
  <r>
    <x v="0"/>
    <x v="1"/>
    <x v="7"/>
    <x v="5"/>
    <x v="3"/>
    <x v="15"/>
    <x v="5"/>
    <n v="2"/>
  </r>
  <r>
    <x v="0"/>
    <x v="1"/>
    <x v="7"/>
    <x v="5"/>
    <x v="3"/>
    <x v="15"/>
    <x v="0"/>
    <n v="16"/>
  </r>
  <r>
    <x v="0"/>
    <x v="1"/>
    <x v="7"/>
    <x v="5"/>
    <x v="3"/>
    <x v="15"/>
    <x v="18"/>
    <n v="14"/>
  </r>
  <r>
    <x v="0"/>
    <x v="1"/>
    <x v="7"/>
    <x v="5"/>
    <x v="3"/>
    <x v="14"/>
    <x v="0"/>
    <n v="13"/>
  </r>
  <r>
    <x v="0"/>
    <x v="1"/>
    <x v="7"/>
    <x v="5"/>
    <x v="3"/>
    <x v="14"/>
    <x v="18"/>
    <n v="7"/>
  </r>
  <r>
    <x v="0"/>
    <x v="1"/>
    <x v="7"/>
    <x v="5"/>
    <x v="3"/>
    <x v="13"/>
    <x v="0"/>
    <n v="10"/>
  </r>
  <r>
    <x v="0"/>
    <x v="1"/>
    <x v="7"/>
    <x v="5"/>
    <x v="3"/>
    <x v="3"/>
    <x v="19"/>
    <n v="19"/>
  </r>
  <r>
    <x v="0"/>
    <x v="1"/>
    <x v="7"/>
    <x v="5"/>
    <x v="3"/>
    <x v="4"/>
    <x v="17"/>
    <n v="3"/>
  </r>
  <r>
    <x v="0"/>
    <x v="1"/>
    <x v="7"/>
    <x v="5"/>
    <x v="3"/>
    <x v="4"/>
    <x v="19"/>
    <n v="12"/>
  </r>
  <r>
    <x v="0"/>
    <x v="1"/>
    <x v="7"/>
    <x v="5"/>
    <x v="3"/>
    <x v="5"/>
    <x v="14"/>
    <n v="1"/>
  </r>
  <r>
    <x v="0"/>
    <x v="1"/>
    <x v="7"/>
    <x v="5"/>
    <x v="3"/>
    <x v="5"/>
    <x v="17"/>
    <n v="3"/>
  </r>
  <r>
    <x v="0"/>
    <x v="1"/>
    <x v="7"/>
    <x v="5"/>
    <x v="3"/>
    <x v="5"/>
    <x v="19"/>
    <n v="8"/>
  </r>
  <r>
    <x v="0"/>
    <x v="1"/>
    <x v="7"/>
    <x v="5"/>
    <x v="3"/>
    <x v="11"/>
    <x v="11"/>
    <n v="1"/>
  </r>
  <r>
    <x v="0"/>
    <x v="1"/>
    <x v="7"/>
    <x v="5"/>
    <x v="3"/>
    <x v="11"/>
    <x v="14"/>
    <n v="1"/>
  </r>
  <r>
    <x v="0"/>
    <x v="3"/>
    <x v="5"/>
    <x v="17"/>
    <x v="9"/>
    <x v="3"/>
    <x v="19"/>
    <n v="1"/>
  </r>
  <r>
    <x v="0"/>
    <x v="3"/>
    <x v="5"/>
    <x v="17"/>
    <x v="9"/>
    <x v="4"/>
    <x v="19"/>
    <n v="2"/>
  </r>
  <r>
    <x v="0"/>
    <x v="3"/>
    <x v="6"/>
    <x v="0"/>
    <x v="12"/>
    <x v="15"/>
    <x v="19"/>
    <n v="51"/>
  </r>
  <r>
    <x v="0"/>
    <x v="3"/>
    <x v="6"/>
    <x v="0"/>
    <x v="12"/>
    <x v="14"/>
    <x v="19"/>
    <n v="21"/>
  </r>
  <r>
    <x v="0"/>
    <x v="3"/>
    <x v="6"/>
    <x v="0"/>
    <x v="12"/>
    <x v="2"/>
    <x v="19"/>
    <n v="11"/>
  </r>
  <r>
    <x v="0"/>
    <x v="3"/>
    <x v="6"/>
    <x v="0"/>
    <x v="12"/>
    <x v="10"/>
    <x v="19"/>
    <n v="2"/>
  </r>
  <r>
    <x v="0"/>
    <x v="3"/>
    <x v="6"/>
    <x v="0"/>
    <x v="12"/>
    <x v="3"/>
    <x v="19"/>
    <n v="3"/>
  </r>
  <r>
    <x v="0"/>
    <x v="3"/>
    <x v="6"/>
    <x v="0"/>
    <x v="12"/>
    <x v="4"/>
    <x v="19"/>
    <n v="1"/>
  </r>
  <r>
    <x v="0"/>
    <x v="3"/>
    <x v="6"/>
    <x v="3"/>
    <x v="8"/>
    <x v="15"/>
    <x v="19"/>
    <n v="4"/>
  </r>
  <r>
    <x v="0"/>
    <x v="3"/>
    <x v="6"/>
    <x v="3"/>
    <x v="8"/>
    <x v="10"/>
    <x v="19"/>
    <n v="1"/>
  </r>
  <r>
    <x v="0"/>
    <x v="3"/>
    <x v="6"/>
    <x v="3"/>
    <x v="8"/>
    <x v="3"/>
    <x v="19"/>
    <n v="1"/>
  </r>
  <r>
    <x v="0"/>
    <x v="3"/>
    <x v="6"/>
    <x v="3"/>
    <x v="8"/>
    <x v="4"/>
    <x v="19"/>
    <n v="1"/>
  </r>
  <r>
    <x v="0"/>
    <x v="3"/>
    <x v="6"/>
    <x v="5"/>
    <x v="3"/>
    <x v="2"/>
    <x v="19"/>
    <n v="1"/>
  </r>
  <r>
    <x v="0"/>
    <x v="3"/>
    <x v="6"/>
    <x v="5"/>
    <x v="3"/>
    <x v="10"/>
    <x v="19"/>
    <n v="1"/>
  </r>
  <r>
    <x v="0"/>
    <x v="3"/>
    <x v="6"/>
    <x v="5"/>
    <x v="3"/>
    <x v="3"/>
    <x v="19"/>
    <n v="1"/>
  </r>
  <r>
    <x v="0"/>
    <x v="3"/>
    <x v="7"/>
    <x v="0"/>
    <x v="12"/>
    <x v="16"/>
    <x v="18"/>
    <n v="1"/>
  </r>
  <r>
    <x v="0"/>
    <x v="3"/>
    <x v="7"/>
    <x v="0"/>
    <x v="12"/>
    <x v="14"/>
    <x v="19"/>
    <n v="3"/>
  </r>
  <r>
    <x v="0"/>
    <x v="3"/>
    <x v="7"/>
    <x v="0"/>
    <x v="12"/>
    <x v="13"/>
    <x v="19"/>
    <n v="2"/>
  </r>
  <r>
    <x v="0"/>
    <x v="3"/>
    <x v="7"/>
    <x v="1"/>
    <x v="2"/>
    <x v="5"/>
    <x v="19"/>
    <n v="1"/>
  </r>
  <r>
    <x v="0"/>
    <x v="3"/>
    <x v="7"/>
    <x v="3"/>
    <x v="8"/>
    <x v="17"/>
    <x v="17"/>
    <n v="1"/>
  </r>
  <r>
    <x v="0"/>
    <x v="3"/>
    <x v="7"/>
    <x v="3"/>
    <x v="8"/>
    <x v="18"/>
    <x v="14"/>
    <n v="1"/>
  </r>
  <r>
    <x v="0"/>
    <x v="3"/>
    <x v="7"/>
    <x v="3"/>
    <x v="8"/>
    <x v="18"/>
    <x v="19"/>
    <n v="42"/>
  </r>
  <r>
    <x v="0"/>
    <x v="3"/>
    <x v="7"/>
    <x v="5"/>
    <x v="3"/>
    <x v="15"/>
    <x v="19"/>
    <n v="2"/>
  </r>
  <r>
    <x v="0"/>
    <x v="3"/>
    <x v="7"/>
    <x v="5"/>
    <x v="3"/>
    <x v="14"/>
    <x v="17"/>
    <n v="1"/>
  </r>
  <r>
    <x v="0"/>
    <x v="3"/>
    <x v="7"/>
    <x v="5"/>
    <x v="3"/>
    <x v="14"/>
    <x v="19"/>
    <n v="3"/>
  </r>
  <r>
    <x v="0"/>
    <x v="3"/>
    <x v="7"/>
    <x v="5"/>
    <x v="3"/>
    <x v="13"/>
    <x v="14"/>
    <n v="1"/>
  </r>
  <r>
    <x v="0"/>
    <x v="3"/>
    <x v="7"/>
    <x v="5"/>
    <x v="3"/>
    <x v="13"/>
    <x v="19"/>
    <n v="1"/>
  </r>
  <r>
    <x v="0"/>
    <x v="3"/>
    <x v="7"/>
    <x v="5"/>
    <x v="3"/>
    <x v="11"/>
    <x v="19"/>
    <n v="2"/>
  </r>
  <r>
    <x v="0"/>
    <x v="3"/>
    <x v="7"/>
    <x v="5"/>
    <x v="6"/>
    <x v="13"/>
    <x v="19"/>
    <n v="1"/>
  </r>
  <r>
    <x v="0"/>
    <x v="3"/>
    <x v="7"/>
    <x v="6"/>
    <x v="15"/>
    <x v="6"/>
    <x v="19"/>
    <n v="1"/>
  </r>
  <r>
    <x v="0"/>
    <x v="3"/>
    <x v="7"/>
    <x v="8"/>
    <x v="10"/>
    <x v="14"/>
    <x v="11"/>
    <n v="1"/>
  </r>
  <r>
    <x v="0"/>
    <x v="3"/>
    <x v="7"/>
    <x v="8"/>
    <x v="10"/>
    <x v="0"/>
    <x v="18"/>
    <n v="1"/>
  </r>
  <r>
    <x v="0"/>
    <x v="3"/>
    <x v="7"/>
    <x v="8"/>
    <x v="18"/>
    <x v="9"/>
    <x v="19"/>
    <n v="5"/>
  </r>
  <r>
    <x v="0"/>
    <x v="3"/>
    <x v="7"/>
    <x v="8"/>
    <x v="18"/>
    <x v="12"/>
    <x v="19"/>
    <n v="1"/>
  </r>
  <r>
    <x v="0"/>
    <x v="3"/>
    <x v="7"/>
    <x v="8"/>
    <x v="18"/>
    <x v="1"/>
    <x v="19"/>
    <n v="1"/>
  </r>
  <r>
    <x v="0"/>
    <x v="3"/>
    <x v="7"/>
    <x v="11"/>
    <x v="7"/>
    <x v="6"/>
    <x v="19"/>
    <n v="1"/>
  </r>
  <r>
    <x v="0"/>
    <x v="3"/>
    <x v="7"/>
    <x v="11"/>
    <x v="9"/>
    <x v="8"/>
    <x v="19"/>
    <n v="1"/>
  </r>
  <r>
    <x v="0"/>
    <x v="3"/>
    <x v="7"/>
    <x v="13"/>
    <x v="6"/>
    <x v="2"/>
    <x v="19"/>
    <n v="2"/>
  </r>
  <r>
    <x v="0"/>
    <x v="3"/>
    <x v="7"/>
    <x v="13"/>
    <x v="6"/>
    <x v="10"/>
    <x v="19"/>
    <n v="7"/>
  </r>
  <r>
    <x v="0"/>
    <x v="3"/>
    <x v="7"/>
    <x v="13"/>
    <x v="6"/>
    <x v="3"/>
    <x v="19"/>
    <n v="6"/>
  </r>
  <r>
    <x v="0"/>
    <x v="3"/>
    <x v="7"/>
    <x v="13"/>
    <x v="6"/>
    <x v="4"/>
    <x v="19"/>
    <n v="5"/>
  </r>
  <r>
    <x v="0"/>
    <x v="3"/>
    <x v="7"/>
    <x v="13"/>
    <x v="6"/>
    <x v="5"/>
    <x v="19"/>
    <n v="5"/>
  </r>
  <r>
    <x v="0"/>
    <x v="3"/>
    <x v="7"/>
    <x v="13"/>
    <x v="6"/>
    <x v="11"/>
    <x v="19"/>
    <n v="5"/>
  </r>
  <r>
    <x v="0"/>
    <x v="3"/>
    <x v="7"/>
    <x v="13"/>
    <x v="6"/>
    <x v="6"/>
    <x v="19"/>
    <n v="7"/>
  </r>
  <r>
    <x v="0"/>
    <x v="3"/>
    <x v="7"/>
    <x v="13"/>
    <x v="6"/>
    <x v="12"/>
    <x v="18"/>
    <n v="1"/>
  </r>
  <r>
    <x v="0"/>
    <x v="3"/>
    <x v="7"/>
    <x v="13"/>
    <x v="6"/>
    <x v="7"/>
    <x v="19"/>
    <n v="1"/>
  </r>
  <r>
    <x v="0"/>
    <x v="3"/>
    <x v="7"/>
    <x v="13"/>
    <x v="6"/>
    <x v="8"/>
    <x v="19"/>
    <n v="4"/>
  </r>
  <r>
    <x v="0"/>
    <x v="3"/>
    <x v="7"/>
    <x v="13"/>
    <x v="17"/>
    <x v="19"/>
    <x v="19"/>
    <n v="48"/>
  </r>
  <r>
    <x v="0"/>
    <x v="3"/>
    <x v="7"/>
    <x v="13"/>
    <x v="17"/>
    <x v="16"/>
    <x v="17"/>
    <n v="1"/>
  </r>
  <r>
    <x v="0"/>
    <x v="3"/>
    <x v="7"/>
    <x v="13"/>
    <x v="17"/>
    <x v="15"/>
    <x v="13"/>
    <n v="1"/>
  </r>
  <r>
    <x v="0"/>
    <x v="3"/>
    <x v="7"/>
    <x v="13"/>
    <x v="17"/>
    <x v="2"/>
    <x v="19"/>
    <n v="5"/>
  </r>
  <r>
    <x v="0"/>
    <x v="3"/>
    <x v="7"/>
    <x v="13"/>
    <x v="17"/>
    <x v="10"/>
    <x v="19"/>
    <n v="2"/>
  </r>
  <r>
    <x v="0"/>
    <x v="3"/>
    <x v="7"/>
    <x v="17"/>
    <x v="9"/>
    <x v="13"/>
    <x v="19"/>
    <n v="21"/>
  </r>
  <r>
    <x v="0"/>
    <x v="3"/>
    <x v="7"/>
    <x v="17"/>
    <x v="9"/>
    <x v="3"/>
    <x v="19"/>
    <n v="7"/>
  </r>
  <r>
    <x v="0"/>
    <x v="3"/>
    <x v="7"/>
    <x v="17"/>
    <x v="9"/>
    <x v="4"/>
    <x v="19"/>
    <n v="13"/>
  </r>
  <r>
    <x v="0"/>
    <x v="3"/>
    <x v="7"/>
    <x v="17"/>
    <x v="9"/>
    <x v="5"/>
    <x v="19"/>
    <n v="2"/>
  </r>
  <r>
    <x v="0"/>
    <x v="3"/>
    <x v="7"/>
    <x v="17"/>
    <x v="9"/>
    <x v="11"/>
    <x v="19"/>
    <n v="6"/>
  </r>
  <r>
    <x v="0"/>
    <x v="3"/>
    <x v="7"/>
    <x v="17"/>
    <x v="9"/>
    <x v="6"/>
    <x v="19"/>
    <n v="4"/>
  </r>
  <r>
    <x v="0"/>
    <x v="3"/>
    <x v="7"/>
    <x v="19"/>
    <x v="14"/>
    <x v="1"/>
    <x v="0"/>
    <n v="1"/>
  </r>
  <r>
    <x v="0"/>
    <x v="3"/>
    <x v="7"/>
    <x v="19"/>
    <x v="7"/>
    <x v="16"/>
    <x v="11"/>
    <n v="1"/>
  </r>
  <r>
    <x v="0"/>
    <x v="3"/>
    <x v="7"/>
    <x v="19"/>
    <x v="7"/>
    <x v="16"/>
    <x v="14"/>
    <n v="2"/>
  </r>
  <r>
    <x v="0"/>
    <x v="3"/>
    <x v="7"/>
    <x v="19"/>
    <x v="7"/>
    <x v="16"/>
    <x v="17"/>
    <n v="1"/>
  </r>
  <r>
    <x v="0"/>
    <x v="3"/>
    <x v="7"/>
    <x v="19"/>
    <x v="7"/>
    <x v="15"/>
    <x v="5"/>
    <n v="1"/>
  </r>
  <r>
    <x v="0"/>
    <x v="3"/>
    <x v="7"/>
    <x v="19"/>
    <x v="7"/>
    <x v="3"/>
    <x v="14"/>
    <n v="1"/>
  </r>
  <r>
    <x v="0"/>
    <x v="3"/>
    <x v="5"/>
    <x v="17"/>
    <x v="2"/>
    <x v="5"/>
    <x v="19"/>
    <n v="7"/>
  </r>
  <r>
    <x v="0"/>
    <x v="3"/>
    <x v="5"/>
    <x v="17"/>
    <x v="2"/>
    <x v="11"/>
    <x v="19"/>
    <n v="4"/>
  </r>
  <r>
    <x v="0"/>
    <x v="3"/>
    <x v="5"/>
    <x v="17"/>
    <x v="2"/>
    <x v="6"/>
    <x v="19"/>
    <n v="4"/>
  </r>
  <r>
    <x v="0"/>
    <x v="3"/>
    <x v="5"/>
    <x v="17"/>
    <x v="2"/>
    <x v="9"/>
    <x v="19"/>
    <n v="5"/>
  </r>
  <r>
    <x v="0"/>
    <x v="3"/>
    <x v="6"/>
    <x v="0"/>
    <x v="12"/>
    <x v="17"/>
    <x v="19"/>
    <n v="217"/>
  </r>
  <r>
    <x v="0"/>
    <x v="3"/>
    <x v="6"/>
    <x v="0"/>
    <x v="12"/>
    <x v="18"/>
    <x v="19"/>
    <n v="217"/>
  </r>
  <r>
    <x v="0"/>
    <x v="3"/>
    <x v="6"/>
    <x v="3"/>
    <x v="8"/>
    <x v="18"/>
    <x v="19"/>
    <n v="8"/>
  </r>
  <r>
    <x v="0"/>
    <x v="3"/>
    <x v="6"/>
    <x v="3"/>
    <x v="8"/>
    <x v="19"/>
    <x v="19"/>
    <n v="2"/>
  </r>
  <r>
    <x v="0"/>
    <x v="3"/>
    <x v="6"/>
    <x v="5"/>
    <x v="3"/>
    <x v="13"/>
    <x v="19"/>
    <n v="3"/>
  </r>
  <r>
    <x v="0"/>
    <x v="3"/>
    <x v="6"/>
    <x v="5"/>
    <x v="3"/>
    <x v="11"/>
    <x v="19"/>
    <n v="1"/>
  </r>
  <r>
    <x v="0"/>
    <x v="3"/>
    <x v="6"/>
    <x v="7"/>
    <x v="0"/>
    <x v="4"/>
    <x v="19"/>
    <n v="1"/>
  </r>
  <r>
    <x v="0"/>
    <x v="3"/>
    <x v="6"/>
    <x v="13"/>
    <x v="6"/>
    <x v="4"/>
    <x v="19"/>
    <n v="6"/>
  </r>
  <r>
    <x v="0"/>
    <x v="3"/>
    <x v="6"/>
    <x v="13"/>
    <x v="6"/>
    <x v="5"/>
    <x v="19"/>
    <n v="1"/>
  </r>
  <r>
    <x v="0"/>
    <x v="3"/>
    <x v="6"/>
    <x v="13"/>
    <x v="6"/>
    <x v="11"/>
    <x v="19"/>
    <n v="5"/>
  </r>
  <r>
    <x v="0"/>
    <x v="3"/>
    <x v="6"/>
    <x v="13"/>
    <x v="6"/>
    <x v="6"/>
    <x v="19"/>
    <n v="5"/>
  </r>
  <r>
    <x v="0"/>
    <x v="3"/>
    <x v="6"/>
    <x v="13"/>
    <x v="6"/>
    <x v="9"/>
    <x v="19"/>
    <n v="3"/>
  </r>
  <r>
    <x v="0"/>
    <x v="3"/>
    <x v="7"/>
    <x v="0"/>
    <x v="12"/>
    <x v="16"/>
    <x v="19"/>
    <n v="19"/>
  </r>
  <r>
    <x v="0"/>
    <x v="3"/>
    <x v="7"/>
    <x v="0"/>
    <x v="12"/>
    <x v="15"/>
    <x v="19"/>
    <n v="10"/>
  </r>
  <r>
    <x v="0"/>
    <x v="3"/>
    <x v="7"/>
    <x v="1"/>
    <x v="2"/>
    <x v="3"/>
    <x v="18"/>
    <n v="1"/>
  </r>
  <r>
    <x v="0"/>
    <x v="3"/>
    <x v="7"/>
    <x v="3"/>
    <x v="8"/>
    <x v="18"/>
    <x v="0"/>
    <n v="1"/>
  </r>
  <r>
    <x v="0"/>
    <x v="3"/>
    <x v="7"/>
    <x v="3"/>
    <x v="8"/>
    <x v="18"/>
    <x v="18"/>
    <n v="1"/>
  </r>
  <r>
    <x v="0"/>
    <x v="3"/>
    <x v="7"/>
    <x v="3"/>
    <x v="8"/>
    <x v="16"/>
    <x v="19"/>
    <n v="30"/>
  </r>
  <r>
    <x v="0"/>
    <x v="3"/>
    <x v="7"/>
    <x v="3"/>
    <x v="8"/>
    <x v="2"/>
    <x v="19"/>
    <n v="6"/>
  </r>
  <r>
    <x v="0"/>
    <x v="3"/>
    <x v="7"/>
    <x v="3"/>
    <x v="8"/>
    <x v="10"/>
    <x v="19"/>
    <n v="5"/>
  </r>
  <r>
    <x v="0"/>
    <x v="3"/>
    <x v="7"/>
    <x v="3"/>
    <x v="8"/>
    <x v="3"/>
    <x v="19"/>
    <n v="2"/>
  </r>
  <r>
    <x v="0"/>
    <x v="3"/>
    <x v="7"/>
    <x v="3"/>
    <x v="8"/>
    <x v="4"/>
    <x v="19"/>
    <n v="2"/>
  </r>
  <r>
    <x v="0"/>
    <x v="3"/>
    <x v="7"/>
    <x v="3"/>
    <x v="8"/>
    <x v="5"/>
    <x v="19"/>
    <n v="5"/>
  </r>
  <r>
    <x v="0"/>
    <x v="3"/>
    <x v="7"/>
    <x v="5"/>
    <x v="3"/>
    <x v="14"/>
    <x v="0"/>
    <n v="1"/>
  </r>
  <r>
    <x v="0"/>
    <x v="3"/>
    <x v="7"/>
    <x v="5"/>
    <x v="3"/>
    <x v="14"/>
    <x v="18"/>
    <n v="1"/>
  </r>
  <r>
    <x v="0"/>
    <x v="3"/>
    <x v="7"/>
    <x v="5"/>
    <x v="3"/>
    <x v="13"/>
    <x v="18"/>
    <n v="1"/>
  </r>
  <r>
    <x v="0"/>
    <x v="3"/>
    <x v="7"/>
    <x v="5"/>
    <x v="3"/>
    <x v="6"/>
    <x v="0"/>
    <n v="1"/>
  </r>
  <r>
    <x v="0"/>
    <x v="3"/>
    <x v="7"/>
    <x v="6"/>
    <x v="2"/>
    <x v="16"/>
    <x v="19"/>
    <n v="1"/>
  </r>
  <r>
    <x v="0"/>
    <x v="3"/>
    <x v="7"/>
    <x v="6"/>
    <x v="2"/>
    <x v="15"/>
    <x v="19"/>
    <n v="1"/>
  </r>
  <r>
    <x v="0"/>
    <x v="3"/>
    <x v="7"/>
    <x v="8"/>
    <x v="7"/>
    <x v="19"/>
    <x v="19"/>
    <n v="1"/>
  </r>
  <r>
    <x v="0"/>
    <x v="3"/>
    <x v="7"/>
    <x v="8"/>
    <x v="10"/>
    <x v="0"/>
    <x v="17"/>
    <n v="1"/>
  </r>
  <r>
    <x v="0"/>
    <x v="3"/>
    <x v="7"/>
    <x v="8"/>
    <x v="18"/>
    <x v="11"/>
    <x v="19"/>
    <n v="1"/>
  </r>
  <r>
    <x v="0"/>
    <x v="3"/>
    <x v="7"/>
    <x v="8"/>
    <x v="18"/>
    <x v="6"/>
    <x v="19"/>
    <n v="1"/>
  </r>
  <r>
    <x v="0"/>
    <x v="3"/>
    <x v="7"/>
    <x v="8"/>
    <x v="18"/>
    <x v="7"/>
    <x v="19"/>
    <n v="2"/>
  </r>
  <r>
    <x v="0"/>
    <x v="3"/>
    <x v="7"/>
    <x v="10"/>
    <x v="10"/>
    <x v="0"/>
    <x v="19"/>
    <n v="1"/>
  </r>
  <r>
    <x v="0"/>
    <x v="3"/>
    <x v="7"/>
    <x v="11"/>
    <x v="7"/>
    <x v="7"/>
    <x v="19"/>
    <n v="1"/>
  </r>
  <r>
    <x v="0"/>
    <x v="3"/>
    <x v="7"/>
    <x v="11"/>
    <x v="9"/>
    <x v="0"/>
    <x v="19"/>
    <n v="2"/>
  </r>
  <r>
    <x v="0"/>
    <x v="3"/>
    <x v="7"/>
    <x v="12"/>
    <x v="1"/>
    <x v="3"/>
    <x v="2"/>
    <n v="1"/>
  </r>
  <r>
    <x v="0"/>
    <x v="3"/>
    <x v="7"/>
    <x v="13"/>
    <x v="6"/>
    <x v="9"/>
    <x v="19"/>
    <n v="5"/>
  </r>
  <r>
    <x v="0"/>
    <x v="3"/>
    <x v="7"/>
    <x v="13"/>
    <x v="6"/>
    <x v="12"/>
    <x v="19"/>
    <n v="1"/>
  </r>
  <r>
    <x v="0"/>
    <x v="3"/>
    <x v="7"/>
    <x v="13"/>
    <x v="6"/>
    <x v="1"/>
    <x v="19"/>
    <n v="5"/>
  </r>
  <r>
    <x v="0"/>
    <x v="3"/>
    <x v="7"/>
    <x v="13"/>
    <x v="17"/>
    <x v="18"/>
    <x v="19"/>
    <n v="8"/>
  </r>
  <r>
    <x v="0"/>
    <x v="3"/>
    <x v="7"/>
    <x v="13"/>
    <x v="17"/>
    <x v="16"/>
    <x v="0"/>
    <n v="1"/>
  </r>
  <r>
    <x v="0"/>
    <x v="3"/>
    <x v="7"/>
    <x v="13"/>
    <x v="17"/>
    <x v="13"/>
    <x v="19"/>
    <n v="3"/>
  </r>
  <r>
    <x v="0"/>
    <x v="3"/>
    <x v="7"/>
    <x v="13"/>
    <x v="17"/>
    <x v="6"/>
    <x v="14"/>
    <n v="1"/>
  </r>
  <r>
    <x v="0"/>
    <x v="3"/>
    <x v="7"/>
    <x v="18"/>
    <x v="8"/>
    <x v="1"/>
    <x v="19"/>
    <n v="1"/>
  </r>
  <r>
    <x v="0"/>
    <x v="3"/>
    <x v="7"/>
    <x v="17"/>
    <x v="2"/>
    <x v="11"/>
    <x v="19"/>
    <n v="1"/>
  </r>
  <r>
    <x v="0"/>
    <x v="3"/>
    <x v="7"/>
    <x v="17"/>
    <x v="9"/>
    <x v="19"/>
    <x v="19"/>
    <n v="6"/>
  </r>
  <r>
    <x v="0"/>
    <x v="3"/>
    <x v="7"/>
    <x v="17"/>
    <x v="9"/>
    <x v="2"/>
    <x v="19"/>
    <n v="15"/>
  </r>
  <r>
    <x v="0"/>
    <x v="3"/>
    <x v="7"/>
    <x v="17"/>
    <x v="9"/>
    <x v="10"/>
    <x v="19"/>
    <n v="19"/>
  </r>
  <r>
    <x v="0"/>
    <x v="3"/>
    <x v="7"/>
    <x v="17"/>
    <x v="9"/>
    <x v="7"/>
    <x v="19"/>
    <n v="1"/>
  </r>
  <r>
    <x v="0"/>
    <x v="3"/>
    <x v="7"/>
    <x v="19"/>
    <x v="14"/>
    <x v="4"/>
    <x v="0"/>
    <n v="1"/>
  </r>
  <r>
    <x v="0"/>
    <x v="3"/>
    <x v="7"/>
    <x v="19"/>
    <x v="7"/>
    <x v="2"/>
    <x v="0"/>
    <n v="1"/>
  </r>
  <r>
    <x v="0"/>
    <x v="3"/>
    <x v="7"/>
    <x v="19"/>
    <x v="10"/>
    <x v="1"/>
    <x v="14"/>
    <n v="1"/>
  </r>
  <r>
    <x v="0"/>
    <x v="1"/>
    <x v="7"/>
    <x v="5"/>
    <x v="3"/>
    <x v="11"/>
    <x v="17"/>
    <n v="1"/>
  </r>
  <r>
    <x v="0"/>
    <x v="1"/>
    <x v="7"/>
    <x v="5"/>
    <x v="3"/>
    <x v="6"/>
    <x v="13"/>
    <n v="1"/>
  </r>
  <r>
    <x v="0"/>
    <x v="1"/>
    <x v="7"/>
    <x v="5"/>
    <x v="6"/>
    <x v="18"/>
    <x v="19"/>
    <n v="1"/>
  </r>
  <r>
    <x v="0"/>
    <x v="1"/>
    <x v="7"/>
    <x v="6"/>
    <x v="2"/>
    <x v="18"/>
    <x v="17"/>
    <n v="2"/>
  </r>
  <r>
    <x v="0"/>
    <x v="1"/>
    <x v="7"/>
    <x v="6"/>
    <x v="2"/>
    <x v="18"/>
    <x v="19"/>
    <n v="30"/>
  </r>
  <r>
    <x v="0"/>
    <x v="1"/>
    <x v="7"/>
    <x v="6"/>
    <x v="2"/>
    <x v="19"/>
    <x v="18"/>
    <n v="15"/>
  </r>
  <r>
    <x v="0"/>
    <x v="1"/>
    <x v="7"/>
    <x v="6"/>
    <x v="2"/>
    <x v="16"/>
    <x v="0"/>
    <n v="28"/>
  </r>
  <r>
    <x v="0"/>
    <x v="1"/>
    <x v="7"/>
    <x v="6"/>
    <x v="2"/>
    <x v="16"/>
    <x v="18"/>
    <n v="21"/>
  </r>
  <r>
    <x v="0"/>
    <x v="1"/>
    <x v="7"/>
    <x v="6"/>
    <x v="2"/>
    <x v="2"/>
    <x v="11"/>
    <n v="1"/>
  </r>
  <r>
    <x v="0"/>
    <x v="1"/>
    <x v="7"/>
    <x v="6"/>
    <x v="2"/>
    <x v="2"/>
    <x v="14"/>
    <n v="6"/>
  </r>
  <r>
    <x v="0"/>
    <x v="1"/>
    <x v="7"/>
    <x v="6"/>
    <x v="2"/>
    <x v="2"/>
    <x v="17"/>
    <n v="1"/>
  </r>
  <r>
    <x v="0"/>
    <x v="1"/>
    <x v="7"/>
    <x v="6"/>
    <x v="2"/>
    <x v="2"/>
    <x v="19"/>
    <n v="6"/>
  </r>
  <r>
    <x v="0"/>
    <x v="1"/>
    <x v="7"/>
    <x v="6"/>
    <x v="2"/>
    <x v="10"/>
    <x v="13"/>
    <n v="1"/>
  </r>
  <r>
    <x v="0"/>
    <x v="1"/>
    <x v="7"/>
    <x v="6"/>
    <x v="2"/>
    <x v="10"/>
    <x v="11"/>
    <n v="3"/>
  </r>
  <r>
    <x v="0"/>
    <x v="1"/>
    <x v="7"/>
    <x v="6"/>
    <x v="2"/>
    <x v="10"/>
    <x v="19"/>
    <n v="2"/>
  </r>
  <r>
    <x v="0"/>
    <x v="1"/>
    <x v="7"/>
    <x v="6"/>
    <x v="2"/>
    <x v="3"/>
    <x v="2"/>
    <n v="1"/>
  </r>
  <r>
    <x v="0"/>
    <x v="1"/>
    <x v="7"/>
    <x v="6"/>
    <x v="2"/>
    <x v="3"/>
    <x v="13"/>
    <n v="1"/>
  </r>
  <r>
    <x v="0"/>
    <x v="1"/>
    <x v="7"/>
    <x v="6"/>
    <x v="2"/>
    <x v="3"/>
    <x v="14"/>
    <n v="1"/>
  </r>
  <r>
    <x v="0"/>
    <x v="1"/>
    <x v="7"/>
    <x v="6"/>
    <x v="2"/>
    <x v="3"/>
    <x v="19"/>
    <n v="1"/>
  </r>
  <r>
    <x v="0"/>
    <x v="1"/>
    <x v="7"/>
    <x v="6"/>
    <x v="2"/>
    <x v="6"/>
    <x v="0"/>
    <n v="1"/>
  </r>
  <r>
    <x v="0"/>
    <x v="1"/>
    <x v="7"/>
    <x v="6"/>
    <x v="2"/>
    <x v="9"/>
    <x v="0"/>
    <n v="1"/>
  </r>
  <r>
    <x v="0"/>
    <x v="1"/>
    <x v="7"/>
    <x v="6"/>
    <x v="15"/>
    <x v="4"/>
    <x v="19"/>
    <n v="1"/>
  </r>
  <r>
    <x v="0"/>
    <x v="1"/>
    <x v="7"/>
    <x v="6"/>
    <x v="15"/>
    <x v="5"/>
    <x v="19"/>
    <n v="1"/>
  </r>
  <r>
    <x v="0"/>
    <x v="1"/>
    <x v="7"/>
    <x v="6"/>
    <x v="15"/>
    <x v="8"/>
    <x v="19"/>
    <n v="1"/>
  </r>
  <r>
    <x v="0"/>
    <x v="1"/>
    <x v="7"/>
    <x v="6"/>
    <x v="11"/>
    <x v="12"/>
    <x v="19"/>
    <n v="1"/>
  </r>
  <r>
    <x v="0"/>
    <x v="1"/>
    <x v="7"/>
    <x v="9"/>
    <x v="13"/>
    <x v="4"/>
    <x v="14"/>
    <n v="2"/>
  </r>
  <r>
    <x v="0"/>
    <x v="1"/>
    <x v="7"/>
    <x v="9"/>
    <x v="13"/>
    <x v="4"/>
    <x v="17"/>
    <n v="2"/>
  </r>
  <r>
    <x v="0"/>
    <x v="1"/>
    <x v="7"/>
    <x v="9"/>
    <x v="13"/>
    <x v="5"/>
    <x v="14"/>
    <n v="1"/>
  </r>
  <r>
    <x v="0"/>
    <x v="1"/>
    <x v="7"/>
    <x v="9"/>
    <x v="13"/>
    <x v="5"/>
    <x v="19"/>
    <n v="1"/>
  </r>
  <r>
    <x v="0"/>
    <x v="1"/>
    <x v="7"/>
    <x v="9"/>
    <x v="13"/>
    <x v="9"/>
    <x v="13"/>
    <n v="2"/>
  </r>
  <r>
    <x v="0"/>
    <x v="1"/>
    <x v="7"/>
    <x v="7"/>
    <x v="0"/>
    <x v="2"/>
    <x v="0"/>
    <n v="2"/>
  </r>
  <r>
    <x v="0"/>
    <x v="1"/>
    <x v="7"/>
    <x v="8"/>
    <x v="13"/>
    <x v="16"/>
    <x v="18"/>
    <n v="1"/>
  </r>
  <r>
    <x v="0"/>
    <x v="1"/>
    <x v="7"/>
    <x v="8"/>
    <x v="13"/>
    <x v="2"/>
    <x v="19"/>
    <n v="2"/>
  </r>
  <r>
    <x v="0"/>
    <x v="1"/>
    <x v="7"/>
    <x v="8"/>
    <x v="13"/>
    <x v="10"/>
    <x v="17"/>
    <n v="1"/>
  </r>
  <r>
    <x v="0"/>
    <x v="1"/>
    <x v="7"/>
    <x v="8"/>
    <x v="13"/>
    <x v="10"/>
    <x v="19"/>
    <n v="1"/>
  </r>
  <r>
    <x v="0"/>
    <x v="1"/>
    <x v="7"/>
    <x v="8"/>
    <x v="13"/>
    <x v="3"/>
    <x v="19"/>
    <n v="1"/>
  </r>
  <r>
    <x v="0"/>
    <x v="1"/>
    <x v="7"/>
    <x v="8"/>
    <x v="13"/>
    <x v="4"/>
    <x v="17"/>
    <n v="1"/>
  </r>
  <r>
    <x v="0"/>
    <x v="1"/>
    <x v="7"/>
    <x v="8"/>
    <x v="7"/>
    <x v="17"/>
    <x v="19"/>
    <n v="1"/>
  </r>
  <r>
    <x v="0"/>
    <x v="1"/>
    <x v="7"/>
    <x v="8"/>
    <x v="10"/>
    <x v="13"/>
    <x v="13"/>
    <n v="1"/>
  </r>
  <r>
    <x v="0"/>
    <x v="1"/>
    <x v="7"/>
    <x v="11"/>
    <x v="0"/>
    <x v="12"/>
    <x v="14"/>
    <n v="1"/>
  </r>
  <r>
    <x v="0"/>
    <x v="1"/>
    <x v="7"/>
    <x v="12"/>
    <x v="12"/>
    <x v="5"/>
    <x v="5"/>
    <n v="1"/>
  </r>
  <r>
    <x v="0"/>
    <x v="1"/>
    <x v="7"/>
    <x v="12"/>
    <x v="1"/>
    <x v="16"/>
    <x v="0"/>
    <n v="1"/>
  </r>
  <r>
    <x v="0"/>
    <x v="1"/>
    <x v="7"/>
    <x v="12"/>
    <x v="1"/>
    <x v="16"/>
    <x v="18"/>
    <n v="1"/>
  </r>
  <r>
    <x v="0"/>
    <x v="1"/>
    <x v="7"/>
    <x v="12"/>
    <x v="1"/>
    <x v="15"/>
    <x v="18"/>
    <n v="3"/>
  </r>
  <r>
    <x v="0"/>
    <x v="1"/>
    <x v="7"/>
    <x v="12"/>
    <x v="1"/>
    <x v="14"/>
    <x v="0"/>
    <n v="2"/>
  </r>
  <r>
    <x v="0"/>
    <x v="1"/>
    <x v="7"/>
    <x v="12"/>
    <x v="1"/>
    <x v="14"/>
    <x v="18"/>
    <n v="1"/>
  </r>
  <r>
    <x v="0"/>
    <x v="1"/>
    <x v="7"/>
    <x v="12"/>
    <x v="1"/>
    <x v="10"/>
    <x v="19"/>
    <n v="3"/>
  </r>
  <r>
    <x v="0"/>
    <x v="1"/>
    <x v="7"/>
    <x v="12"/>
    <x v="1"/>
    <x v="3"/>
    <x v="17"/>
    <n v="1"/>
  </r>
  <r>
    <x v="0"/>
    <x v="1"/>
    <x v="7"/>
    <x v="12"/>
    <x v="1"/>
    <x v="3"/>
    <x v="19"/>
    <n v="1"/>
  </r>
  <r>
    <x v="0"/>
    <x v="1"/>
    <x v="7"/>
    <x v="12"/>
    <x v="1"/>
    <x v="4"/>
    <x v="19"/>
    <n v="2"/>
  </r>
  <r>
    <x v="0"/>
    <x v="1"/>
    <x v="7"/>
    <x v="12"/>
    <x v="1"/>
    <x v="5"/>
    <x v="14"/>
    <n v="1"/>
  </r>
  <r>
    <x v="0"/>
    <x v="1"/>
    <x v="7"/>
    <x v="12"/>
    <x v="1"/>
    <x v="6"/>
    <x v="11"/>
    <n v="1"/>
  </r>
  <r>
    <x v="0"/>
    <x v="1"/>
    <x v="7"/>
    <x v="12"/>
    <x v="6"/>
    <x v="16"/>
    <x v="19"/>
    <n v="1"/>
  </r>
  <r>
    <x v="0"/>
    <x v="1"/>
    <x v="7"/>
    <x v="12"/>
    <x v="6"/>
    <x v="14"/>
    <x v="2"/>
    <n v="1"/>
  </r>
  <r>
    <x v="0"/>
    <x v="1"/>
    <x v="7"/>
    <x v="12"/>
    <x v="6"/>
    <x v="13"/>
    <x v="4"/>
    <n v="1"/>
  </r>
  <r>
    <x v="0"/>
    <x v="1"/>
    <x v="7"/>
    <x v="13"/>
    <x v="6"/>
    <x v="2"/>
    <x v="0"/>
    <n v="2"/>
  </r>
  <r>
    <x v="0"/>
    <x v="1"/>
    <x v="7"/>
    <x v="13"/>
    <x v="17"/>
    <x v="19"/>
    <x v="17"/>
    <n v="9"/>
  </r>
  <r>
    <x v="0"/>
    <x v="1"/>
    <x v="7"/>
    <x v="13"/>
    <x v="17"/>
    <x v="19"/>
    <x v="19"/>
    <n v="252"/>
  </r>
  <r>
    <x v="0"/>
    <x v="1"/>
    <x v="7"/>
    <x v="13"/>
    <x v="17"/>
    <x v="16"/>
    <x v="13"/>
    <n v="8"/>
  </r>
  <r>
    <x v="0"/>
    <x v="1"/>
    <x v="7"/>
    <x v="13"/>
    <x v="17"/>
    <x v="16"/>
    <x v="11"/>
    <n v="8"/>
  </r>
  <r>
    <x v="0"/>
    <x v="1"/>
    <x v="7"/>
    <x v="13"/>
    <x v="17"/>
    <x v="15"/>
    <x v="2"/>
    <n v="6"/>
  </r>
  <r>
    <x v="0"/>
    <x v="1"/>
    <x v="7"/>
    <x v="13"/>
    <x v="17"/>
    <x v="14"/>
    <x v="0"/>
    <n v="12"/>
  </r>
  <r>
    <x v="0"/>
    <x v="1"/>
    <x v="7"/>
    <x v="13"/>
    <x v="17"/>
    <x v="14"/>
    <x v="18"/>
    <n v="9"/>
  </r>
  <r>
    <x v="0"/>
    <x v="1"/>
    <x v="7"/>
    <x v="13"/>
    <x v="17"/>
    <x v="13"/>
    <x v="0"/>
    <n v="10"/>
  </r>
  <r>
    <x v="0"/>
    <x v="1"/>
    <x v="7"/>
    <x v="13"/>
    <x v="17"/>
    <x v="13"/>
    <x v="18"/>
    <n v="6"/>
  </r>
  <r>
    <x v="0"/>
    <x v="1"/>
    <x v="7"/>
    <x v="13"/>
    <x v="17"/>
    <x v="2"/>
    <x v="0"/>
    <n v="1"/>
  </r>
  <r>
    <x v="0"/>
    <x v="1"/>
    <x v="7"/>
    <x v="18"/>
    <x v="8"/>
    <x v="0"/>
    <x v="19"/>
    <n v="2"/>
  </r>
  <r>
    <x v="0"/>
    <x v="1"/>
    <x v="7"/>
    <x v="16"/>
    <x v="19"/>
    <x v="0"/>
    <x v="18"/>
    <n v="1"/>
  </r>
  <r>
    <x v="0"/>
    <x v="1"/>
    <x v="7"/>
    <x v="17"/>
    <x v="9"/>
    <x v="15"/>
    <x v="17"/>
    <n v="1"/>
  </r>
  <r>
    <x v="0"/>
    <x v="1"/>
    <x v="7"/>
    <x v="17"/>
    <x v="9"/>
    <x v="15"/>
    <x v="19"/>
    <n v="22"/>
  </r>
  <r>
    <x v="0"/>
    <x v="1"/>
    <x v="7"/>
    <x v="17"/>
    <x v="9"/>
    <x v="14"/>
    <x v="17"/>
    <n v="1"/>
  </r>
  <r>
    <x v="0"/>
    <x v="1"/>
    <x v="7"/>
    <x v="17"/>
    <x v="9"/>
    <x v="14"/>
    <x v="19"/>
    <n v="18"/>
  </r>
  <r>
    <x v="0"/>
    <x v="1"/>
    <x v="7"/>
    <x v="17"/>
    <x v="9"/>
    <x v="13"/>
    <x v="11"/>
    <n v="1"/>
  </r>
  <r>
    <x v="0"/>
    <x v="1"/>
    <x v="7"/>
    <x v="17"/>
    <x v="9"/>
    <x v="13"/>
    <x v="17"/>
    <n v="3"/>
  </r>
  <r>
    <x v="0"/>
    <x v="1"/>
    <x v="7"/>
    <x v="17"/>
    <x v="9"/>
    <x v="13"/>
    <x v="19"/>
    <n v="11"/>
  </r>
  <r>
    <x v="0"/>
    <x v="1"/>
    <x v="7"/>
    <x v="17"/>
    <x v="9"/>
    <x v="10"/>
    <x v="13"/>
    <n v="1"/>
  </r>
  <r>
    <x v="0"/>
    <x v="1"/>
    <x v="7"/>
    <x v="19"/>
    <x v="7"/>
    <x v="17"/>
    <x v="11"/>
    <n v="1"/>
  </r>
  <r>
    <x v="0"/>
    <x v="1"/>
    <x v="7"/>
    <x v="19"/>
    <x v="7"/>
    <x v="17"/>
    <x v="18"/>
    <n v="1"/>
  </r>
  <r>
    <x v="0"/>
    <x v="1"/>
    <x v="7"/>
    <x v="19"/>
    <x v="7"/>
    <x v="19"/>
    <x v="17"/>
    <n v="5"/>
  </r>
  <r>
    <x v="0"/>
    <x v="1"/>
    <x v="7"/>
    <x v="19"/>
    <x v="7"/>
    <x v="19"/>
    <x v="19"/>
    <n v="1"/>
  </r>
  <r>
    <x v="0"/>
    <x v="1"/>
    <x v="7"/>
    <x v="19"/>
    <x v="7"/>
    <x v="16"/>
    <x v="2"/>
    <n v="25"/>
  </r>
  <r>
    <x v="0"/>
    <x v="1"/>
    <x v="7"/>
    <x v="19"/>
    <x v="7"/>
    <x v="16"/>
    <x v="13"/>
    <n v="23"/>
  </r>
  <r>
    <x v="0"/>
    <x v="1"/>
    <x v="7"/>
    <x v="19"/>
    <x v="7"/>
    <x v="16"/>
    <x v="11"/>
    <n v="20"/>
  </r>
  <r>
    <x v="0"/>
    <x v="1"/>
    <x v="7"/>
    <x v="19"/>
    <x v="7"/>
    <x v="15"/>
    <x v="4"/>
    <n v="2"/>
  </r>
  <r>
    <x v="0"/>
    <x v="1"/>
    <x v="7"/>
    <x v="19"/>
    <x v="7"/>
    <x v="15"/>
    <x v="5"/>
    <n v="16"/>
  </r>
  <r>
    <x v="0"/>
    <x v="1"/>
    <x v="7"/>
    <x v="19"/>
    <x v="7"/>
    <x v="15"/>
    <x v="2"/>
    <n v="9"/>
  </r>
  <r>
    <x v="0"/>
    <x v="1"/>
    <x v="7"/>
    <x v="19"/>
    <x v="7"/>
    <x v="14"/>
    <x v="4"/>
    <n v="1"/>
  </r>
  <r>
    <x v="0"/>
    <x v="1"/>
    <x v="7"/>
    <x v="19"/>
    <x v="7"/>
    <x v="14"/>
    <x v="0"/>
    <n v="1"/>
  </r>
  <r>
    <x v="0"/>
    <x v="1"/>
    <x v="7"/>
    <x v="19"/>
    <x v="7"/>
    <x v="13"/>
    <x v="0"/>
    <n v="3"/>
  </r>
  <r>
    <x v="0"/>
    <x v="2"/>
    <x v="0"/>
    <x v="2"/>
    <x v="6"/>
    <x v="12"/>
    <x v="9"/>
    <n v="1"/>
  </r>
  <r>
    <x v="0"/>
    <x v="2"/>
    <x v="0"/>
    <x v="8"/>
    <x v="10"/>
    <x v="11"/>
    <x v="7"/>
    <n v="1"/>
  </r>
  <r>
    <x v="0"/>
    <x v="2"/>
    <x v="0"/>
    <x v="8"/>
    <x v="10"/>
    <x v="0"/>
    <x v="5"/>
    <n v="2"/>
  </r>
  <r>
    <x v="0"/>
    <x v="2"/>
    <x v="0"/>
    <x v="8"/>
    <x v="10"/>
    <x v="0"/>
    <x v="2"/>
    <n v="1"/>
  </r>
  <r>
    <x v="0"/>
    <x v="2"/>
    <x v="0"/>
    <x v="11"/>
    <x v="8"/>
    <x v="5"/>
    <x v="6"/>
    <n v="1"/>
  </r>
  <r>
    <x v="0"/>
    <x v="2"/>
    <x v="0"/>
    <x v="11"/>
    <x v="8"/>
    <x v="11"/>
    <x v="7"/>
    <n v="2"/>
  </r>
  <r>
    <x v="0"/>
    <x v="2"/>
    <x v="0"/>
    <x v="11"/>
    <x v="8"/>
    <x v="6"/>
    <x v="7"/>
    <n v="1"/>
  </r>
  <r>
    <x v="0"/>
    <x v="2"/>
    <x v="0"/>
    <x v="13"/>
    <x v="17"/>
    <x v="4"/>
    <x v="3"/>
    <n v="1"/>
  </r>
  <r>
    <x v="0"/>
    <x v="2"/>
    <x v="0"/>
    <x v="14"/>
    <x v="16"/>
    <x v="4"/>
    <x v="15"/>
    <n v="1"/>
  </r>
  <r>
    <x v="0"/>
    <x v="2"/>
    <x v="0"/>
    <x v="19"/>
    <x v="7"/>
    <x v="13"/>
    <x v="16"/>
    <n v="9"/>
  </r>
  <r>
    <x v="0"/>
    <x v="2"/>
    <x v="0"/>
    <x v="19"/>
    <x v="7"/>
    <x v="13"/>
    <x v="7"/>
    <n v="1"/>
  </r>
  <r>
    <x v="0"/>
    <x v="2"/>
    <x v="0"/>
    <x v="19"/>
    <x v="7"/>
    <x v="2"/>
    <x v="7"/>
    <n v="1"/>
  </r>
  <r>
    <x v="0"/>
    <x v="2"/>
    <x v="0"/>
    <x v="19"/>
    <x v="7"/>
    <x v="3"/>
    <x v="15"/>
    <n v="1"/>
  </r>
  <r>
    <x v="0"/>
    <x v="2"/>
    <x v="1"/>
    <x v="6"/>
    <x v="8"/>
    <x v="17"/>
    <x v="4"/>
    <n v="1"/>
  </r>
  <r>
    <x v="0"/>
    <x v="2"/>
    <x v="1"/>
    <x v="6"/>
    <x v="8"/>
    <x v="16"/>
    <x v="2"/>
    <n v="1"/>
  </r>
  <r>
    <x v="0"/>
    <x v="2"/>
    <x v="1"/>
    <x v="9"/>
    <x v="10"/>
    <x v="4"/>
    <x v="4"/>
    <n v="1"/>
  </r>
  <r>
    <x v="0"/>
    <x v="2"/>
    <x v="1"/>
    <x v="8"/>
    <x v="7"/>
    <x v="17"/>
    <x v="19"/>
    <n v="6"/>
  </r>
  <r>
    <x v="0"/>
    <x v="2"/>
    <x v="1"/>
    <x v="14"/>
    <x v="16"/>
    <x v="13"/>
    <x v="10"/>
    <n v="1"/>
  </r>
  <r>
    <x v="0"/>
    <x v="2"/>
    <x v="1"/>
    <x v="19"/>
    <x v="7"/>
    <x v="14"/>
    <x v="9"/>
    <n v="2"/>
  </r>
  <r>
    <x v="0"/>
    <x v="2"/>
    <x v="1"/>
    <x v="19"/>
    <x v="7"/>
    <x v="14"/>
    <x v="3"/>
    <n v="1"/>
  </r>
  <r>
    <x v="0"/>
    <x v="2"/>
    <x v="1"/>
    <x v="19"/>
    <x v="7"/>
    <x v="2"/>
    <x v="9"/>
    <n v="1"/>
  </r>
  <r>
    <x v="0"/>
    <x v="2"/>
    <x v="1"/>
    <x v="19"/>
    <x v="7"/>
    <x v="4"/>
    <x v="1"/>
    <n v="1"/>
  </r>
  <r>
    <x v="0"/>
    <x v="2"/>
    <x v="2"/>
    <x v="2"/>
    <x v="12"/>
    <x v="0"/>
    <x v="19"/>
    <n v="5"/>
  </r>
  <r>
    <x v="0"/>
    <x v="2"/>
    <x v="2"/>
    <x v="8"/>
    <x v="10"/>
    <x v="0"/>
    <x v="11"/>
    <n v="1"/>
  </r>
  <r>
    <x v="0"/>
    <x v="2"/>
    <x v="2"/>
    <x v="11"/>
    <x v="7"/>
    <x v="0"/>
    <x v="14"/>
    <n v="1"/>
  </r>
  <r>
    <x v="0"/>
    <x v="2"/>
    <x v="2"/>
    <x v="11"/>
    <x v="7"/>
    <x v="0"/>
    <x v="19"/>
    <n v="1"/>
  </r>
  <r>
    <x v="0"/>
    <x v="2"/>
    <x v="2"/>
    <x v="11"/>
    <x v="9"/>
    <x v="0"/>
    <x v="19"/>
    <n v="5"/>
  </r>
  <r>
    <x v="0"/>
    <x v="2"/>
    <x v="2"/>
    <x v="12"/>
    <x v="3"/>
    <x v="0"/>
    <x v="19"/>
    <n v="1"/>
  </r>
  <r>
    <x v="0"/>
    <x v="2"/>
    <x v="2"/>
    <x v="14"/>
    <x v="14"/>
    <x v="0"/>
    <x v="19"/>
    <n v="29"/>
  </r>
  <r>
    <x v="0"/>
    <x v="2"/>
    <x v="3"/>
    <x v="12"/>
    <x v="14"/>
    <x v="0"/>
    <x v="19"/>
    <n v="1"/>
  </r>
  <r>
    <x v="0"/>
    <x v="2"/>
    <x v="3"/>
    <x v="18"/>
    <x v="13"/>
    <x v="0"/>
    <x v="11"/>
    <n v="1"/>
  </r>
  <r>
    <x v="0"/>
    <x v="2"/>
    <x v="3"/>
    <x v="19"/>
    <x v="0"/>
    <x v="0"/>
    <x v="19"/>
    <n v="1"/>
  </r>
  <r>
    <x v="0"/>
    <x v="2"/>
    <x v="4"/>
    <x v="2"/>
    <x v="6"/>
    <x v="0"/>
    <x v="12"/>
    <n v="2"/>
  </r>
  <r>
    <x v="0"/>
    <x v="2"/>
    <x v="4"/>
    <x v="2"/>
    <x v="6"/>
    <x v="0"/>
    <x v="3"/>
    <n v="4"/>
  </r>
  <r>
    <x v="0"/>
    <x v="2"/>
    <x v="4"/>
    <x v="2"/>
    <x v="6"/>
    <x v="0"/>
    <x v="5"/>
    <n v="1"/>
  </r>
  <r>
    <x v="0"/>
    <x v="2"/>
    <x v="4"/>
    <x v="3"/>
    <x v="0"/>
    <x v="0"/>
    <x v="11"/>
    <n v="1"/>
  </r>
  <r>
    <x v="0"/>
    <x v="2"/>
    <x v="4"/>
    <x v="6"/>
    <x v="9"/>
    <x v="0"/>
    <x v="17"/>
    <n v="1"/>
  </r>
  <r>
    <x v="0"/>
    <x v="2"/>
    <x v="4"/>
    <x v="6"/>
    <x v="9"/>
    <x v="0"/>
    <x v="19"/>
    <n v="2"/>
  </r>
  <r>
    <x v="0"/>
    <x v="2"/>
    <x v="4"/>
    <x v="11"/>
    <x v="12"/>
    <x v="0"/>
    <x v="13"/>
    <n v="1"/>
  </r>
  <r>
    <x v="0"/>
    <x v="2"/>
    <x v="4"/>
    <x v="11"/>
    <x v="14"/>
    <x v="1"/>
    <x v="11"/>
    <n v="1"/>
  </r>
  <r>
    <x v="0"/>
    <x v="2"/>
    <x v="4"/>
    <x v="14"/>
    <x v="16"/>
    <x v="6"/>
    <x v="9"/>
    <n v="1"/>
  </r>
  <r>
    <x v="0"/>
    <x v="2"/>
    <x v="4"/>
    <x v="14"/>
    <x v="16"/>
    <x v="9"/>
    <x v="10"/>
    <n v="1"/>
  </r>
  <r>
    <x v="0"/>
    <x v="2"/>
    <x v="4"/>
    <x v="18"/>
    <x v="12"/>
    <x v="0"/>
    <x v="5"/>
    <n v="1"/>
  </r>
  <r>
    <x v="0"/>
    <x v="2"/>
    <x v="4"/>
    <x v="18"/>
    <x v="12"/>
    <x v="0"/>
    <x v="2"/>
    <n v="1"/>
  </r>
  <r>
    <x v="0"/>
    <x v="2"/>
    <x v="4"/>
    <x v="18"/>
    <x v="12"/>
    <x v="0"/>
    <x v="13"/>
    <n v="1"/>
  </r>
  <r>
    <x v="0"/>
    <x v="2"/>
    <x v="4"/>
    <x v="18"/>
    <x v="14"/>
    <x v="0"/>
    <x v="3"/>
    <n v="1"/>
  </r>
  <r>
    <x v="0"/>
    <x v="2"/>
    <x v="4"/>
    <x v="18"/>
    <x v="14"/>
    <x v="0"/>
    <x v="18"/>
    <n v="1"/>
  </r>
  <r>
    <x v="0"/>
    <x v="2"/>
    <x v="4"/>
    <x v="17"/>
    <x v="2"/>
    <x v="12"/>
    <x v="14"/>
    <n v="1"/>
  </r>
  <r>
    <x v="0"/>
    <x v="2"/>
    <x v="5"/>
    <x v="5"/>
    <x v="6"/>
    <x v="16"/>
    <x v="19"/>
    <n v="1"/>
  </r>
  <r>
    <x v="0"/>
    <x v="2"/>
    <x v="5"/>
    <x v="5"/>
    <x v="6"/>
    <x v="15"/>
    <x v="19"/>
    <n v="1"/>
  </r>
  <r>
    <x v="0"/>
    <x v="2"/>
    <x v="5"/>
    <x v="5"/>
    <x v="6"/>
    <x v="14"/>
    <x v="19"/>
    <n v="1"/>
  </r>
  <r>
    <x v="0"/>
    <x v="2"/>
    <x v="5"/>
    <x v="8"/>
    <x v="13"/>
    <x v="15"/>
    <x v="19"/>
    <n v="1"/>
  </r>
  <r>
    <x v="0"/>
    <x v="2"/>
    <x v="5"/>
    <x v="8"/>
    <x v="7"/>
    <x v="18"/>
    <x v="19"/>
    <n v="1"/>
  </r>
  <r>
    <x v="0"/>
    <x v="2"/>
    <x v="5"/>
    <x v="8"/>
    <x v="7"/>
    <x v="19"/>
    <x v="19"/>
    <n v="1"/>
  </r>
  <r>
    <x v="0"/>
    <x v="2"/>
    <x v="5"/>
    <x v="8"/>
    <x v="18"/>
    <x v="11"/>
    <x v="19"/>
    <n v="5"/>
  </r>
  <r>
    <x v="0"/>
    <x v="2"/>
    <x v="5"/>
    <x v="8"/>
    <x v="18"/>
    <x v="6"/>
    <x v="19"/>
    <n v="3"/>
  </r>
  <r>
    <x v="0"/>
    <x v="2"/>
    <x v="5"/>
    <x v="8"/>
    <x v="18"/>
    <x v="9"/>
    <x v="19"/>
    <n v="5"/>
  </r>
  <r>
    <x v="0"/>
    <x v="2"/>
    <x v="5"/>
    <x v="8"/>
    <x v="18"/>
    <x v="12"/>
    <x v="19"/>
    <n v="2"/>
  </r>
  <r>
    <x v="0"/>
    <x v="2"/>
    <x v="5"/>
    <x v="8"/>
    <x v="18"/>
    <x v="1"/>
    <x v="19"/>
    <n v="2"/>
  </r>
  <r>
    <x v="0"/>
    <x v="2"/>
    <x v="5"/>
    <x v="8"/>
    <x v="18"/>
    <x v="0"/>
    <x v="19"/>
    <n v="3"/>
  </r>
  <r>
    <x v="0"/>
    <x v="2"/>
    <x v="5"/>
    <x v="11"/>
    <x v="9"/>
    <x v="8"/>
    <x v="19"/>
    <n v="1"/>
  </r>
  <r>
    <x v="0"/>
    <x v="2"/>
    <x v="5"/>
    <x v="13"/>
    <x v="17"/>
    <x v="14"/>
    <x v="19"/>
    <n v="12"/>
  </r>
  <r>
    <x v="0"/>
    <x v="2"/>
    <x v="5"/>
    <x v="13"/>
    <x v="17"/>
    <x v="13"/>
    <x v="19"/>
    <n v="6"/>
  </r>
  <r>
    <x v="0"/>
    <x v="2"/>
    <x v="5"/>
    <x v="13"/>
    <x v="17"/>
    <x v="2"/>
    <x v="19"/>
    <n v="2"/>
  </r>
  <r>
    <x v="0"/>
    <x v="2"/>
    <x v="5"/>
    <x v="13"/>
    <x v="17"/>
    <x v="3"/>
    <x v="18"/>
    <n v="1"/>
  </r>
  <r>
    <x v="0"/>
    <x v="2"/>
    <x v="5"/>
    <x v="13"/>
    <x v="17"/>
    <x v="11"/>
    <x v="18"/>
    <n v="1"/>
  </r>
  <r>
    <x v="0"/>
    <x v="2"/>
    <x v="5"/>
    <x v="17"/>
    <x v="2"/>
    <x v="4"/>
    <x v="19"/>
    <n v="1"/>
  </r>
  <r>
    <x v="0"/>
    <x v="2"/>
    <x v="5"/>
    <x v="17"/>
    <x v="2"/>
    <x v="5"/>
    <x v="19"/>
    <n v="1"/>
  </r>
  <r>
    <x v="0"/>
    <x v="2"/>
    <x v="5"/>
    <x v="17"/>
    <x v="2"/>
    <x v="11"/>
    <x v="19"/>
    <n v="1"/>
  </r>
  <r>
    <x v="0"/>
    <x v="2"/>
    <x v="6"/>
    <x v="0"/>
    <x v="12"/>
    <x v="17"/>
    <x v="19"/>
    <n v="4"/>
  </r>
  <r>
    <x v="0"/>
    <x v="2"/>
    <x v="6"/>
    <x v="0"/>
    <x v="12"/>
    <x v="16"/>
    <x v="19"/>
    <n v="2"/>
  </r>
  <r>
    <x v="0"/>
    <x v="2"/>
    <x v="6"/>
    <x v="0"/>
    <x v="12"/>
    <x v="15"/>
    <x v="19"/>
    <n v="2"/>
  </r>
  <r>
    <x v="0"/>
    <x v="2"/>
    <x v="6"/>
    <x v="0"/>
    <x v="12"/>
    <x v="14"/>
    <x v="19"/>
    <n v="2"/>
  </r>
  <r>
    <x v="0"/>
    <x v="2"/>
    <x v="6"/>
    <x v="3"/>
    <x v="8"/>
    <x v="17"/>
    <x v="19"/>
    <n v="2"/>
  </r>
  <r>
    <x v="0"/>
    <x v="2"/>
    <x v="7"/>
    <x v="0"/>
    <x v="12"/>
    <x v="16"/>
    <x v="19"/>
    <n v="2"/>
  </r>
  <r>
    <x v="0"/>
    <x v="2"/>
    <x v="7"/>
    <x v="3"/>
    <x v="8"/>
    <x v="17"/>
    <x v="19"/>
    <n v="1"/>
  </r>
  <r>
    <x v="0"/>
    <x v="2"/>
    <x v="7"/>
    <x v="17"/>
    <x v="9"/>
    <x v="2"/>
    <x v="19"/>
    <n v="1"/>
  </r>
  <r>
    <x v="0"/>
    <x v="2"/>
    <x v="7"/>
    <x v="19"/>
    <x v="7"/>
    <x v="15"/>
    <x v="14"/>
    <n v="1"/>
  </r>
  <r>
    <x v="0"/>
    <x v="3"/>
    <x v="0"/>
    <x v="0"/>
    <x v="1"/>
    <x v="11"/>
    <x v="8"/>
    <n v="3"/>
  </r>
  <r>
    <x v="0"/>
    <x v="3"/>
    <x v="0"/>
    <x v="0"/>
    <x v="1"/>
    <x v="1"/>
    <x v="12"/>
    <n v="1"/>
  </r>
  <r>
    <x v="0"/>
    <x v="3"/>
    <x v="0"/>
    <x v="0"/>
    <x v="1"/>
    <x v="1"/>
    <x v="4"/>
    <n v="1"/>
  </r>
  <r>
    <x v="0"/>
    <x v="3"/>
    <x v="0"/>
    <x v="0"/>
    <x v="1"/>
    <x v="0"/>
    <x v="1"/>
    <n v="2"/>
  </r>
  <r>
    <x v="0"/>
    <x v="3"/>
    <x v="0"/>
    <x v="0"/>
    <x v="1"/>
    <x v="0"/>
    <x v="9"/>
    <n v="1"/>
  </r>
  <r>
    <x v="0"/>
    <x v="3"/>
    <x v="0"/>
    <x v="1"/>
    <x v="2"/>
    <x v="3"/>
    <x v="5"/>
    <n v="1"/>
  </r>
  <r>
    <x v="0"/>
    <x v="3"/>
    <x v="0"/>
    <x v="2"/>
    <x v="6"/>
    <x v="9"/>
    <x v="10"/>
    <n v="4"/>
  </r>
  <r>
    <x v="0"/>
    <x v="3"/>
    <x v="0"/>
    <x v="2"/>
    <x v="6"/>
    <x v="9"/>
    <x v="12"/>
    <n v="2"/>
  </r>
  <r>
    <x v="0"/>
    <x v="3"/>
    <x v="0"/>
    <x v="2"/>
    <x v="6"/>
    <x v="12"/>
    <x v="10"/>
    <n v="2"/>
  </r>
  <r>
    <x v="0"/>
    <x v="3"/>
    <x v="0"/>
    <x v="2"/>
    <x v="6"/>
    <x v="1"/>
    <x v="6"/>
    <n v="2"/>
  </r>
  <r>
    <x v="0"/>
    <x v="3"/>
    <x v="0"/>
    <x v="2"/>
    <x v="6"/>
    <x v="0"/>
    <x v="6"/>
    <n v="1"/>
  </r>
  <r>
    <x v="0"/>
    <x v="3"/>
    <x v="0"/>
    <x v="2"/>
    <x v="6"/>
    <x v="0"/>
    <x v="10"/>
    <n v="3"/>
  </r>
  <r>
    <x v="0"/>
    <x v="3"/>
    <x v="0"/>
    <x v="2"/>
    <x v="6"/>
    <x v="0"/>
    <x v="1"/>
    <n v="2"/>
  </r>
  <r>
    <x v="0"/>
    <x v="3"/>
    <x v="0"/>
    <x v="3"/>
    <x v="0"/>
    <x v="0"/>
    <x v="5"/>
    <n v="1"/>
  </r>
  <r>
    <x v="0"/>
    <x v="3"/>
    <x v="0"/>
    <x v="4"/>
    <x v="8"/>
    <x v="10"/>
    <x v="15"/>
    <n v="2"/>
  </r>
  <r>
    <x v="0"/>
    <x v="3"/>
    <x v="0"/>
    <x v="4"/>
    <x v="8"/>
    <x v="5"/>
    <x v="10"/>
    <n v="1"/>
  </r>
  <r>
    <x v="0"/>
    <x v="3"/>
    <x v="0"/>
    <x v="4"/>
    <x v="8"/>
    <x v="12"/>
    <x v="6"/>
    <n v="1"/>
  </r>
  <r>
    <x v="0"/>
    <x v="3"/>
    <x v="0"/>
    <x v="4"/>
    <x v="8"/>
    <x v="12"/>
    <x v="10"/>
    <n v="1"/>
  </r>
  <r>
    <x v="0"/>
    <x v="3"/>
    <x v="0"/>
    <x v="4"/>
    <x v="8"/>
    <x v="12"/>
    <x v="1"/>
    <n v="1"/>
  </r>
  <r>
    <x v="0"/>
    <x v="3"/>
    <x v="0"/>
    <x v="4"/>
    <x v="8"/>
    <x v="1"/>
    <x v="10"/>
    <n v="1"/>
  </r>
  <r>
    <x v="0"/>
    <x v="3"/>
    <x v="0"/>
    <x v="5"/>
    <x v="9"/>
    <x v="0"/>
    <x v="5"/>
    <n v="1"/>
  </r>
  <r>
    <x v="0"/>
    <x v="3"/>
    <x v="0"/>
    <x v="5"/>
    <x v="9"/>
    <x v="0"/>
    <x v="2"/>
    <n v="3"/>
  </r>
  <r>
    <x v="0"/>
    <x v="3"/>
    <x v="0"/>
    <x v="5"/>
    <x v="9"/>
    <x v="0"/>
    <x v="13"/>
    <n v="2"/>
  </r>
  <r>
    <x v="0"/>
    <x v="3"/>
    <x v="0"/>
    <x v="5"/>
    <x v="10"/>
    <x v="5"/>
    <x v="7"/>
    <n v="1"/>
  </r>
  <r>
    <x v="0"/>
    <x v="3"/>
    <x v="0"/>
    <x v="5"/>
    <x v="10"/>
    <x v="0"/>
    <x v="4"/>
    <n v="1"/>
  </r>
  <r>
    <x v="0"/>
    <x v="3"/>
    <x v="0"/>
    <x v="7"/>
    <x v="12"/>
    <x v="0"/>
    <x v="4"/>
    <n v="1"/>
  </r>
  <r>
    <x v="0"/>
    <x v="3"/>
    <x v="0"/>
    <x v="7"/>
    <x v="13"/>
    <x v="7"/>
    <x v="10"/>
    <n v="1"/>
  </r>
  <r>
    <x v="0"/>
    <x v="3"/>
    <x v="0"/>
    <x v="8"/>
    <x v="10"/>
    <x v="3"/>
    <x v="15"/>
    <n v="1"/>
  </r>
  <r>
    <x v="0"/>
    <x v="3"/>
    <x v="0"/>
    <x v="8"/>
    <x v="10"/>
    <x v="3"/>
    <x v="8"/>
    <n v="6"/>
  </r>
  <r>
    <x v="0"/>
    <x v="3"/>
    <x v="0"/>
    <x v="8"/>
    <x v="10"/>
    <x v="3"/>
    <x v="4"/>
    <n v="1"/>
  </r>
  <r>
    <x v="0"/>
    <x v="3"/>
    <x v="0"/>
    <x v="8"/>
    <x v="10"/>
    <x v="4"/>
    <x v="8"/>
    <n v="1"/>
  </r>
  <r>
    <x v="0"/>
    <x v="3"/>
    <x v="0"/>
    <x v="8"/>
    <x v="10"/>
    <x v="5"/>
    <x v="9"/>
    <n v="1"/>
  </r>
  <r>
    <x v="0"/>
    <x v="3"/>
    <x v="0"/>
    <x v="8"/>
    <x v="10"/>
    <x v="5"/>
    <x v="3"/>
    <n v="1"/>
  </r>
  <r>
    <x v="0"/>
    <x v="3"/>
    <x v="0"/>
    <x v="8"/>
    <x v="10"/>
    <x v="11"/>
    <x v="12"/>
    <n v="2"/>
  </r>
  <r>
    <x v="0"/>
    <x v="3"/>
    <x v="0"/>
    <x v="8"/>
    <x v="10"/>
    <x v="11"/>
    <x v="9"/>
    <n v="1"/>
  </r>
  <r>
    <x v="0"/>
    <x v="3"/>
    <x v="0"/>
    <x v="8"/>
    <x v="10"/>
    <x v="11"/>
    <x v="3"/>
    <n v="1"/>
  </r>
  <r>
    <x v="0"/>
    <x v="3"/>
    <x v="0"/>
    <x v="8"/>
    <x v="10"/>
    <x v="11"/>
    <x v="4"/>
    <n v="1"/>
  </r>
  <r>
    <x v="0"/>
    <x v="3"/>
    <x v="0"/>
    <x v="8"/>
    <x v="10"/>
    <x v="9"/>
    <x v="9"/>
    <n v="2"/>
  </r>
  <r>
    <x v="0"/>
    <x v="3"/>
    <x v="0"/>
    <x v="8"/>
    <x v="10"/>
    <x v="9"/>
    <x v="3"/>
    <n v="1"/>
  </r>
  <r>
    <x v="0"/>
    <x v="3"/>
    <x v="0"/>
    <x v="8"/>
    <x v="10"/>
    <x v="9"/>
    <x v="4"/>
    <n v="1"/>
  </r>
  <r>
    <x v="0"/>
    <x v="3"/>
    <x v="0"/>
    <x v="8"/>
    <x v="10"/>
    <x v="12"/>
    <x v="1"/>
    <n v="2"/>
  </r>
  <r>
    <x v="0"/>
    <x v="3"/>
    <x v="0"/>
    <x v="8"/>
    <x v="10"/>
    <x v="12"/>
    <x v="12"/>
    <n v="4"/>
  </r>
  <r>
    <x v="0"/>
    <x v="3"/>
    <x v="0"/>
    <x v="8"/>
    <x v="10"/>
    <x v="12"/>
    <x v="9"/>
    <n v="2"/>
  </r>
  <r>
    <x v="0"/>
    <x v="3"/>
    <x v="0"/>
    <x v="8"/>
    <x v="10"/>
    <x v="12"/>
    <x v="3"/>
    <n v="3"/>
  </r>
  <r>
    <x v="0"/>
    <x v="3"/>
    <x v="0"/>
    <x v="8"/>
    <x v="10"/>
    <x v="7"/>
    <x v="4"/>
    <n v="2"/>
  </r>
  <r>
    <x v="0"/>
    <x v="3"/>
    <x v="0"/>
    <x v="8"/>
    <x v="10"/>
    <x v="7"/>
    <x v="2"/>
    <n v="1"/>
  </r>
  <r>
    <x v="0"/>
    <x v="3"/>
    <x v="0"/>
    <x v="8"/>
    <x v="10"/>
    <x v="7"/>
    <x v="11"/>
    <n v="2"/>
  </r>
  <r>
    <x v="0"/>
    <x v="3"/>
    <x v="0"/>
    <x v="8"/>
    <x v="10"/>
    <x v="7"/>
    <x v="14"/>
    <n v="2"/>
  </r>
  <r>
    <x v="0"/>
    <x v="3"/>
    <x v="0"/>
    <x v="8"/>
    <x v="10"/>
    <x v="1"/>
    <x v="1"/>
    <n v="1"/>
  </r>
  <r>
    <x v="0"/>
    <x v="3"/>
    <x v="0"/>
    <x v="8"/>
    <x v="10"/>
    <x v="1"/>
    <x v="12"/>
    <n v="1"/>
  </r>
  <r>
    <x v="0"/>
    <x v="3"/>
    <x v="0"/>
    <x v="8"/>
    <x v="10"/>
    <x v="1"/>
    <x v="9"/>
    <n v="7"/>
  </r>
  <r>
    <x v="0"/>
    <x v="3"/>
    <x v="0"/>
    <x v="8"/>
    <x v="10"/>
    <x v="8"/>
    <x v="3"/>
    <n v="4"/>
  </r>
  <r>
    <x v="0"/>
    <x v="3"/>
    <x v="0"/>
    <x v="8"/>
    <x v="10"/>
    <x v="8"/>
    <x v="4"/>
    <n v="1"/>
  </r>
  <r>
    <x v="0"/>
    <x v="3"/>
    <x v="0"/>
    <x v="8"/>
    <x v="10"/>
    <x v="0"/>
    <x v="12"/>
    <n v="1"/>
  </r>
  <r>
    <x v="0"/>
    <x v="3"/>
    <x v="0"/>
    <x v="8"/>
    <x v="11"/>
    <x v="11"/>
    <x v="7"/>
    <n v="1"/>
  </r>
  <r>
    <x v="0"/>
    <x v="3"/>
    <x v="0"/>
    <x v="10"/>
    <x v="16"/>
    <x v="6"/>
    <x v="1"/>
    <n v="1"/>
  </r>
  <r>
    <x v="0"/>
    <x v="3"/>
    <x v="0"/>
    <x v="10"/>
    <x v="16"/>
    <x v="9"/>
    <x v="6"/>
    <n v="1"/>
  </r>
  <r>
    <x v="0"/>
    <x v="3"/>
    <x v="0"/>
    <x v="10"/>
    <x v="16"/>
    <x v="1"/>
    <x v="10"/>
    <n v="1"/>
  </r>
  <r>
    <x v="0"/>
    <x v="3"/>
    <x v="0"/>
    <x v="11"/>
    <x v="0"/>
    <x v="5"/>
    <x v="6"/>
    <n v="1"/>
  </r>
  <r>
    <x v="0"/>
    <x v="3"/>
    <x v="0"/>
    <x v="11"/>
    <x v="0"/>
    <x v="11"/>
    <x v="6"/>
    <n v="1"/>
  </r>
  <r>
    <x v="0"/>
    <x v="3"/>
    <x v="0"/>
    <x v="11"/>
    <x v="0"/>
    <x v="6"/>
    <x v="6"/>
    <n v="1"/>
  </r>
  <r>
    <x v="0"/>
    <x v="3"/>
    <x v="0"/>
    <x v="11"/>
    <x v="0"/>
    <x v="12"/>
    <x v="6"/>
    <n v="1"/>
  </r>
  <r>
    <x v="0"/>
    <x v="3"/>
    <x v="0"/>
    <x v="11"/>
    <x v="0"/>
    <x v="1"/>
    <x v="7"/>
    <n v="1"/>
  </r>
  <r>
    <x v="0"/>
    <x v="3"/>
    <x v="0"/>
    <x v="11"/>
    <x v="0"/>
    <x v="0"/>
    <x v="6"/>
    <n v="1"/>
  </r>
  <r>
    <x v="0"/>
    <x v="3"/>
    <x v="0"/>
    <x v="11"/>
    <x v="8"/>
    <x v="13"/>
    <x v="16"/>
    <n v="3"/>
  </r>
  <r>
    <x v="0"/>
    <x v="3"/>
    <x v="0"/>
    <x v="11"/>
    <x v="8"/>
    <x v="2"/>
    <x v="7"/>
    <n v="1"/>
  </r>
  <r>
    <x v="0"/>
    <x v="3"/>
    <x v="0"/>
    <x v="11"/>
    <x v="8"/>
    <x v="10"/>
    <x v="8"/>
    <n v="3"/>
  </r>
  <r>
    <x v="0"/>
    <x v="3"/>
    <x v="0"/>
    <x v="11"/>
    <x v="8"/>
    <x v="3"/>
    <x v="8"/>
    <n v="14"/>
  </r>
  <r>
    <x v="0"/>
    <x v="3"/>
    <x v="0"/>
    <x v="11"/>
    <x v="8"/>
    <x v="3"/>
    <x v="7"/>
    <n v="4"/>
  </r>
  <r>
    <x v="0"/>
    <x v="3"/>
    <x v="0"/>
    <x v="11"/>
    <x v="8"/>
    <x v="4"/>
    <x v="8"/>
    <n v="49"/>
  </r>
  <r>
    <x v="0"/>
    <x v="3"/>
    <x v="0"/>
    <x v="11"/>
    <x v="8"/>
    <x v="5"/>
    <x v="8"/>
    <n v="44"/>
  </r>
  <r>
    <x v="0"/>
    <x v="3"/>
    <x v="0"/>
    <x v="11"/>
    <x v="8"/>
    <x v="5"/>
    <x v="5"/>
    <n v="1"/>
  </r>
  <r>
    <x v="0"/>
    <x v="3"/>
    <x v="0"/>
    <x v="11"/>
    <x v="8"/>
    <x v="11"/>
    <x v="8"/>
    <n v="29"/>
  </r>
  <r>
    <x v="0"/>
    <x v="3"/>
    <x v="0"/>
    <x v="11"/>
    <x v="8"/>
    <x v="11"/>
    <x v="4"/>
    <n v="1"/>
  </r>
  <r>
    <x v="0"/>
    <x v="3"/>
    <x v="0"/>
    <x v="11"/>
    <x v="8"/>
    <x v="6"/>
    <x v="8"/>
    <n v="5"/>
  </r>
  <r>
    <x v="0"/>
    <x v="3"/>
    <x v="0"/>
    <x v="11"/>
    <x v="8"/>
    <x v="9"/>
    <x v="9"/>
    <n v="1"/>
  </r>
  <r>
    <x v="0"/>
    <x v="3"/>
    <x v="0"/>
    <x v="11"/>
    <x v="8"/>
    <x v="7"/>
    <x v="7"/>
    <n v="1"/>
  </r>
  <r>
    <x v="0"/>
    <x v="3"/>
    <x v="0"/>
    <x v="13"/>
    <x v="17"/>
    <x v="14"/>
    <x v="2"/>
    <n v="1"/>
  </r>
  <r>
    <x v="0"/>
    <x v="3"/>
    <x v="0"/>
    <x v="13"/>
    <x v="17"/>
    <x v="13"/>
    <x v="4"/>
    <n v="3"/>
  </r>
  <r>
    <x v="0"/>
    <x v="3"/>
    <x v="0"/>
    <x v="13"/>
    <x v="17"/>
    <x v="13"/>
    <x v="5"/>
    <n v="4"/>
  </r>
  <r>
    <x v="0"/>
    <x v="3"/>
    <x v="0"/>
    <x v="13"/>
    <x v="17"/>
    <x v="2"/>
    <x v="12"/>
    <n v="2"/>
  </r>
  <r>
    <x v="0"/>
    <x v="3"/>
    <x v="0"/>
    <x v="13"/>
    <x v="17"/>
    <x v="2"/>
    <x v="9"/>
    <n v="1"/>
  </r>
  <r>
    <x v="0"/>
    <x v="3"/>
    <x v="0"/>
    <x v="13"/>
    <x v="17"/>
    <x v="2"/>
    <x v="3"/>
    <n v="4"/>
  </r>
  <r>
    <x v="0"/>
    <x v="3"/>
    <x v="0"/>
    <x v="13"/>
    <x v="17"/>
    <x v="2"/>
    <x v="4"/>
    <n v="2"/>
  </r>
  <r>
    <x v="0"/>
    <x v="3"/>
    <x v="0"/>
    <x v="13"/>
    <x v="17"/>
    <x v="2"/>
    <x v="2"/>
    <n v="1"/>
  </r>
  <r>
    <x v="0"/>
    <x v="3"/>
    <x v="0"/>
    <x v="13"/>
    <x v="17"/>
    <x v="10"/>
    <x v="12"/>
    <n v="1"/>
  </r>
  <r>
    <x v="0"/>
    <x v="3"/>
    <x v="0"/>
    <x v="13"/>
    <x v="17"/>
    <x v="10"/>
    <x v="9"/>
    <n v="2"/>
  </r>
  <r>
    <x v="0"/>
    <x v="3"/>
    <x v="0"/>
    <x v="13"/>
    <x v="17"/>
    <x v="10"/>
    <x v="3"/>
    <n v="2"/>
  </r>
  <r>
    <x v="0"/>
    <x v="3"/>
    <x v="0"/>
    <x v="13"/>
    <x v="17"/>
    <x v="10"/>
    <x v="5"/>
    <n v="1"/>
  </r>
  <r>
    <x v="0"/>
    <x v="3"/>
    <x v="0"/>
    <x v="13"/>
    <x v="17"/>
    <x v="3"/>
    <x v="15"/>
    <n v="3"/>
  </r>
  <r>
    <x v="0"/>
    <x v="3"/>
    <x v="0"/>
    <x v="13"/>
    <x v="17"/>
    <x v="3"/>
    <x v="9"/>
    <n v="1"/>
  </r>
  <r>
    <x v="0"/>
    <x v="3"/>
    <x v="0"/>
    <x v="13"/>
    <x v="17"/>
    <x v="3"/>
    <x v="4"/>
    <n v="1"/>
  </r>
  <r>
    <x v="0"/>
    <x v="3"/>
    <x v="0"/>
    <x v="13"/>
    <x v="17"/>
    <x v="4"/>
    <x v="3"/>
    <n v="2"/>
  </r>
  <r>
    <x v="0"/>
    <x v="3"/>
    <x v="0"/>
    <x v="13"/>
    <x v="17"/>
    <x v="5"/>
    <x v="1"/>
    <n v="1"/>
  </r>
  <r>
    <x v="0"/>
    <x v="3"/>
    <x v="0"/>
    <x v="13"/>
    <x v="17"/>
    <x v="5"/>
    <x v="12"/>
    <n v="1"/>
  </r>
  <r>
    <x v="0"/>
    <x v="3"/>
    <x v="0"/>
    <x v="13"/>
    <x v="17"/>
    <x v="5"/>
    <x v="9"/>
    <n v="1"/>
  </r>
  <r>
    <x v="0"/>
    <x v="3"/>
    <x v="0"/>
    <x v="14"/>
    <x v="16"/>
    <x v="3"/>
    <x v="6"/>
    <n v="2"/>
  </r>
  <r>
    <x v="0"/>
    <x v="3"/>
    <x v="0"/>
    <x v="14"/>
    <x v="16"/>
    <x v="5"/>
    <x v="7"/>
    <n v="2"/>
  </r>
  <r>
    <x v="0"/>
    <x v="3"/>
    <x v="0"/>
    <x v="14"/>
    <x v="18"/>
    <x v="12"/>
    <x v="12"/>
    <n v="1"/>
  </r>
  <r>
    <x v="0"/>
    <x v="3"/>
    <x v="0"/>
    <x v="14"/>
    <x v="18"/>
    <x v="0"/>
    <x v="12"/>
    <n v="1"/>
  </r>
  <r>
    <x v="0"/>
    <x v="3"/>
    <x v="0"/>
    <x v="15"/>
    <x v="1"/>
    <x v="12"/>
    <x v="10"/>
    <n v="1"/>
  </r>
  <r>
    <x v="0"/>
    <x v="3"/>
    <x v="0"/>
    <x v="17"/>
    <x v="3"/>
    <x v="0"/>
    <x v="9"/>
    <n v="1"/>
  </r>
  <r>
    <x v="0"/>
    <x v="3"/>
    <x v="0"/>
    <x v="17"/>
    <x v="3"/>
    <x v="0"/>
    <x v="4"/>
    <n v="2"/>
  </r>
  <r>
    <x v="0"/>
    <x v="3"/>
    <x v="0"/>
    <x v="19"/>
    <x v="7"/>
    <x v="16"/>
    <x v="7"/>
    <n v="3"/>
  </r>
  <r>
    <x v="0"/>
    <x v="3"/>
    <x v="0"/>
    <x v="19"/>
    <x v="7"/>
    <x v="15"/>
    <x v="8"/>
    <n v="15"/>
  </r>
  <r>
    <x v="0"/>
    <x v="3"/>
    <x v="0"/>
    <x v="19"/>
    <x v="7"/>
    <x v="15"/>
    <x v="7"/>
    <n v="11"/>
  </r>
  <r>
    <x v="0"/>
    <x v="3"/>
    <x v="0"/>
    <x v="19"/>
    <x v="7"/>
    <x v="14"/>
    <x v="8"/>
    <n v="25"/>
  </r>
  <r>
    <x v="0"/>
    <x v="3"/>
    <x v="0"/>
    <x v="19"/>
    <x v="7"/>
    <x v="14"/>
    <x v="7"/>
    <n v="23"/>
  </r>
  <r>
    <x v="0"/>
    <x v="3"/>
    <x v="0"/>
    <x v="19"/>
    <x v="7"/>
    <x v="13"/>
    <x v="15"/>
    <n v="38"/>
  </r>
  <r>
    <x v="0"/>
    <x v="3"/>
    <x v="0"/>
    <x v="19"/>
    <x v="7"/>
    <x v="13"/>
    <x v="8"/>
    <n v="22"/>
  </r>
  <r>
    <x v="0"/>
    <x v="3"/>
    <x v="0"/>
    <x v="19"/>
    <x v="7"/>
    <x v="2"/>
    <x v="15"/>
    <n v="70"/>
  </r>
  <r>
    <x v="0"/>
    <x v="3"/>
    <x v="0"/>
    <x v="19"/>
    <x v="7"/>
    <x v="2"/>
    <x v="12"/>
    <n v="2"/>
  </r>
  <r>
    <x v="0"/>
    <x v="3"/>
    <x v="0"/>
    <x v="19"/>
    <x v="7"/>
    <x v="2"/>
    <x v="3"/>
    <n v="1"/>
  </r>
  <r>
    <x v="0"/>
    <x v="3"/>
    <x v="0"/>
    <x v="19"/>
    <x v="7"/>
    <x v="10"/>
    <x v="15"/>
    <n v="85"/>
  </r>
  <r>
    <x v="0"/>
    <x v="3"/>
    <x v="0"/>
    <x v="19"/>
    <x v="7"/>
    <x v="10"/>
    <x v="12"/>
    <n v="3"/>
  </r>
  <r>
    <x v="0"/>
    <x v="3"/>
    <x v="0"/>
    <x v="19"/>
    <x v="7"/>
    <x v="10"/>
    <x v="3"/>
    <n v="1"/>
  </r>
  <r>
    <x v="0"/>
    <x v="3"/>
    <x v="0"/>
    <x v="19"/>
    <x v="7"/>
    <x v="3"/>
    <x v="15"/>
    <n v="56"/>
  </r>
  <r>
    <x v="0"/>
    <x v="3"/>
    <x v="0"/>
    <x v="19"/>
    <x v="7"/>
    <x v="4"/>
    <x v="1"/>
    <n v="1"/>
  </r>
  <r>
    <x v="0"/>
    <x v="3"/>
    <x v="0"/>
    <x v="19"/>
    <x v="7"/>
    <x v="4"/>
    <x v="12"/>
    <n v="1"/>
  </r>
  <r>
    <x v="0"/>
    <x v="3"/>
    <x v="0"/>
    <x v="19"/>
    <x v="7"/>
    <x v="4"/>
    <x v="3"/>
    <n v="1"/>
  </r>
  <r>
    <x v="0"/>
    <x v="3"/>
    <x v="0"/>
    <x v="19"/>
    <x v="7"/>
    <x v="5"/>
    <x v="1"/>
    <n v="3"/>
  </r>
  <r>
    <x v="0"/>
    <x v="3"/>
    <x v="0"/>
    <x v="19"/>
    <x v="7"/>
    <x v="5"/>
    <x v="12"/>
    <n v="1"/>
  </r>
  <r>
    <x v="0"/>
    <x v="3"/>
    <x v="0"/>
    <x v="19"/>
    <x v="7"/>
    <x v="5"/>
    <x v="9"/>
    <n v="1"/>
  </r>
  <r>
    <x v="0"/>
    <x v="3"/>
    <x v="0"/>
    <x v="19"/>
    <x v="7"/>
    <x v="11"/>
    <x v="10"/>
    <n v="1"/>
  </r>
  <r>
    <x v="0"/>
    <x v="3"/>
    <x v="0"/>
    <x v="19"/>
    <x v="7"/>
    <x v="11"/>
    <x v="1"/>
    <n v="1"/>
  </r>
  <r>
    <x v="0"/>
    <x v="3"/>
    <x v="0"/>
    <x v="19"/>
    <x v="7"/>
    <x v="11"/>
    <x v="12"/>
    <n v="2"/>
  </r>
  <r>
    <x v="0"/>
    <x v="3"/>
    <x v="0"/>
    <x v="19"/>
    <x v="7"/>
    <x v="6"/>
    <x v="10"/>
    <n v="5"/>
  </r>
  <r>
    <x v="0"/>
    <x v="3"/>
    <x v="0"/>
    <x v="19"/>
    <x v="7"/>
    <x v="6"/>
    <x v="1"/>
    <n v="1"/>
  </r>
  <r>
    <x v="0"/>
    <x v="3"/>
    <x v="0"/>
    <x v="19"/>
    <x v="7"/>
    <x v="9"/>
    <x v="6"/>
    <n v="1"/>
  </r>
  <r>
    <x v="0"/>
    <x v="3"/>
    <x v="0"/>
    <x v="19"/>
    <x v="7"/>
    <x v="9"/>
    <x v="10"/>
    <n v="2"/>
  </r>
  <r>
    <x v="0"/>
    <x v="3"/>
    <x v="0"/>
    <x v="19"/>
    <x v="7"/>
    <x v="12"/>
    <x v="10"/>
    <n v="1"/>
  </r>
  <r>
    <x v="0"/>
    <x v="3"/>
    <x v="0"/>
    <x v="19"/>
    <x v="7"/>
    <x v="7"/>
    <x v="12"/>
    <n v="1"/>
  </r>
  <r>
    <x v="0"/>
    <x v="3"/>
    <x v="0"/>
    <x v="19"/>
    <x v="7"/>
    <x v="8"/>
    <x v="12"/>
    <n v="1"/>
  </r>
  <r>
    <x v="0"/>
    <x v="3"/>
    <x v="0"/>
    <x v="19"/>
    <x v="10"/>
    <x v="6"/>
    <x v="7"/>
    <n v="3"/>
  </r>
  <r>
    <x v="0"/>
    <x v="3"/>
    <x v="0"/>
    <x v="19"/>
    <x v="10"/>
    <x v="9"/>
    <x v="7"/>
    <n v="3"/>
  </r>
  <r>
    <x v="0"/>
    <x v="3"/>
    <x v="0"/>
    <x v="19"/>
    <x v="10"/>
    <x v="12"/>
    <x v="7"/>
    <n v="5"/>
  </r>
  <r>
    <x v="0"/>
    <x v="3"/>
    <x v="0"/>
    <x v="19"/>
    <x v="10"/>
    <x v="12"/>
    <x v="6"/>
    <n v="1"/>
  </r>
  <r>
    <x v="0"/>
    <x v="3"/>
    <x v="0"/>
    <x v="19"/>
    <x v="10"/>
    <x v="8"/>
    <x v="1"/>
    <n v="1"/>
  </r>
  <r>
    <x v="0"/>
    <x v="3"/>
    <x v="0"/>
    <x v="19"/>
    <x v="10"/>
    <x v="8"/>
    <x v="12"/>
    <n v="1"/>
  </r>
  <r>
    <x v="0"/>
    <x v="3"/>
    <x v="1"/>
    <x v="1"/>
    <x v="2"/>
    <x v="5"/>
    <x v="10"/>
    <n v="1"/>
  </r>
  <r>
    <x v="0"/>
    <x v="3"/>
    <x v="1"/>
    <x v="1"/>
    <x v="3"/>
    <x v="5"/>
    <x v="1"/>
    <n v="1"/>
  </r>
  <r>
    <x v="0"/>
    <x v="3"/>
    <x v="1"/>
    <x v="3"/>
    <x v="8"/>
    <x v="17"/>
    <x v="18"/>
    <n v="2"/>
  </r>
  <r>
    <x v="0"/>
    <x v="3"/>
    <x v="1"/>
    <x v="3"/>
    <x v="8"/>
    <x v="18"/>
    <x v="19"/>
    <n v="2"/>
  </r>
  <r>
    <x v="0"/>
    <x v="3"/>
    <x v="1"/>
    <x v="3"/>
    <x v="8"/>
    <x v="19"/>
    <x v="17"/>
    <n v="1"/>
  </r>
  <r>
    <x v="0"/>
    <x v="3"/>
    <x v="1"/>
    <x v="3"/>
    <x v="8"/>
    <x v="4"/>
    <x v="19"/>
    <n v="1"/>
  </r>
  <r>
    <x v="0"/>
    <x v="3"/>
    <x v="1"/>
    <x v="4"/>
    <x v="8"/>
    <x v="1"/>
    <x v="9"/>
    <n v="1"/>
  </r>
  <r>
    <x v="0"/>
    <x v="3"/>
    <x v="1"/>
    <x v="5"/>
    <x v="8"/>
    <x v="10"/>
    <x v="19"/>
    <n v="1"/>
  </r>
  <r>
    <x v="0"/>
    <x v="3"/>
    <x v="1"/>
    <x v="5"/>
    <x v="8"/>
    <x v="7"/>
    <x v="13"/>
    <n v="1"/>
  </r>
  <r>
    <x v="0"/>
    <x v="3"/>
    <x v="1"/>
    <x v="5"/>
    <x v="6"/>
    <x v="14"/>
    <x v="19"/>
    <n v="1"/>
  </r>
  <r>
    <x v="0"/>
    <x v="3"/>
    <x v="1"/>
    <x v="5"/>
    <x v="6"/>
    <x v="2"/>
    <x v="14"/>
    <n v="1"/>
  </r>
  <r>
    <x v="0"/>
    <x v="3"/>
    <x v="1"/>
    <x v="5"/>
    <x v="6"/>
    <x v="10"/>
    <x v="17"/>
    <n v="2"/>
  </r>
  <r>
    <x v="0"/>
    <x v="3"/>
    <x v="1"/>
    <x v="5"/>
    <x v="6"/>
    <x v="3"/>
    <x v="14"/>
    <n v="1"/>
  </r>
  <r>
    <x v="0"/>
    <x v="3"/>
    <x v="1"/>
    <x v="5"/>
    <x v="6"/>
    <x v="4"/>
    <x v="0"/>
    <n v="1"/>
  </r>
  <r>
    <x v="0"/>
    <x v="3"/>
    <x v="1"/>
    <x v="5"/>
    <x v="6"/>
    <x v="11"/>
    <x v="0"/>
    <n v="1"/>
  </r>
  <r>
    <x v="0"/>
    <x v="3"/>
    <x v="1"/>
    <x v="5"/>
    <x v="6"/>
    <x v="9"/>
    <x v="0"/>
    <n v="1"/>
  </r>
  <r>
    <x v="0"/>
    <x v="3"/>
    <x v="1"/>
    <x v="5"/>
    <x v="9"/>
    <x v="7"/>
    <x v="4"/>
    <n v="1"/>
  </r>
  <r>
    <x v="0"/>
    <x v="3"/>
    <x v="1"/>
    <x v="5"/>
    <x v="9"/>
    <x v="7"/>
    <x v="5"/>
    <n v="2"/>
  </r>
  <r>
    <x v="0"/>
    <x v="3"/>
    <x v="1"/>
    <x v="5"/>
    <x v="9"/>
    <x v="8"/>
    <x v="11"/>
    <n v="1"/>
  </r>
  <r>
    <x v="0"/>
    <x v="3"/>
    <x v="1"/>
    <x v="6"/>
    <x v="8"/>
    <x v="18"/>
    <x v="4"/>
    <n v="9"/>
  </r>
  <r>
    <x v="0"/>
    <x v="3"/>
    <x v="1"/>
    <x v="6"/>
    <x v="8"/>
    <x v="18"/>
    <x v="5"/>
    <n v="2"/>
  </r>
  <r>
    <x v="0"/>
    <x v="3"/>
    <x v="1"/>
    <x v="6"/>
    <x v="8"/>
    <x v="18"/>
    <x v="2"/>
    <n v="3"/>
  </r>
  <r>
    <x v="0"/>
    <x v="3"/>
    <x v="1"/>
    <x v="6"/>
    <x v="8"/>
    <x v="18"/>
    <x v="13"/>
    <n v="1"/>
  </r>
  <r>
    <x v="0"/>
    <x v="3"/>
    <x v="1"/>
    <x v="6"/>
    <x v="8"/>
    <x v="18"/>
    <x v="14"/>
    <n v="1"/>
  </r>
  <r>
    <x v="0"/>
    <x v="3"/>
    <x v="1"/>
    <x v="6"/>
    <x v="8"/>
    <x v="19"/>
    <x v="9"/>
    <n v="3"/>
  </r>
  <r>
    <x v="0"/>
    <x v="3"/>
    <x v="1"/>
    <x v="6"/>
    <x v="8"/>
    <x v="19"/>
    <x v="3"/>
    <n v="7"/>
  </r>
  <r>
    <x v="0"/>
    <x v="3"/>
    <x v="1"/>
    <x v="6"/>
    <x v="8"/>
    <x v="19"/>
    <x v="4"/>
    <n v="6"/>
  </r>
  <r>
    <x v="0"/>
    <x v="3"/>
    <x v="1"/>
    <x v="6"/>
    <x v="8"/>
    <x v="19"/>
    <x v="5"/>
    <n v="6"/>
  </r>
  <r>
    <x v="0"/>
    <x v="3"/>
    <x v="1"/>
    <x v="6"/>
    <x v="8"/>
    <x v="16"/>
    <x v="12"/>
    <n v="1"/>
  </r>
  <r>
    <x v="0"/>
    <x v="3"/>
    <x v="1"/>
    <x v="6"/>
    <x v="8"/>
    <x v="2"/>
    <x v="13"/>
    <n v="1"/>
  </r>
  <r>
    <x v="0"/>
    <x v="3"/>
    <x v="1"/>
    <x v="6"/>
    <x v="8"/>
    <x v="10"/>
    <x v="2"/>
    <n v="1"/>
  </r>
  <r>
    <x v="0"/>
    <x v="3"/>
    <x v="1"/>
    <x v="6"/>
    <x v="8"/>
    <x v="10"/>
    <x v="13"/>
    <n v="1"/>
  </r>
  <r>
    <x v="0"/>
    <x v="3"/>
    <x v="1"/>
    <x v="6"/>
    <x v="8"/>
    <x v="3"/>
    <x v="5"/>
    <n v="2"/>
  </r>
  <r>
    <x v="0"/>
    <x v="3"/>
    <x v="1"/>
    <x v="6"/>
    <x v="8"/>
    <x v="4"/>
    <x v="13"/>
    <n v="1"/>
  </r>
  <r>
    <x v="0"/>
    <x v="3"/>
    <x v="1"/>
    <x v="6"/>
    <x v="3"/>
    <x v="11"/>
    <x v="9"/>
    <n v="1"/>
  </r>
  <r>
    <x v="0"/>
    <x v="3"/>
    <x v="1"/>
    <x v="9"/>
    <x v="10"/>
    <x v="15"/>
    <x v="14"/>
    <n v="1"/>
  </r>
  <r>
    <x v="0"/>
    <x v="3"/>
    <x v="1"/>
    <x v="9"/>
    <x v="10"/>
    <x v="14"/>
    <x v="4"/>
    <n v="3"/>
  </r>
  <r>
    <x v="0"/>
    <x v="3"/>
    <x v="1"/>
    <x v="9"/>
    <x v="10"/>
    <x v="14"/>
    <x v="5"/>
    <n v="1"/>
  </r>
  <r>
    <x v="0"/>
    <x v="3"/>
    <x v="1"/>
    <x v="9"/>
    <x v="10"/>
    <x v="14"/>
    <x v="2"/>
    <n v="1"/>
  </r>
  <r>
    <x v="0"/>
    <x v="3"/>
    <x v="1"/>
    <x v="9"/>
    <x v="10"/>
    <x v="13"/>
    <x v="9"/>
    <n v="1"/>
  </r>
  <r>
    <x v="0"/>
    <x v="3"/>
    <x v="1"/>
    <x v="9"/>
    <x v="10"/>
    <x v="13"/>
    <x v="3"/>
    <n v="3"/>
  </r>
  <r>
    <x v="0"/>
    <x v="3"/>
    <x v="1"/>
    <x v="9"/>
    <x v="10"/>
    <x v="13"/>
    <x v="4"/>
    <n v="4"/>
  </r>
  <r>
    <x v="0"/>
    <x v="3"/>
    <x v="1"/>
    <x v="9"/>
    <x v="10"/>
    <x v="2"/>
    <x v="9"/>
    <n v="1"/>
  </r>
  <r>
    <x v="0"/>
    <x v="3"/>
    <x v="1"/>
    <x v="9"/>
    <x v="10"/>
    <x v="2"/>
    <x v="4"/>
    <n v="1"/>
  </r>
  <r>
    <x v="0"/>
    <x v="3"/>
    <x v="1"/>
    <x v="9"/>
    <x v="10"/>
    <x v="10"/>
    <x v="3"/>
    <n v="1"/>
  </r>
  <r>
    <x v="0"/>
    <x v="3"/>
    <x v="1"/>
    <x v="9"/>
    <x v="10"/>
    <x v="3"/>
    <x v="12"/>
    <n v="1"/>
  </r>
  <r>
    <x v="0"/>
    <x v="3"/>
    <x v="1"/>
    <x v="9"/>
    <x v="19"/>
    <x v="17"/>
    <x v="3"/>
    <n v="1"/>
  </r>
  <r>
    <x v="0"/>
    <x v="3"/>
    <x v="1"/>
    <x v="9"/>
    <x v="19"/>
    <x v="17"/>
    <x v="4"/>
    <n v="2"/>
  </r>
  <r>
    <x v="0"/>
    <x v="3"/>
    <x v="1"/>
    <x v="9"/>
    <x v="19"/>
    <x v="17"/>
    <x v="5"/>
    <n v="2"/>
  </r>
  <r>
    <x v="0"/>
    <x v="3"/>
    <x v="1"/>
    <x v="9"/>
    <x v="19"/>
    <x v="14"/>
    <x v="13"/>
    <n v="1"/>
  </r>
  <r>
    <x v="0"/>
    <x v="3"/>
    <x v="1"/>
    <x v="8"/>
    <x v="4"/>
    <x v="16"/>
    <x v="4"/>
    <n v="1"/>
  </r>
  <r>
    <x v="0"/>
    <x v="3"/>
    <x v="1"/>
    <x v="8"/>
    <x v="7"/>
    <x v="17"/>
    <x v="2"/>
    <n v="1"/>
  </r>
  <r>
    <x v="0"/>
    <x v="3"/>
    <x v="1"/>
    <x v="8"/>
    <x v="7"/>
    <x v="17"/>
    <x v="13"/>
    <n v="4"/>
  </r>
  <r>
    <x v="0"/>
    <x v="3"/>
    <x v="1"/>
    <x v="8"/>
    <x v="7"/>
    <x v="17"/>
    <x v="11"/>
    <n v="3"/>
  </r>
  <r>
    <x v="0"/>
    <x v="3"/>
    <x v="1"/>
    <x v="8"/>
    <x v="7"/>
    <x v="17"/>
    <x v="14"/>
    <n v="6"/>
  </r>
  <r>
    <x v="0"/>
    <x v="3"/>
    <x v="1"/>
    <x v="8"/>
    <x v="7"/>
    <x v="17"/>
    <x v="17"/>
    <n v="12"/>
  </r>
  <r>
    <x v="0"/>
    <x v="3"/>
    <x v="1"/>
    <x v="8"/>
    <x v="7"/>
    <x v="17"/>
    <x v="19"/>
    <n v="57"/>
  </r>
  <r>
    <x v="0"/>
    <x v="3"/>
    <x v="1"/>
    <x v="8"/>
    <x v="7"/>
    <x v="16"/>
    <x v="17"/>
    <n v="1"/>
  </r>
  <r>
    <x v="0"/>
    <x v="3"/>
    <x v="1"/>
    <x v="8"/>
    <x v="7"/>
    <x v="16"/>
    <x v="19"/>
    <n v="6"/>
  </r>
  <r>
    <x v="0"/>
    <x v="3"/>
    <x v="1"/>
    <x v="8"/>
    <x v="7"/>
    <x v="15"/>
    <x v="13"/>
    <n v="1"/>
  </r>
  <r>
    <x v="0"/>
    <x v="3"/>
    <x v="1"/>
    <x v="8"/>
    <x v="7"/>
    <x v="15"/>
    <x v="17"/>
    <n v="2"/>
  </r>
  <r>
    <x v="0"/>
    <x v="3"/>
    <x v="1"/>
    <x v="8"/>
    <x v="7"/>
    <x v="15"/>
    <x v="19"/>
    <n v="7"/>
  </r>
  <r>
    <x v="0"/>
    <x v="3"/>
    <x v="1"/>
    <x v="8"/>
    <x v="7"/>
    <x v="14"/>
    <x v="14"/>
    <n v="1"/>
  </r>
  <r>
    <x v="0"/>
    <x v="3"/>
    <x v="1"/>
    <x v="8"/>
    <x v="7"/>
    <x v="13"/>
    <x v="13"/>
    <n v="1"/>
  </r>
  <r>
    <x v="0"/>
    <x v="3"/>
    <x v="1"/>
    <x v="8"/>
    <x v="7"/>
    <x v="13"/>
    <x v="18"/>
    <n v="1"/>
  </r>
  <r>
    <x v="0"/>
    <x v="3"/>
    <x v="1"/>
    <x v="8"/>
    <x v="7"/>
    <x v="10"/>
    <x v="0"/>
    <n v="1"/>
  </r>
  <r>
    <x v="0"/>
    <x v="3"/>
    <x v="1"/>
    <x v="8"/>
    <x v="6"/>
    <x v="13"/>
    <x v="3"/>
    <n v="1"/>
  </r>
  <r>
    <x v="0"/>
    <x v="3"/>
    <x v="1"/>
    <x v="8"/>
    <x v="6"/>
    <x v="2"/>
    <x v="4"/>
    <n v="1"/>
  </r>
  <r>
    <x v="0"/>
    <x v="3"/>
    <x v="1"/>
    <x v="10"/>
    <x v="16"/>
    <x v="14"/>
    <x v="12"/>
    <n v="1"/>
  </r>
  <r>
    <x v="0"/>
    <x v="3"/>
    <x v="1"/>
    <x v="11"/>
    <x v="14"/>
    <x v="14"/>
    <x v="13"/>
    <n v="3"/>
  </r>
  <r>
    <x v="0"/>
    <x v="3"/>
    <x v="1"/>
    <x v="11"/>
    <x v="14"/>
    <x v="2"/>
    <x v="4"/>
    <n v="1"/>
  </r>
  <r>
    <x v="0"/>
    <x v="3"/>
    <x v="1"/>
    <x v="11"/>
    <x v="14"/>
    <x v="2"/>
    <x v="5"/>
    <n v="1"/>
  </r>
  <r>
    <x v="0"/>
    <x v="3"/>
    <x v="1"/>
    <x v="11"/>
    <x v="14"/>
    <x v="2"/>
    <x v="2"/>
    <n v="2"/>
  </r>
  <r>
    <x v="0"/>
    <x v="3"/>
    <x v="1"/>
    <x v="11"/>
    <x v="14"/>
    <x v="2"/>
    <x v="13"/>
    <n v="1"/>
  </r>
  <r>
    <x v="0"/>
    <x v="3"/>
    <x v="1"/>
    <x v="11"/>
    <x v="14"/>
    <x v="10"/>
    <x v="4"/>
    <n v="2"/>
  </r>
  <r>
    <x v="0"/>
    <x v="3"/>
    <x v="1"/>
    <x v="11"/>
    <x v="8"/>
    <x v="6"/>
    <x v="1"/>
    <n v="1"/>
  </r>
  <r>
    <x v="0"/>
    <x v="3"/>
    <x v="1"/>
    <x v="11"/>
    <x v="7"/>
    <x v="9"/>
    <x v="19"/>
    <n v="3"/>
  </r>
  <r>
    <x v="0"/>
    <x v="3"/>
    <x v="1"/>
    <x v="11"/>
    <x v="7"/>
    <x v="7"/>
    <x v="0"/>
    <n v="2"/>
  </r>
  <r>
    <x v="0"/>
    <x v="3"/>
    <x v="1"/>
    <x v="11"/>
    <x v="7"/>
    <x v="1"/>
    <x v="14"/>
    <n v="1"/>
  </r>
  <r>
    <x v="0"/>
    <x v="3"/>
    <x v="1"/>
    <x v="11"/>
    <x v="7"/>
    <x v="1"/>
    <x v="17"/>
    <n v="1"/>
  </r>
  <r>
    <x v="0"/>
    <x v="3"/>
    <x v="1"/>
    <x v="11"/>
    <x v="7"/>
    <x v="1"/>
    <x v="19"/>
    <n v="1"/>
  </r>
  <r>
    <x v="0"/>
    <x v="3"/>
    <x v="1"/>
    <x v="11"/>
    <x v="7"/>
    <x v="8"/>
    <x v="0"/>
    <n v="1"/>
  </r>
  <r>
    <x v="0"/>
    <x v="3"/>
    <x v="1"/>
    <x v="11"/>
    <x v="7"/>
    <x v="0"/>
    <x v="14"/>
    <n v="4"/>
  </r>
  <r>
    <x v="0"/>
    <x v="3"/>
    <x v="1"/>
    <x v="11"/>
    <x v="7"/>
    <x v="0"/>
    <x v="17"/>
    <n v="1"/>
  </r>
  <r>
    <x v="0"/>
    <x v="3"/>
    <x v="1"/>
    <x v="13"/>
    <x v="0"/>
    <x v="18"/>
    <x v="2"/>
    <n v="1"/>
  </r>
  <r>
    <x v="0"/>
    <x v="3"/>
    <x v="1"/>
    <x v="13"/>
    <x v="0"/>
    <x v="18"/>
    <x v="13"/>
    <n v="2"/>
  </r>
  <r>
    <x v="0"/>
    <x v="3"/>
    <x v="1"/>
    <x v="13"/>
    <x v="0"/>
    <x v="19"/>
    <x v="5"/>
    <n v="1"/>
  </r>
  <r>
    <x v="0"/>
    <x v="3"/>
    <x v="1"/>
    <x v="13"/>
    <x v="0"/>
    <x v="2"/>
    <x v="13"/>
    <n v="1"/>
  </r>
  <r>
    <x v="0"/>
    <x v="3"/>
    <x v="1"/>
    <x v="13"/>
    <x v="0"/>
    <x v="2"/>
    <x v="11"/>
    <n v="1"/>
  </r>
  <r>
    <x v="0"/>
    <x v="3"/>
    <x v="1"/>
    <x v="13"/>
    <x v="0"/>
    <x v="2"/>
    <x v="19"/>
    <n v="1"/>
  </r>
  <r>
    <x v="0"/>
    <x v="3"/>
    <x v="1"/>
    <x v="13"/>
    <x v="0"/>
    <x v="10"/>
    <x v="2"/>
    <n v="1"/>
  </r>
  <r>
    <x v="0"/>
    <x v="3"/>
    <x v="1"/>
    <x v="13"/>
    <x v="0"/>
    <x v="10"/>
    <x v="13"/>
    <n v="1"/>
  </r>
  <r>
    <x v="0"/>
    <x v="3"/>
    <x v="1"/>
    <x v="13"/>
    <x v="0"/>
    <x v="10"/>
    <x v="14"/>
    <n v="1"/>
  </r>
  <r>
    <x v="0"/>
    <x v="3"/>
    <x v="1"/>
    <x v="13"/>
    <x v="0"/>
    <x v="10"/>
    <x v="17"/>
    <n v="3"/>
  </r>
  <r>
    <x v="0"/>
    <x v="3"/>
    <x v="1"/>
    <x v="13"/>
    <x v="0"/>
    <x v="3"/>
    <x v="5"/>
    <n v="1"/>
  </r>
  <r>
    <x v="0"/>
    <x v="3"/>
    <x v="1"/>
    <x v="13"/>
    <x v="0"/>
    <x v="3"/>
    <x v="11"/>
    <n v="1"/>
  </r>
  <r>
    <x v="0"/>
    <x v="3"/>
    <x v="1"/>
    <x v="13"/>
    <x v="0"/>
    <x v="4"/>
    <x v="11"/>
    <n v="1"/>
  </r>
  <r>
    <x v="0"/>
    <x v="3"/>
    <x v="1"/>
    <x v="13"/>
    <x v="0"/>
    <x v="4"/>
    <x v="14"/>
    <n v="2"/>
  </r>
  <r>
    <x v="0"/>
    <x v="3"/>
    <x v="1"/>
    <x v="13"/>
    <x v="0"/>
    <x v="11"/>
    <x v="13"/>
    <n v="1"/>
  </r>
  <r>
    <x v="0"/>
    <x v="3"/>
    <x v="1"/>
    <x v="13"/>
    <x v="0"/>
    <x v="9"/>
    <x v="0"/>
    <n v="1"/>
  </r>
  <r>
    <x v="0"/>
    <x v="3"/>
    <x v="1"/>
    <x v="13"/>
    <x v="16"/>
    <x v="9"/>
    <x v="3"/>
    <n v="1"/>
  </r>
  <r>
    <x v="0"/>
    <x v="3"/>
    <x v="1"/>
    <x v="13"/>
    <x v="16"/>
    <x v="9"/>
    <x v="4"/>
    <n v="1"/>
  </r>
  <r>
    <x v="0"/>
    <x v="3"/>
    <x v="1"/>
    <x v="13"/>
    <x v="17"/>
    <x v="11"/>
    <x v="11"/>
    <n v="1"/>
  </r>
  <r>
    <x v="0"/>
    <x v="3"/>
    <x v="1"/>
    <x v="14"/>
    <x v="16"/>
    <x v="2"/>
    <x v="11"/>
    <n v="1"/>
  </r>
  <r>
    <x v="0"/>
    <x v="3"/>
    <x v="1"/>
    <x v="14"/>
    <x v="16"/>
    <x v="5"/>
    <x v="2"/>
    <n v="1"/>
  </r>
  <r>
    <x v="0"/>
    <x v="3"/>
    <x v="1"/>
    <x v="14"/>
    <x v="16"/>
    <x v="9"/>
    <x v="9"/>
    <n v="1"/>
  </r>
  <r>
    <x v="0"/>
    <x v="3"/>
    <x v="1"/>
    <x v="14"/>
    <x v="18"/>
    <x v="14"/>
    <x v="3"/>
    <n v="1"/>
  </r>
  <r>
    <x v="0"/>
    <x v="3"/>
    <x v="1"/>
    <x v="14"/>
    <x v="18"/>
    <x v="2"/>
    <x v="9"/>
    <n v="1"/>
  </r>
  <r>
    <x v="0"/>
    <x v="3"/>
    <x v="1"/>
    <x v="14"/>
    <x v="18"/>
    <x v="3"/>
    <x v="1"/>
    <n v="1"/>
  </r>
  <r>
    <x v="0"/>
    <x v="3"/>
    <x v="1"/>
    <x v="14"/>
    <x v="18"/>
    <x v="4"/>
    <x v="1"/>
    <n v="1"/>
  </r>
  <r>
    <x v="0"/>
    <x v="3"/>
    <x v="1"/>
    <x v="14"/>
    <x v="18"/>
    <x v="5"/>
    <x v="10"/>
    <n v="1"/>
  </r>
  <r>
    <x v="0"/>
    <x v="3"/>
    <x v="1"/>
    <x v="14"/>
    <x v="18"/>
    <x v="5"/>
    <x v="1"/>
    <n v="1"/>
  </r>
  <r>
    <x v="0"/>
    <x v="3"/>
    <x v="1"/>
    <x v="14"/>
    <x v="18"/>
    <x v="7"/>
    <x v="3"/>
    <n v="1"/>
  </r>
  <r>
    <x v="0"/>
    <x v="3"/>
    <x v="1"/>
    <x v="16"/>
    <x v="14"/>
    <x v="0"/>
    <x v="11"/>
    <n v="1"/>
  </r>
  <r>
    <x v="0"/>
    <x v="3"/>
    <x v="1"/>
    <x v="19"/>
    <x v="7"/>
    <x v="17"/>
    <x v="1"/>
    <n v="4"/>
  </r>
  <r>
    <x v="0"/>
    <x v="3"/>
    <x v="1"/>
    <x v="19"/>
    <x v="7"/>
    <x v="17"/>
    <x v="12"/>
    <n v="22"/>
  </r>
  <r>
    <x v="0"/>
    <x v="3"/>
    <x v="1"/>
    <x v="19"/>
    <x v="7"/>
    <x v="17"/>
    <x v="9"/>
    <n v="7"/>
  </r>
  <r>
    <x v="0"/>
    <x v="3"/>
    <x v="1"/>
    <x v="19"/>
    <x v="7"/>
    <x v="17"/>
    <x v="3"/>
    <n v="1"/>
  </r>
  <r>
    <x v="0"/>
    <x v="3"/>
    <x v="1"/>
    <x v="19"/>
    <x v="7"/>
    <x v="19"/>
    <x v="2"/>
    <n v="3"/>
  </r>
  <r>
    <x v="0"/>
    <x v="3"/>
    <x v="1"/>
    <x v="19"/>
    <x v="7"/>
    <x v="19"/>
    <x v="14"/>
    <n v="1"/>
  </r>
  <r>
    <x v="0"/>
    <x v="3"/>
    <x v="1"/>
    <x v="19"/>
    <x v="7"/>
    <x v="16"/>
    <x v="12"/>
    <n v="11"/>
  </r>
  <r>
    <x v="0"/>
    <x v="3"/>
    <x v="1"/>
    <x v="19"/>
    <x v="7"/>
    <x v="16"/>
    <x v="9"/>
    <n v="10"/>
  </r>
  <r>
    <x v="0"/>
    <x v="3"/>
    <x v="1"/>
    <x v="19"/>
    <x v="7"/>
    <x v="16"/>
    <x v="3"/>
    <n v="2"/>
  </r>
  <r>
    <x v="0"/>
    <x v="3"/>
    <x v="1"/>
    <x v="19"/>
    <x v="7"/>
    <x v="16"/>
    <x v="4"/>
    <n v="1"/>
  </r>
  <r>
    <x v="0"/>
    <x v="3"/>
    <x v="1"/>
    <x v="19"/>
    <x v="7"/>
    <x v="16"/>
    <x v="5"/>
    <n v="1"/>
  </r>
  <r>
    <x v="0"/>
    <x v="3"/>
    <x v="1"/>
    <x v="19"/>
    <x v="7"/>
    <x v="16"/>
    <x v="2"/>
    <n v="1"/>
  </r>
  <r>
    <x v="0"/>
    <x v="3"/>
    <x v="1"/>
    <x v="19"/>
    <x v="7"/>
    <x v="15"/>
    <x v="12"/>
    <n v="9"/>
  </r>
  <r>
    <x v="0"/>
    <x v="3"/>
    <x v="1"/>
    <x v="19"/>
    <x v="7"/>
    <x v="15"/>
    <x v="9"/>
    <n v="10"/>
  </r>
  <r>
    <x v="0"/>
    <x v="3"/>
    <x v="1"/>
    <x v="19"/>
    <x v="7"/>
    <x v="15"/>
    <x v="3"/>
    <n v="3"/>
  </r>
  <r>
    <x v="0"/>
    <x v="3"/>
    <x v="1"/>
    <x v="19"/>
    <x v="7"/>
    <x v="14"/>
    <x v="1"/>
    <n v="19"/>
  </r>
  <r>
    <x v="0"/>
    <x v="3"/>
    <x v="1"/>
    <x v="19"/>
    <x v="7"/>
    <x v="14"/>
    <x v="12"/>
    <n v="11"/>
  </r>
  <r>
    <x v="0"/>
    <x v="3"/>
    <x v="1"/>
    <x v="19"/>
    <x v="7"/>
    <x v="14"/>
    <x v="9"/>
    <n v="9"/>
  </r>
  <r>
    <x v="0"/>
    <x v="3"/>
    <x v="1"/>
    <x v="19"/>
    <x v="7"/>
    <x v="13"/>
    <x v="10"/>
    <n v="9"/>
  </r>
  <r>
    <x v="0"/>
    <x v="3"/>
    <x v="1"/>
    <x v="19"/>
    <x v="7"/>
    <x v="13"/>
    <x v="1"/>
    <n v="15"/>
  </r>
  <r>
    <x v="0"/>
    <x v="3"/>
    <x v="1"/>
    <x v="19"/>
    <x v="7"/>
    <x v="2"/>
    <x v="6"/>
    <n v="1"/>
  </r>
  <r>
    <x v="0"/>
    <x v="3"/>
    <x v="1"/>
    <x v="19"/>
    <x v="7"/>
    <x v="2"/>
    <x v="10"/>
    <n v="8"/>
  </r>
  <r>
    <x v="0"/>
    <x v="3"/>
    <x v="1"/>
    <x v="19"/>
    <x v="7"/>
    <x v="10"/>
    <x v="10"/>
    <n v="4"/>
  </r>
  <r>
    <x v="0"/>
    <x v="3"/>
    <x v="1"/>
    <x v="19"/>
    <x v="7"/>
    <x v="12"/>
    <x v="4"/>
    <n v="1"/>
  </r>
  <r>
    <x v="0"/>
    <x v="3"/>
    <x v="2"/>
    <x v="1"/>
    <x v="15"/>
    <x v="0"/>
    <x v="19"/>
    <n v="1"/>
  </r>
  <r>
    <x v="0"/>
    <x v="3"/>
    <x v="2"/>
    <x v="2"/>
    <x v="2"/>
    <x v="0"/>
    <x v="18"/>
    <n v="1"/>
  </r>
  <r>
    <x v="0"/>
    <x v="3"/>
    <x v="2"/>
    <x v="2"/>
    <x v="1"/>
    <x v="0"/>
    <x v="19"/>
    <n v="28"/>
  </r>
  <r>
    <x v="0"/>
    <x v="3"/>
    <x v="2"/>
    <x v="3"/>
    <x v="0"/>
    <x v="0"/>
    <x v="11"/>
    <n v="8"/>
  </r>
  <r>
    <x v="0"/>
    <x v="3"/>
    <x v="2"/>
    <x v="3"/>
    <x v="0"/>
    <x v="0"/>
    <x v="14"/>
    <n v="16"/>
  </r>
  <r>
    <x v="0"/>
    <x v="3"/>
    <x v="2"/>
    <x v="3"/>
    <x v="0"/>
    <x v="0"/>
    <x v="17"/>
    <n v="10"/>
  </r>
  <r>
    <x v="0"/>
    <x v="3"/>
    <x v="2"/>
    <x v="3"/>
    <x v="0"/>
    <x v="0"/>
    <x v="19"/>
    <n v="17"/>
  </r>
  <r>
    <x v="0"/>
    <x v="3"/>
    <x v="2"/>
    <x v="4"/>
    <x v="14"/>
    <x v="0"/>
    <x v="3"/>
    <n v="1"/>
  </r>
  <r>
    <x v="0"/>
    <x v="3"/>
    <x v="2"/>
    <x v="5"/>
    <x v="0"/>
    <x v="0"/>
    <x v="4"/>
    <n v="2"/>
  </r>
  <r>
    <x v="0"/>
    <x v="3"/>
    <x v="2"/>
    <x v="5"/>
    <x v="16"/>
    <x v="0"/>
    <x v="13"/>
    <n v="1"/>
  </r>
  <r>
    <x v="0"/>
    <x v="3"/>
    <x v="2"/>
    <x v="5"/>
    <x v="16"/>
    <x v="0"/>
    <x v="11"/>
    <n v="1"/>
  </r>
  <r>
    <x v="0"/>
    <x v="3"/>
    <x v="2"/>
    <x v="8"/>
    <x v="16"/>
    <x v="0"/>
    <x v="9"/>
    <n v="1"/>
  </r>
  <r>
    <x v="0"/>
    <x v="3"/>
    <x v="2"/>
    <x v="8"/>
    <x v="10"/>
    <x v="0"/>
    <x v="0"/>
    <n v="1"/>
  </r>
  <r>
    <x v="0"/>
    <x v="3"/>
    <x v="2"/>
    <x v="8"/>
    <x v="18"/>
    <x v="0"/>
    <x v="19"/>
    <n v="27"/>
  </r>
  <r>
    <x v="0"/>
    <x v="3"/>
    <x v="2"/>
    <x v="10"/>
    <x v="3"/>
    <x v="0"/>
    <x v="2"/>
    <n v="3"/>
  </r>
  <r>
    <x v="0"/>
    <x v="3"/>
    <x v="2"/>
    <x v="10"/>
    <x v="3"/>
    <x v="0"/>
    <x v="13"/>
    <n v="1"/>
  </r>
  <r>
    <x v="0"/>
    <x v="3"/>
    <x v="2"/>
    <x v="11"/>
    <x v="7"/>
    <x v="8"/>
    <x v="19"/>
    <n v="1"/>
  </r>
  <r>
    <x v="0"/>
    <x v="3"/>
    <x v="2"/>
    <x v="11"/>
    <x v="7"/>
    <x v="0"/>
    <x v="18"/>
    <n v="1"/>
  </r>
  <r>
    <x v="0"/>
    <x v="3"/>
    <x v="2"/>
    <x v="11"/>
    <x v="9"/>
    <x v="8"/>
    <x v="19"/>
    <n v="1"/>
  </r>
  <r>
    <x v="0"/>
    <x v="3"/>
    <x v="2"/>
    <x v="11"/>
    <x v="9"/>
    <x v="0"/>
    <x v="0"/>
    <n v="1"/>
  </r>
  <r>
    <x v="0"/>
    <x v="3"/>
    <x v="2"/>
    <x v="11"/>
    <x v="17"/>
    <x v="0"/>
    <x v="0"/>
    <n v="1"/>
  </r>
  <r>
    <x v="0"/>
    <x v="3"/>
    <x v="2"/>
    <x v="12"/>
    <x v="15"/>
    <x v="0"/>
    <x v="2"/>
    <n v="1"/>
  </r>
  <r>
    <x v="0"/>
    <x v="3"/>
    <x v="2"/>
    <x v="12"/>
    <x v="15"/>
    <x v="0"/>
    <x v="11"/>
    <n v="1"/>
  </r>
  <r>
    <x v="0"/>
    <x v="3"/>
    <x v="2"/>
    <x v="12"/>
    <x v="3"/>
    <x v="8"/>
    <x v="19"/>
    <n v="1"/>
  </r>
  <r>
    <x v="0"/>
    <x v="3"/>
    <x v="2"/>
    <x v="13"/>
    <x v="5"/>
    <x v="0"/>
    <x v="19"/>
    <n v="58"/>
  </r>
  <r>
    <x v="0"/>
    <x v="3"/>
    <x v="2"/>
    <x v="18"/>
    <x v="0"/>
    <x v="0"/>
    <x v="19"/>
    <n v="1"/>
  </r>
  <r>
    <x v="0"/>
    <x v="3"/>
    <x v="2"/>
    <x v="15"/>
    <x v="12"/>
    <x v="0"/>
    <x v="11"/>
    <n v="1"/>
  </r>
  <r>
    <x v="0"/>
    <x v="3"/>
    <x v="2"/>
    <x v="17"/>
    <x v="3"/>
    <x v="0"/>
    <x v="14"/>
    <n v="1"/>
  </r>
  <r>
    <x v="0"/>
    <x v="3"/>
    <x v="2"/>
    <x v="17"/>
    <x v="3"/>
    <x v="0"/>
    <x v="19"/>
    <n v="1"/>
  </r>
  <r>
    <x v="0"/>
    <x v="3"/>
    <x v="2"/>
    <x v="17"/>
    <x v="11"/>
    <x v="8"/>
    <x v="2"/>
    <n v="1"/>
  </r>
  <r>
    <x v="0"/>
    <x v="3"/>
    <x v="2"/>
    <x v="19"/>
    <x v="10"/>
    <x v="0"/>
    <x v="10"/>
    <n v="3"/>
  </r>
  <r>
    <x v="0"/>
    <x v="3"/>
    <x v="3"/>
    <x v="0"/>
    <x v="14"/>
    <x v="12"/>
    <x v="10"/>
    <n v="1"/>
  </r>
  <r>
    <x v="0"/>
    <x v="3"/>
    <x v="3"/>
    <x v="0"/>
    <x v="14"/>
    <x v="1"/>
    <x v="1"/>
    <n v="1"/>
  </r>
  <r>
    <x v="0"/>
    <x v="3"/>
    <x v="3"/>
    <x v="1"/>
    <x v="0"/>
    <x v="12"/>
    <x v="6"/>
    <n v="1"/>
  </r>
  <r>
    <x v="0"/>
    <x v="3"/>
    <x v="3"/>
    <x v="1"/>
    <x v="5"/>
    <x v="0"/>
    <x v="19"/>
    <n v="1"/>
  </r>
  <r>
    <x v="0"/>
    <x v="3"/>
    <x v="3"/>
    <x v="1"/>
    <x v="7"/>
    <x v="1"/>
    <x v="4"/>
    <n v="1"/>
  </r>
  <r>
    <x v="0"/>
    <x v="3"/>
    <x v="3"/>
    <x v="1"/>
    <x v="7"/>
    <x v="0"/>
    <x v="4"/>
    <n v="1"/>
  </r>
  <r>
    <x v="0"/>
    <x v="3"/>
    <x v="3"/>
    <x v="1"/>
    <x v="7"/>
    <x v="0"/>
    <x v="5"/>
    <n v="1"/>
  </r>
  <r>
    <x v="0"/>
    <x v="3"/>
    <x v="3"/>
    <x v="3"/>
    <x v="1"/>
    <x v="0"/>
    <x v="4"/>
    <n v="1"/>
  </r>
  <r>
    <x v="0"/>
    <x v="3"/>
    <x v="3"/>
    <x v="7"/>
    <x v="15"/>
    <x v="0"/>
    <x v="2"/>
    <n v="1"/>
  </r>
  <r>
    <x v="0"/>
    <x v="3"/>
    <x v="3"/>
    <x v="11"/>
    <x v="0"/>
    <x v="0"/>
    <x v="7"/>
    <n v="1"/>
  </r>
  <r>
    <x v="0"/>
    <x v="3"/>
    <x v="3"/>
    <x v="11"/>
    <x v="0"/>
    <x v="0"/>
    <x v="6"/>
    <n v="2"/>
  </r>
  <r>
    <x v="0"/>
    <x v="3"/>
    <x v="3"/>
    <x v="11"/>
    <x v="0"/>
    <x v="0"/>
    <x v="10"/>
    <n v="2"/>
  </r>
  <r>
    <x v="0"/>
    <x v="3"/>
    <x v="3"/>
    <x v="11"/>
    <x v="8"/>
    <x v="3"/>
    <x v="6"/>
    <n v="1"/>
  </r>
  <r>
    <x v="0"/>
    <x v="3"/>
    <x v="3"/>
    <x v="11"/>
    <x v="8"/>
    <x v="5"/>
    <x v="7"/>
    <n v="2"/>
  </r>
  <r>
    <x v="0"/>
    <x v="3"/>
    <x v="3"/>
    <x v="11"/>
    <x v="8"/>
    <x v="11"/>
    <x v="8"/>
    <n v="1"/>
  </r>
  <r>
    <x v="0"/>
    <x v="3"/>
    <x v="3"/>
    <x v="15"/>
    <x v="9"/>
    <x v="0"/>
    <x v="2"/>
    <n v="1"/>
  </r>
  <r>
    <x v="0"/>
    <x v="3"/>
    <x v="3"/>
    <x v="19"/>
    <x v="12"/>
    <x v="0"/>
    <x v="1"/>
    <n v="2"/>
  </r>
  <r>
    <x v="0"/>
    <x v="3"/>
    <x v="3"/>
    <x v="19"/>
    <x v="12"/>
    <x v="0"/>
    <x v="12"/>
    <n v="1"/>
  </r>
  <r>
    <x v="0"/>
    <x v="3"/>
    <x v="3"/>
    <x v="19"/>
    <x v="11"/>
    <x v="0"/>
    <x v="3"/>
    <n v="1"/>
  </r>
  <r>
    <x v="0"/>
    <x v="3"/>
    <x v="3"/>
    <x v="19"/>
    <x v="18"/>
    <x v="0"/>
    <x v="12"/>
    <n v="2"/>
  </r>
  <r>
    <x v="0"/>
    <x v="3"/>
    <x v="4"/>
    <x v="0"/>
    <x v="1"/>
    <x v="6"/>
    <x v="8"/>
    <n v="2"/>
  </r>
  <r>
    <x v="0"/>
    <x v="3"/>
    <x v="4"/>
    <x v="0"/>
    <x v="1"/>
    <x v="7"/>
    <x v="7"/>
    <n v="4"/>
  </r>
  <r>
    <x v="0"/>
    <x v="3"/>
    <x v="4"/>
    <x v="0"/>
    <x v="1"/>
    <x v="0"/>
    <x v="12"/>
    <n v="6"/>
  </r>
  <r>
    <x v="0"/>
    <x v="3"/>
    <x v="4"/>
    <x v="0"/>
    <x v="1"/>
    <x v="0"/>
    <x v="9"/>
    <n v="6"/>
  </r>
  <r>
    <x v="0"/>
    <x v="3"/>
    <x v="4"/>
    <x v="0"/>
    <x v="1"/>
    <x v="0"/>
    <x v="4"/>
    <n v="2"/>
  </r>
  <r>
    <x v="0"/>
    <x v="3"/>
    <x v="4"/>
    <x v="0"/>
    <x v="8"/>
    <x v="0"/>
    <x v="17"/>
    <n v="1"/>
  </r>
  <r>
    <x v="0"/>
    <x v="3"/>
    <x v="4"/>
    <x v="0"/>
    <x v="10"/>
    <x v="0"/>
    <x v="2"/>
    <n v="1"/>
  </r>
  <r>
    <x v="0"/>
    <x v="3"/>
    <x v="4"/>
    <x v="0"/>
    <x v="19"/>
    <x v="9"/>
    <x v="8"/>
    <n v="1"/>
  </r>
  <r>
    <x v="0"/>
    <x v="3"/>
    <x v="4"/>
    <x v="0"/>
    <x v="19"/>
    <x v="7"/>
    <x v="10"/>
    <n v="1"/>
  </r>
  <r>
    <x v="0"/>
    <x v="3"/>
    <x v="4"/>
    <x v="1"/>
    <x v="0"/>
    <x v="1"/>
    <x v="6"/>
    <n v="1"/>
  </r>
  <r>
    <x v="0"/>
    <x v="3"/>
    <x v="4"/>
    <x v="1"/>
    <x v="11"/>
    <x v="0"/>
    <x v="3"/>
    <n v="2"/>
  </r>
  <r>
    <x v="0"/>
    <x v="3"/>
    <x v="4"/>
    <x v="1"/>
    <x v="11"/>
    <x v="0"/>
    <x v="4"/>
    <n v="2"/>
  </r>
  <r>
    <x v="0"/>
    <x v="3"/>
    <x v="4"/>
    <x v="1"/>
    <x v="11"/>
    <x v="0"/>
    <x v="5"/>
    <n v="3"/>
  </r>
  <r>
    <x v="0"/>
    <x v="3"/>
    <x v="4"/>
    <x v="1"/>
    <x v="11"/>
    <x v="0"/>
    <x v="11"/>
    <n v="1"/>
  </r>
  <r>
    <x v="0"/>
    <x v="3"/>
    <x v="4"/>
    <x v="2"/>
    <x v="15"/>
    <x v="0"/>
    <x v="1"/>
    <n v="1"/>
  </r>
  <r>
    <x v="0"/>
    <x v="3"/>
    <x v="4"/>
    <x v="2"/>
    <x v="6"/>
    <x v="6"/>
    <x v="12"/>
    <n v="2"/>
  </r>
  <r>
    <x v="0"/>
    <x v="3"/>
    <x v="4"/>
    <x v="2"/>
    <x v="6"/>
    <x v="9"/>
    <x v="1"/>
    <n v="3"/>
  </r>
  <r>
    <x v="0"/>
    <x v="3"/>
    <x v="4"/>
    <x v="2"/>
    <x v="6"/>
    <x v="9"/>
    <x v="12"/>
    <n v="1"/>
  </r>
  <r>
    <x v="0"/>
    <x v="3"/>
    <x v="4"/>
    <x v="2"/>
    <x v="6"/>
    <x v="9"/>
    <x v="9"/>
    <n v="2"/>
  </r>
  <r>
    <x v="0"/>
    <x v="3"/>
    <x v="4"/>
    <x v="2"/>
    <x v="6"/>
    <x v="12"/>
    <x v="10"/>
    <n v="2"/>
  </r>
  <r>
    <x v="0"/>
    <x v="3"/>
    <x v="4"/>
    <x v="2"/>
    <x v="6"/>
    <x v="12"/>
    <x v="1"/>
    <n v="1"/>
  </r>
  <r>
    <x v="0"/>
    <x v="3"/>
    <x v="4"/>
    <x v="2"/>
    <x v="6"/>
    <x v="7"/>
    <x v="9"/>
    <n v="2"/>
  </r>
  <r>
    <x v="0"/>
    <x v="3"/>
    <x v="4"/>
    <x v="2"/>
    <x v="6"/>
    <x v="7"/>
    <x v="4"/>
    <n v="1"/>
  </r>
  <r>
    <x v="0"/>
    <x v="3"/>
    <x v="4"/>
    <x v="2"/>
    <x v="6"/>
    <x v="7"/>
    <x v="2"/>
    <n v="2"/>
  </r>
  <r>
    <x v="0"/>
    <x v="3"/>
    <x v="4"/>
    <x v="2"/>
    <x v="6"/>
    <x v="1"/>
    <x v="10"/>
    <n v="6"/>
  </r>
  <r>
    <x v="0"/>
    <x v="3"/>
    <x v="4"/>
    <x v="2"/>
    <x v="6"/>
    <x v="1"/>
    <x v="1"/>
    <n v="3"/>
  </r>
  <r>
    <x v="0"/>
    <x v="3"/>
    <x v="4"/>
    <x v="2"/>
    <x v="6"/>
    <x v="8"/>
    <x v="12"/>
    <n v="2"/>
  </r>
  <r>
    <x v="0"/>
    <x v="3"/>
    <x v="4"/>
    <x v="2"/>
    <x v="6"/>
    <x v="8"/>
    <x v="3"/>
    <n v="2"/>
  </r>
  <r>
    <x v="0"/>
    <x v="3"/>
    <x v="4"/>
    <x v="2"/>
    <x v="6"/>
    <x v="0"/>
    <x v="6"/>
    <n v="1"/>
  </r>
  <r>
    <x v="0"/>
    <x v="3"/>
    <x v="4"/>
    <x v="2"/>
    <x v="6"/>
    <x v="0"/>
    <x v="10"/>
    <n v="26"/>
  </r>
  <r>
    <x v="0"/>
    <x v="3"/>
    <x v="4"/>
    <x v="2"/>
    <x v="6"/>
    <x v="0"/>
    <x v="1"/>
    <n v="44"/>
  </r>
  <r>
    <x v="0"/>
    <x v="3"/>
    <x v="4"/>
    <x v="3"/>
    <x v="0"/>
    <x v="0"/>
    <x v="3"/>
    <n v="1"/>
  </r>
  <r>
    <x v="0"/>
    <x v="3"/>
    <x v="4"/>
    <x v="3"/>
    <x v="0"/>
    <x v="0"/>
    <x v="4"/>
    <n v="1"/>
  </r>
  <r>
    <x v="0"/>
    <x v="3"/>
    <x v="4"/>
    <x v="3"/>
    <x v="0"/>
    <x v="0"/>
    <x v="5"/>
    <n v="1"/>
  </r>
  <r>
    <x v="0"/>
    <x v="3"/>
    <x v="4"/>
    <x v="3"/>
    <x v="0"/>
    <x v="0"/>
    <x v="2"/>
    <n v="2"/>
  </r>
  <r>
    <x v="0"/>
    <x v="3"/>
    <x v="4"/>
    <x v="3"/>
    <x v="0"/>
    <x v="0"/>
    <x v="13"/>
    <n v="6"/>
  </r>
  <r>
    <x v="0"/>
    <x v="3"/>
    <x v="4"/>
    <x v="3"/>
    <x v="0"/>
    <x v="0"/>
    <x v="11"/>
    <n v="3"/>
  </r>
  <r>
    <x v="0"/>
    <x v="3"/>
    <x v="4"/>
    <x v="3"/>
    <x v="0"/>
    <x v="0"/>
    <x v="0"/>
    <n v="1"/>
  </r>
  <r>
    <x v="0"/>
    <x v="3"/>
    <x v="4"/>
    <x v="4"/>
    <x v="1"/>
    <x v="7"/>
    <x v="8"/>
    <n v="3"/>
  </r>
  <r>
    <x v="0"/>
    <x v="3"/>
    <x v="4"/>
    <x v="4"/>
    <x v="1"/>
    <x v="7"/>
    <x v="6"/>
    <n v="1"/>
  </r>
  <r>
    <x v="0"/>
    <x v="3"/>
    <x v="4"/>
    <x v="4"/>
    <x v="1"/>
    <x v="8"/>
    <x v="7"/>
    <n v="10"/>
  </r>
  <r>
    <x v="0"/>
    <x v="3"/>
    <x v="4"/>
    <x v="4"/>
    <x v="1"/>
    <x v="0"/>
    <x v="12"/>
    <n v="7"/>
  </r>
  <r>
    <x v="0"/>
    <x v="3"/>
    <x v="4"/>
    <x v="4"/>
    <x v="1"/>
    <x v="0"/>
    <x v="9"/>
    <n v="1"/>
  </r>
  <r>
    <x v="0"/>
    <x v="3"/>
    <x v="4"/>
    <x v="4"/>
    <x v="1"/>
    <x v="0"/>
    <x v="3"/>
    <n v="1"/>
  </r>
  <r>
    <x v="0"/>
    <x v="3"/>
    <x v="4"/>
    <x v="5"/>
    <x v="5"/>
    <x v="5"/>
    <x v="9"/>
    <n v="1"/>
  </r>
  <r>
    <x v="0"/>
    <x v="3"/>
    <x v="4"/>
    <x v="5"/>
    <x v="5"/>
    <x v="5"/>
    <x v="3"/>
    <n v="1"/>
  </r>
  <r>
    <x v="0"/>
    <x v="3"/>
    <x v="4"/>
    <x v="5"/>
    <x v="5"/>
    <x v="12"/>
    <x v="1"/>
    <n v="1"/>
  </r>
  <r>
    <x v="0"/>
    <x v="3"/>
    <x v="4"/>
    <x v="5"/>
    <x v="5"/>
    <x v="8"/>
    <x v="3"/>
    <n v="1"/>
  </r>
  <r>
    <x v="0"/>
    <x v="3"/>
    <x v="4"/>
    <x v="5"/>
    <x v="9"/>
    <x v="0"/>
    <x v="5"/>
    <n v="3"/>
  </r>
  <r>
    <x v="0"/>
    <x v="3"/>
    <x v="4"/>
    <x v="5"/>
    <x v="9"/>
    <x v="0"/>
    <x v="2"/>
    <n v="2"/>
  </r>
  <r>
    <x v="0"/>
    <x v="3"/>
    <x v="4"/>
    <x v="6"/>
    <x v="17"/>
    <x v="0"/>
    <x v="9"/>
    <n v="1"/>
  </r>
  <r>
    <x v="0"/>
    <x v="3"/>
    <x v="4"/>
    <x v="9"/>
    <x v="10"/>
    <x v="12"/>
    <x v="3"/>
    <n v="1"/>
  </r>
  <r>
    <x v="0"/>
    <x v="3"/>
    <x v="4"/>
    <x v="7"/>
    <x v="12"/>
    <x v="0"/>
    <x v="3"/>
    <n v="6"/>
  </r>
  <r>
    <x v="0"/>
    <x v="3"/>
    <x v="4"/>
    <x v="7"/>
    <x v="12"/>
    <x v="0"/>
    <x v="4"/>
    <n v="2"/>
  </r>
  <r>
    <x v="0"/>
    <x v="3"/>
    <x v="4"/>
    <x v="7"/>
    <x v="12"/>
    <x v="0"/>
    <x v="5"/>
    <n v="2"/>
  </r>
  <r>
    <x v="0"/>
    <x v="3"/>
    <x v="4"/>
    <x v="7"/>
    <x v="12"/>
    <x v="0"/>
    <x v="2"/>
    <n v="1"/>
  </r>
  <r>
    <x v="0"/>
    <x v="3"/>
    <x v="4"/>
    <x v="7"/>
    <x v="12"/>
    <x v="0"/>
    <x v="11"/>
    <n v="1"/>
  </r>
  <r>
    <x v="0"/>
    <x v="3"/>
    <x v="4"/>
    <x v="7"/>
    <x v="6"/>
    <x v="0"/>
    <x v="12"/>
    <n v="1"/>
  </r>
  <r>
    <x v="0"/>
    <x v="3"/>
    <x v="4"/>
    <x v="8"/>
    <x v="10"/>
    <x v="1"/>
    <x v="1"/>
    <n v="1"/>
  </r>
  <r>
    <x v="0"/>
    <x v="3"/>
    <x v="4"/>
    <x v="11"/>
    <x v="12"/>
    <x v="0"/>
    <x v="4"/>
    <n v="2"/>
  </r>
  <r>
    <x v="0"/>
    <x v="3"/>
    <x v="4"/>
    <x v="11"/>
    <x v="12"/>
    <x v="0"/>
    <x v="0"/>
    <n v="1"/>
  </r>
  <r>
    <x v="0"/>
    <x v="3"/>
    <x v="4"/>
    <x v="11"/>
    <x v="1"/>
    <x v="0"/>
    <x v="11"/>
    <n v="1"/>
  </r>
  <r>
    <x v="0"/>
    <x v="3"/>
    <x v="4"/>
    <x v="11"/>
    <x v="14"/>
    <x v="9"/>
    <x v="2"/>
    <n v="2"/>
  </r>
  <r>
    <x v="0"/>
    <x v="3"/>
    <x v="4"/>
    <x v="11"/>
    <x v="18"/>
    <x v="0"/>
    <x v="9"/>
    <n v="1"/>
  </r>
  <r>
    <x v="0"/>
    <x v="3"/>
    <x v="4"/>
    <x v="11"/>
    <x v="18"/>
    <x v="0"/>
    <x v="3"/>
    <n v="1"/>
  </r>
  <r>
    <x v="0"/>
    <x v="3"/>
    <x v="4"/>
    <x v="12"/>
    <x v="4"/>
    <x v="0"/>
    <x v="6"/>
    <n v="1"/>
  </r>
  <r>
    <x v="0"/>
    <x v="3"/>
    <x v="4"/>
    <x v="13"/>
    <x v="16"/>
    <x v="7"/>
    <x v="1"/>
    <n v="1"/>
  </r>
  <r>
    <x v="0"/>
    <x v="3"/>
    <x v="4"/>
    <x v="13"/>
    <x v="16"/>
    <x v="8"/>
    <x v="12"/>
    <n v="1"/>
  </r>
  <r>
    <x v="0"/>
    <x v="3"/>
    <x v="4"/>
    <x v="13"/>
    <x v="1"/>
    <x v="0"/>
    <x v="2"/>
    <n v="10"/>
  </r>
  <r>
    <x v="0"/>
    <x v="3"/>
    <x v="4"/>
    <x v="13"/>
    <x v="1"/>
    <x v="0"/>
    <x v="13"/>
    <n v="2"/>
  </r>
  <r>
    <x v="0"/>
    <x v="3"/>
    <x v="4"/>
    <x v="13"/>
    <x v="13"/>
    <x v="0"/>
    <x v="9"/>
    <n v="1"/>
  </r>
  <r>
    <x v="0"/>
    <x v="3"/>
    <x v="4"/>
    <x v="14"/>
    <x v="16"/>
    <x v="3"/>
    <x v="10"/>
    <n v="1"/>
  </r>
  <r>
    <x v="0"/>
    <x v="3"/>
    <x v="4"/>
    <x v="14"/>
    <x v="16"/>
    <x v="3"/>
    <x v="1"/>
    <n v="1"/>
  </r>
  <r>
    <x v="0"/>
    <x v="3"/>
    <x v="4"/>
    <x v="14"/>
    <x v="16"/>
    <x v="4"/>
    <x v="10"/>
    <n v="2"/>
  </r>
  <r>
    <x v="0"/>
    <x v="3"/>
    <x v="4"/>
    <x v="14"/>
    <x v="16"/>
    <x v="5"/>
    <x v="6"/>
    <n v="4"/>
  </r>
  <r>
    <x v="0"/>
    <x v="3"/>
    <x v="4"/>
    <x v="14"/>
    <x v="16"/>
    <x v="5"/>
    <x v="10"/>
    <n v="2"/>
  </r>
  <r>
    <x v="0"/>
    <x v="3"/>
    <x v="4"/>
    <x v="14"/>
    <x v="16"/>
    <x v="11"/>
    <x v="7"/>
    <n v="1"/>
  </r>
  <r>
    <x v="0"/>
    <x v="3"/>
    <x v="4"/>
    <x v="14"/>
    <x v="16"/>
    <x v="11"/>
    <x v="6"/>
    <n v="1"/>
  </r>
  <r>
    <x v="0"/>
    <x v="3"/>
    <x v="4"/>
    <x v="14"/>
    <x v="16"/>
    <x v="11"/>
    <x v="10"/>
    <n v="3"/>
  </r>
  <r>
    <x v="0"/>
    <x v="3"/>
    <x v="4"/>
    <x v="14"/>
    <x v="16"/>
    <x v="6"/>
    <x v="7"/>
    <n v="1"/>
  </r>
  <r>
    <x v="0"/>
    <x v="3"/>
    <x v="4"/>
    <x v="14"/>
    <x v="16"/>
    <x v="6"/>
    <x v="6"/>
    <n v="1"/>
  </r>
  <r>
    <x v="0"/>
    <x v="3"/>
    <x v="4"/>
    <x v="14"/>
    <x v="16"/>
    <x v="9"/>
    <x v="7"/>
    <n v="2"/>
  </r>
  <r>
    <x v="0"/>
    <x v="3"/>
    <x v="4"/>
    <x v="14"/>
    <x v="16"/>
    <x v="9"/>
    <x v="6"/>
    <n v="3"/>
  </r>
  <r>
    <x v="0"/>
    <x v="3"/>
    <x v="4"/>
    <x v="14"/>
    <x v="16"/>
    <x v="12"/>
    <x v="7"/>
    <n v="5"/>
  </r>
  <r>
    <x v="0"/>
    <x v="3"/>
    <x v="4"/>
    <x v="14"/>
    <x v="16"/>
    <x v="7"/>
    <x v="10"/>
    <n v="2"/>
  </r>
  <r>
    <x v="0"/>
    <x v="3"/>
    <x v="4"/>
    <x v="14"/>
    <x v="16"/>
    <x v="7"/>
    <x v="1"/>
    <n v="1"/>
  </r>
  <r>
    <x v="0"/>
    <x v="3"/>
    <x v="4"/>
    <x v="14"/>
    <x v="16"/>
    <x v="1"/>
    <x v="7"/>
    <n v="3"/>
  </r>
  <r>
    <x v="0"/>
    <x v="3"/>
    <x v="4"/>
    <x v="14"/>
    <x v="16"/>
    <x v="8"/>
    <x v="10"/>
    <n v="1"/>
  </r>
  <r>
    <x v="0"/>
    <x v="3"/>
    <x v="4"/>
    <x v="14"/>
    <x v="16"/>
    <x v="8"/>
    <x v="1"/>
    <n v="1"/>
  </r>
  <r>
    <x v="0"/>
    <x v="3"/>
    <x v="4"/>
    <x v="14"/>
    <x v="5"/>
    <x v="12"/>
    <x v="5"/>
    <n v="1"/>
  </r>
  <r>
    <x v="0"/>
    <x v="3"/>
    <x v="4"/>
    <x v="14"/>
    <x v="5"/>
    <x v="1"/>
    <x v="5"/>
    <n v="1"/>
  </r>
  <r>
    <x v="0"/>
    <x v="3"/>
    <x v="4"/>
    <x v="14"/>
    <x v="5"/>
    <x v="0"/>
    <x v="4"/>
    <n v="4"/>
  </r>
  <r>
    <x v="0"/>
    <x v="3"/>
    <x v="4"/>
    <x v="14"/>
    <x v="18"/>
    <x v="11"/>
    <x v="9"/>
    <n v="1"/>
  </r>
  <r>
    <x v="0"/>
    <x v="3"/>
    <x v="4"/>
    <x v="14"/>
    <x v="18"/>
    <x v="12"/>
    <x v="12"/>
    <n v="1"/>
  </r>
  <r>
    <x v="0"/>
    <x v="3"/>
    <x v="4"/>
    <x v="18"/>
    <x v="14"/>
    <x v="0"/>
    <x v="0"/>
    <n v="1"/>
  </r>
  <r>
    <x v="0"/>
    <x v="3"/>
    <x v="4"/>
    <x v="18"/>
    <x v="14"/>
    <x v="0"/>
    <x v="18"/>
    <n v="1"/>
  </r>
  <r>
    <x v="0"/>
    <x v="3"/>
    <x v="4"/>
    <x v="15"/>
    <x v="8"/>
    <x v="0"/>
    <x v="9"/>
    <n v="3"/>
  </r>
  <r>
    <x v="0"/>
    <x v="3"/>
    <x v="4"/>
    <x v="15"/>
    <x v="8"/>
    <x v="0"/>
    <x v="3"/>
    <n v="10"/>
  </r>
  <r>
    <x v="0"/>
    <x v="3"/>
    <x v="4"/>
    <x v="15"/>
    <x v="8"/>
    <x v="0"/>
    <x v="4"/>
    <n v="7"/>
  </r>
  <r>
    <x v="0"/>
    <x v="3"/>
    <x v="4"/>
    <x v="15"/>
    <x v="8"/>
    <x v="0"/>
    <x v="5"/>
    <n v="3"/>
  </r>
  <r>
    <x v="0"/>
    <x v="3"/>
    <x v="4"/>
    <x v="15"/>
    <x v="8"/>
    <x v="0"/>
    <x v="11"/>
    <n v="1"/>
  </r>
  <r>
    <x v="0"/>
    <x v="3"/>
    <x v="4"/>
    <x v="17"/>
    <x v="12"/>
    <x v="9"/>
    <x v="11"/>
    <n v="1"/>
  </r>
  <r>
    <x v="0"/>
    <x v="3"/>
    <x v="4"/>
    <x v="17"/>
    <x v="12"/>
    <x v="12"/>
    <x v="2"/>
    <n v="1"/>
  </r>
  <r>
    <x v="0"/>
    <x v="3"/>
    <x v="4"/>
    <x v="17"/>
    <x v="12"/>
    <x v="12"/>
    <x v="13"/>
    <n v="1"/>
  </r>
  <r>
    <x v="0"/>
    <x v="3"/>
    <x v="4"/>
    <x v="17"/>
    <x v="2"/>
    <x v="8"/>
    <x v="19"/>
    <n v="1"/>
  </r>
  <r>
    <x v="0"/>
    <x v="3"/>
    <x v="4"/>
    <x v="17"/>
    <x v="2"/>
    <x v="0"/>
    <x v="18"/>
    <n v="1"/>
  </r>
  <r>
    <x v="0"/>
    <x v="3"/>
    <x v="4"/>
    <x v="17"/>
    <x v="16"/>
    <x v="0"/>
    <x v="1"/>
    <n v="2"/>
  </r>
  <r>
    <x v="0"/>
    <x v="3"/>
    <x v="4"/>
    <x v="17"/>
    <x v="13"/>
    <x v="0"/>
    <x v="5"/>
    <n v="1"/>
  </r>
  <r>
    <x v="0"/>
    <x v="3"/>
    <x v="4"/>
    <x v="17"/>
    <x v="3"/>
    <x v="0"/>
    <x v="2"/>
    <n v="2"/>
  </r>
  <r>
    <x v="0"/>
    <x v="3"/>
    <x v="4"/>
    <x v="17"/>
    <x v="6"/>
    <x v="0"/>
    <x v="12"/>
    <n v="17"/>
  </r>
  <r>
    <x v="0"/>
    <x v="3"/>
    <x v="4"/>
    <x v="17"/>
    <x v="6"/>
    <x v="0"/>
    <x v="9"/>
    <n v="21"/>
  </r>
  <r>
    <x v="0"/>
    <x v="3"/>
    <x v="4"/>
    <x v="17"/>
    <x v="6"/>
    <x v="0"/>
    <x v="3"/>
    <n v="15"/>
  </r>
  <r>
    <x v="0"/>
    <x v="3"/>
    <x v="4"/>
    <x v="17"/>
    <x v="6"/>
    <x v="0"/>
    <x v="4"/>
    <n v="6"/>
  </r>
  <r>
    <x v="0"/>
    <x v="3"/>
    <x v="5"/>
    <x v="2"/>
    <x v="10"/>
    <x v="1"/>
    <x v="19"/>
    <n v="3"/>
  </r>
  <r>
    <x v="0"/>
    <x v="3"/>
    <x v="5"/>
    <x v="2"/>
    <x v="10"/>
    <x v="0"/>
    <x v="19"/>
    <n v="4"/>
  </r>
  <r>
    <x v="0"/>
    <x v="3"/>
    <x v="5"/>
    <x v="4"/>
    <x v="18"/>
    <x v="15"/>
    <x v="19"/>
    <n v="1"/>
  </r>
  <r>
    <x v="0"/>
    <x v="3"/>
    <x v="5"/>
    <x v="5"/>
    <x v="8"/>
    <x v="19"/>
    <x v="19"/>
    <n v="1"/>
  </r>
  <r>
    <x v="0"/>
    <x v="3"/>
    <x v="5"/>
    <x v="5"/>
    <x v="8"/>
    <x v="6"/>
    <x v="19"/>
    <n v="4"/>
  </r>
  <r>
    <x v="0"/>
    <x v="3"/>
    <x v="5"/>
    <x v="5"/>
    <x v="8"/>
    <x v="9"/>
    <x v="19"/>
    <n v="3"/>
  </r>
  <r>
    <x v="0"/>
    <x v="3"/>
    <x v="5"/>
    <x v="5"/>
    <x v="6"/>
    <x v="18"/>
    <x v="19"/>
    <n v="12"/>
  </r>
  <r>
    <x v="0"/>
    <x v="3"/>
    <x v="5"/>
    <x v="5"/>
    <x v="6"/>
    <x v="19"/>
    <x v="19"/>
    <n v="27"/>
  </r>
  <r>
    <x v="0"/>
    <x v="3"/>
    <x v="5"/>
    <x v="5"/>
    <x v="6"/>
    <x v="16"/>
    <x v="18"/>
    <n v="1"/>
  </r>
  <r>
    <x v="0"/>
    <x v="3"/>
    <x v="5"/>
    <x v="5"/>
    <x v="6"/>
    <x v="15"/>
    <x v="18"/>
    <n v="1"/>
  </r>
  <r>
    <x v="0"/>
    <x v="3"/>
    <x v="5"/>
    <x v="5"/>
    <x v="6"/>
    <x v="13"/>
    <x v="18"/>
    <n v="1"/>
  </r>
  <r>
    <x v="0"/>
    <x v="3"/>
    <x v="5"/>
    <x v="5"/>
    <x v="6"/>
    <x v="4"/>
    <x v="19"/>
    <n v="2"/>
  </r>
  <r>
    <x v="0"/>
    <x v="3"/>
    <x v="5"/>
    <x v="5"/>
    <x v="6"/>
    <x v="5"/>
    <x v="19"/>
    <n v="1"/>
  </r>
  <r>
    <x v="0"/>
    <x v="3"/>
    <x v="5"/>
    <x v="9"/>
    <x v="1"/>
    <x v="0"/>
    <x v="19"/>
    <n v="1"/>
  </r>
  <r>
    <x v="0"/>
    <x v="3"/>
    <x v="5"/>
    <x v="7"/>
    <x v="12"/>
    <x v="0"/>
    <x v="0"/>
    <n v="1"/>
  </r>
  <r>
    <x v="0"/>
    <x v="3"/>
    <x v="5"/>
    <x v="8"/>
    <x v="7"/>
    <x v="19"/>
    <x v="18"/>
    <n v="2"/>
  </r>
  <r>
    <x v="0"/>
    <x v="3"/>
    <x v="5"/>
    <x v="8"/>
    <x v="7"/>
    <x v="13"/>
    <x v="19"/>
    <n v="5"/>
  </r>
  <r>
    <x v="0"/>
    <x v="3"/>
    <x v="5"/>
    <x v="8"/>
    <x v="18"/>
    <x v="2"/>
    <x v="19"/>
    <n v="102"/>
  </r>
  <r>
    <x v="0"/>
    <x v="3"/>
    <x v="5"/>
    <x v="8"/>
    <x v="18"/>
    <x v="10"/>
    <x v="19"/>
    <n v="107"/>
  </r>
  <r>
    <x v="0"/>
    <x v="3"/>
    <x v="5"/>
    <x v="8"/>
    <x v="18"/>
    <x v="3"/>
    <x v="19"/>
    <n v="116"/>
  </r>
  <r>
    <x v="0"/>
    <x v="3"/>
    <x v="5"/>
    <x v="8"/>
    <x v="18"/>
    <x v="4"/>
    <x v="19"/>
    <n v="84"/>
  </r>
  <r>
    <x v="0"/>
    <x v="3"/>
    <x v="5"/>
    <x v="8"/>
    <x v="18"/>
    <x v="5"/>
    <x v="19"/>
    <n v="74"/>
  </r>
  <r>
    <x v="0"/>
    <x v="3"/>
    <x v="5"/>
    <x v="8"/>
    <x v="18"/>
    <x v="11"/>
    <x v="19"/>
    <n v="69"/>
  </r>
  <r>
    <x v="0"/>
    <x v="3"/>
    <x v="5"/>
    <x v="12"/>
    <x v="19"/>
    <x v="12"/>
    <x v="19"/>
    <n v="1"/>
  </r>
  <r>
    <x v="0"/>
    <x v="3"/>
    <x v="5"/>
    <x v="13"/>
    <x v="17"/>
    <x v="16"/>
    <x v="14"/>
    <n v="3"/>
  </r>
  <r>
    <x v="0"/>
    <x v="3"/>
    <x v="5"/>
    <x v="13"/>
    <x v="17"/>
    <x v="16"/>
    <x v="17"/>
    <n v="4"/>
  </r>
  <r>
    <x v="0"/>
    <x v="3"/>
    <x v="5"/>
    <x v="13"/>
    <x v="17"/>
    <x v="15"/>
    <x v="13"/>
    <n v="3"/>
  </r>
  <r>
    <x v="0"/>
    <x v="3"/>
    <x v="5"/>
    <x v="13"/>
    <x v="17"/>
    <x v="15"/>
    <x v="11"/>
    <n v="2"/>
  </r>
  <r>
    <x v="0"/>
    <x v="3"/>
    <x v="5"/>
    <x v="13"/>
    <x v="17"/>
    <x v="14"/>
    <x v="5"/>
    <n v="1"/>
  </r>
  <r>
    <x v="0"/>
    <x v="3"/>
    <x v="5"/>
    <x v="13"/>
    <x v="17"/>
    <x v="14"/>
    <x v="2"/>
    <n v="3"/>
  </r>
  <r>
    <x v="0"/>
    <x v="3"/>
    <x v="5"/>
    <x v="13"/>
    <x v="17"/>
    <x v="13"/>
    <x v="18"/>
    <n v="4"/>
  </r>
  <r>
    <x v="0"/>
    <x v="3"/>
    <x v="5"/>
    <x v="13"/>
    <x v="17"/>
    <x v="2"/>
    <x v="0"/>
    <n v="3"/>
  </r>
  <r>
    <x v="0"/>
    <x v="3"/>
    <x v="5"/>
    <x v="13"/>
    <x v="17"/>
    <x v="2"/>
    <x v="18"/>
    <n v="4"/>
  </r>
  <r>
    <x v="0"/>
    <x v="3"/>
    <x v="5"/>
    <x v="13"/>
    <x v="17"/>
    <x v="10"/>
    <x v="0"/>
    <n v="4"/>
  </r>
  <r>
    <x v="0"/>
    <x v="3"/>
    <x v="5"/>
    <x v="13"/>
    <x v="17"/>
    <x v="10"/>
    <x v="18"/>
    <n v="3"/>
  </r>
  <r>
    <x v="0"/>
    <x v="3"/>
    <x v="5"/>
    <x v="13"/>
    <x v="17"/>
    <x v="3"/>
    <x v="18"/>
    <n v="2"/>
  </r>
  <r>
    <x v="0"/>
    <x v="3"/>
    <x v="5"/>
    <x v="13"/>
    <x v="17"/>
    <x v="4"/>
    <x v="0"/>
    <n v="3"/>
  </r>
  <r>
    <x v="0"/>
    <x v="3"/>
    <x v="5"/>
    <x v="13"/>
    <x v="17"/>
    <x v="12"/>
    <x v="19"/>
    <n v="2"/>
  </r>
  <r>
    <x v="0"/>
    <x v="3"/>
    <x v="5"/>
    <x v="16"/>
    <x v="19"/>
    <x v="5"/>
    <x v="19"/>
    <n v="1"/>
  </r>
  <r>
    <x v="0"/>
    <x v="3"/>
    <x v="5"/>
    <x v="17"/>
    <x v="2"/>
    <x v="13"/>
    <x v="19"/>
    <n v="6"/>
  </r>
  <r>
    <x v="0"/>
    <x v="3"/>
    <x v="5"/>
    <x v="17"/>
    <x v="2"/>
    <x v="2"/>
    <x v="19"/>
    <n v="7"/>
  </r>
  <r>
    <x v="0"/>
    <x v="3"/>
    <x v="5"/>
    <x v="17"/>
    <x v="2"/>
    <x v="7"/>
    <x v="19"/>
    <n v="2"/>
  </r>
  <r>
    <x v="0"/>
    <x v="3"/>
    <x v="5"/>
    <x v="17"/>
    <x v="9"/>
    <x v="13"/>
    <x v="19"/>
    <n v="1"/>
  </r>
  <r>
    <x v="0"/>
    <x v="3"/>
    <x v="5"/>
    <x v="17"/>
    <x v="9"/>
    <x v="2"/>
    <x v="19"/>
    <n v="3"/>
  </r>
  <r>
    <x v="0"/>
    <x v="3"/>
    <x v="5"/>
    <x v="19"/>
    <x v="7"/>
    <x v="16"/>
    <x v="14"/>
    <n v="1"/>
  </r>
  <r>
    <x v="0"/>
    <x v="3"/>
    <x v="6"/>
    <x v="0"/>
    <x v="12"/>
    <x v="19"/>
    <x v="19"/>
    <n v="116"/>
  </r>
  <r>
    <x v="0"/>
    <x v="3"/>
    <x v="6"/>
    <x v="0"/>
    <x v="12"/>
    <x v="16"/>
    <x v="19"/>
    <n v="59"/>
  </r>
  <r>
    <x v="0"/>
    <x v="3"/>
    <x v="6"/>
    <x v="0"/>
    <x v="12"/>
    <x v="13"/>
    <x v="18"/>
    <n v="1"/>
  </r>
  <r>
    <x v="0"/>
    <x v="3"/>
    <x v="6"/>
    <x v="3"/>
    <x v="8"/>
    <x v="17"/>
    <x v="19"/>
    <n v="17"/>
  </r>
  <r>
    <x v="0"/>
    <x v="3"/>
    <x v="6"/>
    <x v="3"/>
    <x v="8"/>
    <x v="16"/>
    <x v="19"/>
    <n v="3"/>
  </r>
  <r>
    <x v="0"/>
    <x v="3"/>
    <x v="6"/>
    <x v="13"/>
    <x v="6"/>
    <x v="1"/>
    <x v="19"/>
    <n v="2"/>
  </r>
  <r>
    <x v="0"/>
    <x v="3"/>
    <x v="7"/>
    <x v="0"/>
    <x v="12"/>
    <x v="18"/>
    <x v="19"/>
    <n v="28"/>
  </r>
  <r>
    <x v="0"/>
    <x v="3"/>
    <x v="7"/>
    <x v="0"/>
    <x v="12"/>
    <x v="19"/>
    <x v="19"/>
    <n v="36"/>
  </r>
  <r>
    <x v="0"/>
    <x v="3"/>
    <x v="7"/>
    <x v="1"/>
    <x v="2"/>
    <x v="10"/>
    <x v="18"/>
    <n v="1"/>
  </r>
  <r>
    <x v="0"/>
    <x v="3"/>
    <x v="7"/>
    <x v="3"/>
    <x v="8"/>
    <x v="19"/>
    <x v="17"/>
    <n v="2"/>
  </r>
  <r>
    <x v="0"/>
    <x v="3"/>
    <x v="7"/>
    <x v="3"/>
    <x v="8"/>
    <x v="19"/>
    <x v="19"/>
    <n v="33"/>
  </r>
  <r>
    <x v="0"/>
    <x v="3"/>
    <x v="7"/>
    <x v="3"/>
    <x v="8"/>
    <x v="15"/>
    <x v="18"/>
    <n v="1"/>
  </r>
  <r>
    <x v="0"/>
    <x v="3"/>
    <x v="7"/>
    <x v="3"/>
    <x v="8"/>
    <x v="11"/>
    <x v="19"/>
    <n v="1"/>
  </r>
  <r>
    <x v="0"/>
    <x v="3"/>
    <x v="7"/>
    <x v="5"/>
    <x v="3"/>
    <x v="15"/>
    <x v="0"/>
    <n v="1"/>
  </r>
  <r>
    <x v="0"/>
    <x v="3"/>
    <x v="7"/>
    <x v="5"/>
    <x v="3"/>
    <x v="10"/>
    <x v="19"/>
    <n v="2"/>
  </r>
  <r>
    <x v="0"/>
    <x v="3"/>
    <x v="7"/>
    <x v="5"/>
    <x v="3"/>
    <x v="3"/>
    <x v="19"/>
    <n v="4"/>
  </r>
  <r>
    <x v="0"/>
    <x v="3"/>
    <x v="7"/>
    <x v="5"/>
    <x v="3"/>
    <x v="5"/>
    <x v="11"/>
    <n v="1"/>
  </r>
  <r>
    <x v="0"/>
    <x v="3"/>
    <x v="7"/>
    <x v="6"/>
    <x v="15"/>
    <x v="3"/>
    <x v="19"/>
    <n v="1"/>
  </r>
  <r>
    <x v="0"/>
    <x v="3"/>
    <x v="7"/>
    <x v="9"/>
    <x v="13"/>
    <x v="4"/>
    <x v="14"/>
    <n v="1"/>
  </r>
  <r>
    <x v="0"/>
    <x v="3"/>
    <x v="7"/>
    <x v="8"/>
    <x v="7"/>
    <x v="17"/>
    <x v="19"/>
    <n v="4"/>
  </r>
  <r>
    <x v="0"/>
    <x v="3"/>
    <x v="7"/>
    <x v="13"/>
    <x v="17"/>
    <x v="15"/>
    <x v="18"/>
    <n v="2"/>
  </r>
  <r>
    <x v="0"/>
    <x v="3"/>
    <x v="7"/>
    <x v="17"/>
    <x v="9"/>
    <x v="16"/>
    <x v="19"/>
    <n v="10"/>
  </r>
  <r>
    <x v="0"/>
    <x v="3"/>
    <x v="7"/>
    <x v="17"/>
    <x v="9"/>
    <x v="15"/>
    <x v="19"/>
    <n v="16"/>
  </r>
  <r>
    <x v="0"/>
    <x v="3"/>
    <x v="7"/>
    <x v="17"/>
    <x v="9"/>
    <x v="14"/>
    <x v="19"/>
    <n v="13"/>
  </r>
  <r>
    <x v="0"/>
    <x v="3"/>
    <x v="7"/>
    <x v="19"/>
    <x v="7"/>
    <x v="19"/>
    <x v="1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17" cacheId="0" applyNumberFormats="0" applyBorderFormats="0" applyFontFormats="0" applyPatternFormats="0" applyAlignmentFormats="0" applyWidthHeightFormats="1" dataCaption="Valores" grandTotalCaption="Total" updatedVersion="3" minRefreshableVersion="3" showCalcMbrs="0" colGrandTotals="0" itemPrintTitles="1" createdVersion="3" indent="0" outline="1" outlineData="1" multipleFieldFilters="0" fieldListSortAscending="1">
  <location ref="B7:D21" firstHeaderRow="1" firstDataRow="2" firstDataCol="1" rowPageCount="2" colPageCount="1"/>
  <pivotFields count="11">
    <pivotField showAll="0"/>
    <pivotField showAll="0"/>
    <pivotField showAll="0">
      <items count="4">
        <item x="0"/>
        <item m="1" x="2"/>
        <item x="1"/>
        <item t="default"/>
      </items>
    </pivotField>
    <pivotField multipleItemSelectionAllowed="1" showAll="0"/>
    <pivotField axis="axisRow" showAll="0">
      <items count="14">
        <item h="1" m="1" x="12"/>
        <item x="11"/>
        <item x="6"/>
        <item x="3"/>
        <item x="4"/>
        <item x="9"/>
        <item x="5"/>
        <item x="0"/>
        <item x="10"/>
        <item x="2"/>
        <item x="7"/>
        <item x="1"/>
        <item x="8"/>
        <item t="default"/>
      </items>
    </pivotField>
    <pivotField axis="axisPage" multipleItemSelectionAllowed="1" showAll="0" defaultSubtotal="0">
      <items count="8">
        <item x="2"/>
        <item x="6"/>
        <item x="4"/>
        <item x="5"/>
        <item x="7"/>
        <item x="0"/>
        <item x="3"/>
        <item x="1"/>
      </items>
    </pivotField>
    <pivotField dataField="1" showAll="0"/>
    <pivotField showAll="0"/>
    <pivotField dataField="1" showAll="0"/>
    <pivotField axis="axisPage" showAll="0" defaultSubtotal="0">
      <items count="2">
        <item n="SEGMENTO EMPRESA" x="1"/>
        <item x="0"/>
      </items>
    </pivotField>
    <pivotField showAll="0" defaultSubtotal="0">
      <items count="2">
        <item x="0"/>
        <item x="1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2">
    <pageField fld="9" item="1" hier="-1"/>
    <pageField fld="5" hier="-1"/>
  </pageFields>
  <dataFields count="2">
    <dataField name="Cliente " fld="8" baseField="0" baseItem="0" numFmtId="3"/>
    <dataField name="Suma Trx" fld="6" baseField="0" baseItem="0"/>
  </dataFields>
  <formats count="33">
    <format dxfId="22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41">
      <pivotArea outline="0" collapsedLevelsAreSubtotals="1" fieldPosition="0"/>
    </format>
    <format dxfId="2240">
      <pivotArea outline="0" collapsedLevelsAreSubtotals="1" fieldPosition="0"/>
    </format>
    <format dxfId="2239">
      <pivotArea outline="0" collapsedLevelsAreSubtotals="1" fieldPosition="0"/>
    </format>
    <format dxfId="2238">
      <pivotArea dataOnly="0" labelOnly="1" grandRow="1" outline="0" fieldPosition="0"/>
    </format>
    <format dxfId="2237">
      <pivotArea dataOnly="0" labelOnly="1" grandRow="1" outline="0" fieldPosition="0"/>
    </format>
    <format dxfId="2236">
      <pivotArea dataOnly="0" labelOnly="1" fieldPosition="0">
        <references count="1">
          <reference field="4" count="0"/>
        </references>
      </pivotArea>
    </format>
    <format dxfId="2235">
      <pivotArea field="4" type="button" dataOnly="0" labelOnly="1" outline="0" axis="axisRow" fieldPosition="0"/>
    </format>
    <format dxfId="2234">
      <pivotArea dataOnly="0" labelOnly="1" fieldPosition="0">
        <references count="1">
          <reference field="9" count="0"/>
        </references>
      </pivotArea>
    </format>
    <format dxfId="2233">
      <pivotArea dataOnly="0" labelOnly="1" outline="0" fieldPosition="0">
        <references count="2">
          <reference field="4294967294" count="1">
            <x v="0"/>
          </reference>
          <reference field="9" count="1" selected="0">
            <x v="0"/>
          </reference>
        </references>
      </pivotArea>
    </format>
    <format dxfId="2232">
      <pivotArea dataOnly="0" labelOnly="1" outline="0" fieldPosition="0">
        <references count="2">
          <reference field="4294967294" count="1">
            <x v="0"/>
          </reference>
          <reference field="9" count="1" selected="0">
            <x v="1"/>
          </reference>
        </references>
      </pivotArea>
    </format>
    <format dxfId="2231">
      <pivotArea dataOnly="0" labelOnly="1" fieldPosition="0">
        <references count="1">
          <reference field="9" count="0"/>
        </references>
      </pivotArea>
    </format>
    <format dxfId="2230">
      <pivotArea dataOnly="0" labelOnly="1" fieldPosition="0">
        <references count="1">
          <reference field="9" count="0"/>
        </references>
      </pivotArea>
    </format>
    <format dxfId="2229">
      <pivotArea dataOnly="0" labelOnly="1" fieldPosition="0">
        <references count="1">
          <reference field="9" count="0"/>
        </references>
      </pivotArea>
    </format>
    <format dxfId="2228">
      <pivotArea outline="0" collapsedLevelsAreSubtotals="1" fieldPosition="0"/>
    </format>
    <format dxfId="22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26">
      <pivotArea outline="0" collapsedLevelsAreSubtotals="1" fieldPosition="0"/>
    </format>
    <format dxfId="22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24">
      <pivotArea field="9" type="button" dataOnly="0" labelOnly="1" outline="0" axis="axisPage" fieldPosition="0"/>
    </format>
    <format dxfId="2223">
      <pivotArea dataOnly="0" labelOnly="1" outline="0" fieldPosition="0">
        <references count="1">
          <reference field="9" count="1">
            <x v="1"/>
          </reference>
        </references>
      </pivotArea>
    </format>
    <format dxfId="2222">
      <pivotArea field="9" type="button" dataOnly="0" labelOnly="1" outline="0" axis="axisPage" fieldPosition="0"/>
    </format>
    <format dxfId="2221">
      <pivotArea dataOnly="0" labelOnly="1" outline="0" fieldPosition="0">
        <references count="1">
          <reference field="9" count="1">
            <x v="1"/>
          </reference>
        </references>
      </pivotArea>
    </format>
    <format dxfId="2220">
      <pivotArea field="9" type="button" dataOnly="0" labelOnly="1" outline="0" axis="axisPage" fieldPosition="0"/>
    </format>
    <format dxfId="2219">
      <pivotArea dataOnly="0" labelOnly="1" outline="0" fieldPosition="0">
        <references count="1">
          <reference field="9" count="1">
            <x v="1"/>
          </reference>
        </references>
      </pivotArea>
    </format>
    <format dxfId="2218">
      <pivotArea field="5" type="button" dataOnly="0" labelOnly="1" outline="0" axis="axisPage" fieldPosition="1"/>
    </format>
    <format dxfId="2217">
      <pivotArea dataOnly="0" labelOnly="1" outline="0" fieldPosition="0">
        <references count="2">
          <reference field="5" count="0"/>
          <reference field="9" count="1" selected="0">
            <x v="1"/>
          </reference>
        </references>
      </pivotArea>
    </format>
    <format dxfId="2216">
      <pivotArea field="9" type="button" dataOnly="0" labelOnly="1" outline="0" axis="axisPage" fieldPosition="0"/>
    </format>
    <format dxfId="2215">
      <pivotArea dataOnly="0" labelOnly="1" outline="0" fieldPosition="0">
        <references count="1">
          <reference field="9" count="1">
            <x v="1"/>
          </reference>
        </references>
      </pivotArea>
    </format>
    <format dxfId="2214">
      <pivotArea field="5" type="button" dataOnly="0" labelOnly="1" outline="0" axis="axisPage" fieldPosition="1"/>
    </format>
    <format dxfId="2213">
      <pivotArea dataOnly="0" labelOnly="1" outline="0" fieldPosition="0">
        <references count="2">
          <reference field="5" count="0"/>
          <reference field="9" count="1" selected="0">
            <x v="1"/>
          </reference>
        </references>
      </pivotArea>
    </format>
    <format dxfId="2212">
      <pivotArea field="5" type="button" dataOnly="0" labelOnly="1" outline="0" axis="axisPage" fieldPosition="1"/>
    </format>
    <format dxfId="2211">
      <pivotArea dataOnly="0" labelOnly="1" outline="0" fieldPosition="0">
        <references count="2">
          <reference field="5" count="0"/>
          <reference field="9" count="1" selected="0">
            <x v="1"/>
          </reference>
        </references>
      </pivotArea>
    </format>
    <format dxfId="2210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</format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gridDropZones="1" multipleFieldFilters="0" fieldListSortAscending="1">
  <location ref="B11:U21" firstHeaderRow="1" firstDataRow="2" firstDataCol="1" rowPageCount="1" colPageCount="1"/>
  <pivotFields count="8">
    <pivotField compact="0" outline="0" showAll="0"/>
    <pivotField compact="0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>
      <items count="21">
        <item x="0"/>
        <item x="1"/>
        <item x="2"/>
        <item x="3"/>
        <item x="4"/>
        <item x="5"/>
        <item x="6"/>
        <item x="9"/>
        <item x="7"/>
        <item x="8"/>
        <item x="10"/>
        <item x="11"/>
        <item x="12"/>
        <item x="13"/>
        <item x="14"/>
        <item x="18"/>
        <item x="15"/>
        <item x="16"/>
        <item x="17"/>
        <item x="19"/>
        <item t="default"/>
      </items>
    </pivotField>
    <pivotField compact="0" outline="0" showAll="0">
      <items count="21">
        <item x="0"/>
        <item x="12"/>
        <item x="2"/>
        <item x="4"/>
        <item x="16"/>
        <item x="1"/>
        <item x="5"/>
        <item x="13"/>
        <item x="14"/>
        <item x="15"/>
        <item x="8"/>
        <item x="3"/>
        <item x="7"/>
        <item x="6"/>
        <item x="9"/>
        <item x="10"/>
        <item x="11"/>
        <item x="17"/>
        <item x="18"/>
        <item x="19"/>
        <item t="default"/>
      </items>
    </pivotField>
    <pivotField axis="axisPage" compact="0" outline="0" showAll="0">
      <items count="21">
        <item x="17"/>
        <item x="18"/>
        <item x="19"/>
        <item x="16"/>
        <item x="15"/>
        <item x="14"/>
        <item x="13"/>
        <item x="2"/>
        <item x="10"/>
        <item x="3"/>
        <item x="4"/>
        <item x="5"/>
        <item x="11"/>
        <item x="6"/>
        <item x="9"/>
        <item x="12"/>
        <item x="7"/>
        <item x="1"/>
        <item x="8"/>
        <item x="0"/>
        <item t="default"/>
      </items>
    </pivotField>
    <pivotField axis="axisCol" compact="0" outline="0" showAll="0">
      <items count="21">
        <item x="16"/>
        <item x="15"/>
        <item x="8"/>
        <item x="7"/>
        <item x="6"/>
        <item x="10"/>
        <item x="1"/>
        <item x="12"/>
        <item x="9"/>
        <item x="3"/>
        <item x="4"/>
        <item x="5"/>
        <item x="2"/>
        <item x="13"/>
        <item x="11"/>
        <item x="14"/>
        <item x="0"/>
        <item x="17"/>
        <item x="18"/>
        <item x="19"/>
        <item t="default"/>
      </items>
    </pivotField>
    <pivotField dataField="1"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5" item="18" hier="-1"/>
  </pageFields>
  <dataFields count="1">
    <dataField name="Suma de CLIENTE" fld="7" showDataAs="percentOfCol" baseField="2" baseItem="0" numFmtId="177"/>
  </dataFields>
  <formats count="10">
    <format dxfId="9">
      <pivotArea field="3" type="button" dataOnly="0" labelOnly="1" outline="0"/>
    </format>
    <format dxfId="8">
      <pivotArea type="topRight" dataOnly="0" labelOnly="1" outline="0" fieldPosition="0"/>
    </format>
    <format dxfId="7">
      <pivotArea field="3" type="button" dataOnly="0" labelOnly="1" outline="0"/>
    </format>
    <format dxfId="6">
      <pivotArea type="topRight" dataOnly="0" labelOnly="1" outline="0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/>
  </sheetViews>
  <sheetFormatPr baseColWidth="10" defaultRowHeight="15"/>
  <cols>
    <col min="1" max="1" width="7.85546875" customWidth="1"/>
    <col min="2" max="2" width="19.7109375" bestFit="1" customWidth="1"/>
    <col min="3" max="3" width="16.140625" bestFit="1" customWidth="1"/>
    <col min="4" max="4" width="13.140625" customWidth="1"/>
    <col min="5" max="6" width="0" hidden="1" customWidth="1"/>
    <col min="7" max="7" width="8" customWidth="1"/>
    <col min="8" max="8" width="15.5703125" customWidth="1"/>
    <col min="9" max="9" width="10.42578125" customWidth="1"/>
    <col min="10" max="10" width="8.42578125" customWidth="1"/>
    <col min="11" max="21" width="6.42578125" customWidth="1"/>
  </cols>
  <sheetData>
    <row r="2" spans="2:10" ht="30" customHeight="1" thickBot="1">
      <c r="B2" s="187" t="s">
        <v>142</v>
      </c>
      <c r="C2" s="187"/>
      <c r="D2" s="187"/>
    </row>
    <row r="3" spans="2:10" ht="15.75">
      <c r="H3" s="101" t="s">
        <v>146</v>
      </c>
    </row>
    <row r="4" spans="2:10" ht="15.75">
      <c r="B4" s="20" t="s">
        <v>5</v>
      </c>
      <c r="C4" s="16" t="s">
        <v>1</v>
      </c>
      <c r="H4" s="101" t="s">
        <v>147</v>
      </c>
    </row>
    <row r="5" spans="2:10" ht="15.75">
      <c r="B5" s="20" t="s">
        <v>7</v>
      </c>
      <c r="C5" s="16" t="s">
        <v>6</v>
      </c>
      <c r="H5" s="101" t="s">
        <v>148</v>
      </c>
    </row>
    <row r="6" spans="2:10" ht="4.5" customHeight="1"/>
    <row r="7" spans="2:10">
      <c r="C7" s="9" t="s">
        <v>2</v>
      </c>
    </row>
    <row r="8" spans="2:10">
      <c r="B8" s="13" t="s">
        <v>0</v>
      </c>
      <c r="C8" s="14" t="s">
        <v>4</v>
      </c>
      <c r="D8" t="s">
        <v>128</v>
      </c>
      <c r="H8" s="182" t="s">
        <v>127</v>
      </c>
      <c r="I8" s="182" t="s">
        <v>129</v>
      </c>
      <c r="J8" s="1"/>
    </row>
    <row r="9" spans="2:10">
      <c r="B9" s="21">
        <v>1</v>
      </c>
      <c r="C9" s="10">
        <v>6422</v>
      </c>
      <c r="D9" s="12">
        <v>344275</v>
      </c>
      <c r="H9" s="179">
        <f>+D9/B9</f>
        <v>344275</v>
      </c>
      <c r="I9" s="180">
        <f>+H9/C9</f>
        <v>53.608688881968234</v>
      </c>
      <c r="J9" s="1"/>
    </row>
    <row r="10" spans="2:10">
      <c r="B10" s="21">
        <v>2</v>
      </c>
      <c r="C10" s="10">
        <v>28356</v>
      </c>
      <c r="D10" s="12">
        <v>1516683</v>
      </c>
      <c r="H10" s="179">
        <f>+D10/B10</f>
        <v>758341.5</v>
      </c>
      <c r="I10" s="180">
        <f>+H10/C10</f>
        <v>26.743599238256454</v>
      </c>
      <c r="J10" s="17">
        <f>+I10/I9-1</f>
        <v>-0.50113312233510143</v>
      </c>
    </row>
    <row r="11" spans="2:10">
      <c r="B11" s="21">
        <v>3</v>
      </c>
      <c r="C11" s="10">
        <v>52921</v>
      </c>
      <c r="D11" s="12">
        <v>3005643</v>
      </c>
      <c r="H11" s="179">
        <f t="shared" ref="H11:H19" si="0">+D11/B11</f>
        <v>1001881</v>
      </c>
      <c r="I11" s="180">
        <f t="shared" ref="I11:I19" si="1">+H11/C11</f>
        <v>18.931633944936792</v>
      </c>
      <c r="J11" s="17">
        <f t="shared" ref="J11:J20" si="2">+I11/I10-1</f>
        <v>-0.29210598108816721</v>
      </c>
    </row>
    <row r="12" spans="2:10">
      <c r="B12" s="21">
        <v>4</v>
      </c>
      <c r="C12" s="10">
        <v>66710</v>
      </c>
      <c r="D12" s="12">
        <v>4191193</v>
      </c>
      <c r="H12" s="179">
        <f t="shared" si="0"/>
        <v>1047798.25</v>
      </c>
      <c r="I12" s="180">
        <f t="shared" si="1"/>
        <v>15.706764353170438</v>
      </c>
      <c r="J12" s="17">
        <f t="shared" si="2"/>
        <v>-0.17034290865468771</v>
      </c>
    </row>
    <row r="13" spans="2:10">
      <c r="B13" s="21">
        <v>5</v>
      </c>
      <c r="C13" s="10">
        <v>70740</v>
      </c>
      <c r="D13" s="12">
        <v>4888926</v>
      </c>
      <c r="H13" s="179">
        <f t="shared" si="0"/>
        <v>977785.2</v>
      </c>
      <c r="I13" s="180">
        <f t="shared" si="1"/>
        <v>13.822239185750636</v>
      </c>
      <c r="J13" s="17">
        <f>+I13/I12-1</f>
        <v>-0.11998175595213589</v>
      </c>
    </row>
    <row r="14" spans="2:10">
      <c r="B14" s="6">
        <v>6</v>
      </c>
      <c r="C14" s="10">
        <v>71614</v>
      </c>
      <c r="D14" s="12">
        <v>5515541</v>
      </c>
      <c r="H14" s="179">
        <f>+D14/B14</f>
        <v>919256.83333333337</v>
      </c>
      <c r="I14" s="181">
        <f t="shared" si="1"/>
        <v>12.83627270273038</v>
      </c>
      <c r="J14" s="17">
        <f t="shared" si="2"/>
        <v>-7.1331892739686542E-2</v>
      </c>
    </row>
    <row r="15" spans="2:10">
      <c r="B15" s="6">
        <v>7</v>
      </c>
      <c r="C15" s="10">
        <v>73302</v>
      </c>
      <c r="D15" s="12">
        <v>6235502</v>
      </c>
      <c r="H15" s="179">
        <f t="shared" si="0"/>
        <v>890786</v>
      </c>
      <c r="I15" s="181">
        <f t="shared" si="1"/>
        <v>12.152274153501951</v>
      </c>
      <c r="J15" s="17">
        <f t="shared" si="2"/>
        <v>-5.3286383443921115E-2</v>
      </c>
    </row>
    <row r="16" spans="2:10">
      <c r="B16" s="6">
        <v>8</v>
      </c>
      <c r="C16" s="10">
        <v>78711</v>
      </c>
      <c r="D16" s="12">
        <v>7337190</v>
      </c>
      <c r="H16" s="179">
        <f t="shared" si="0"/>
        <v>917148.75</v>
      </c>
      <c r="I16" s="181">
        <f t="shared" si="1"/>
        <v>11.652103899073827</v>
      </c>
      <c r="J16" s="17">
        <f t="shared" si="2"/>
        <v>-4.1158572305907692E-2</v>
      </c>
    </row>
    <row r="17" spans="2:10">
      <c r="B17" s="6">
        <v>9</v>
      </c>
      <c r="C17" s="10">
        <v>79851</v>
      </c>
      <c r="D17" s="12">
        <v>8032960</v>
      </c>
      <c r="H17" s="179">
        <f t="shared" si="0"/>
        <v>892551.11111111112</v>
      </c>
      <c r="I17" s="181">
        <f t="shared" si="1"/>
        <v>11.177707368863397</v>
      </c>
      <c r="J17" s="17">
        <f t="shared" si="2"/>
        <v>-4.0713379688292917E-2</v>
      </c>
    </row>
    <row r="18" spans="2:10">
      <c r="B18" s="6">
        <v>10</v>
      </c>
      <c r="C18" s="10">
        <v>87536</v>
      </c>
      <c r="D18" s="12">
        <v>9422309</v>
      </c>
      <c r="H18" s="179">
        <f t="shared" si="0"/>
        <v>942230.9</v>
      </c>
      <c r="I18" s="181">
        <f t="shared" si="1"/>
        <v>10.763924556753793</v>
      </c>
      <c r="J18" s="17">
        <f t="shared" si="2"/>
        <v>-3.7018576211991117E-2</v>
      </c>
    </row>
    <row r="19" spans="2:10">
      <c r="B19" s="6">
        <v>11</v>
      </c>
      <c r="C19" s="10">
        <v>117062</v>
      </c>
      <c r="D19" s="12">
        <v>13455394</v>
      </c>
      <c r="H19" s="179">
        <f t="shared" si="0"/>
        <v>1223217.6363636365</v>
      </c>
      <c r="I19" s="181">
        <f t="shared" si="1"/>
        <v>10.449314349350228</v>
      </c>
      <c r="J19" s="17">
        <f t="shared" si="2"/>
        <v>-2.9228206287098435E-2</v>
      </c>
    </row>
    <row r="20" spans="2:10" ht="15.75" thickBot="1">
      <c r="B20" s="6">
        <v>12</v>
      </c>
      <c r="C20" s="10">
        <v>466330</v>
      </c>
      <c r="D20" s="12">
        <v>74052212</v>
      </c>
      <c r="H20" s="183">
        <f>+D20/B20</f>
        <v>6171017.666666667</v>
      </c>
      <c r="I20" s="184">
        <f>+H20/C20</f>
        <v>13.23315606258801</v>
      </c>
      <c r="J20" s="17">
        <f t="shared" si="2"/>
        <v>0.26641381627215477</v>
      </c>
    </row>
    <row r="21" spans="2:10" ht="15.75" thickTop="1">
      <c r="B21" s="11" t="s">
        <v>3</v>
      </c>
      <c r="C21" s="10">
        <v>1199555</v>
      </c>
      <c r="D21" s="12">
        <v>137997828</v>
      </c>
    </row>
    <row r="23" spans="2:10" hidden="1">
      <c r="D23" s="19">
        <f>+D21/12</f>
        <v>11499819</v>
      </c>
    </row>
  </sheetData>
  <mergeCells count="1">
    <mergeCell ref="B2:D2"/>
  </mergeCells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workbookViewId="0"/>
  </sheetViews>
  <sheetFormatPr baseColWidth="10" defaultRowHeight="15"/>
  <cols>
    <col min="1" max="1" width="7.7109375" customWidth="1"/>
  </cols>
  <sheetData>
    <row r="2" spans="2:7" ht="28.9" customHeight="1" thickBot="1">
      <c r="B2" s="188" t="s">
        <v>84</v>
      </c>
      <c r="C2" s="188"/>
      <c r="D2" s="188"/>
      <c r="E2" s="188"/>
    </row>
    <row r="3" spans="2:7" ht="15.75" thickTop="1"/>
    <row r="6" spans="2:7" ht="15.75">
      <c r="G6" s="101" t="s">
        <v>143</v>
      </c>
    </row>
    <row r="7" spans="2:7" ht="15.75">
      <c r="G7" s="101" t="s">
        <v>144</v>
      </c>
    </row>
    <row r="8" spans="2:7" ht="15.75">
      <c r="G8" s="101" t="s">
        <v>145</v>
      </c>
    </row>
    <row r="9" spans="2:7" ht="15.75">
      <c r="D9" s="2"/>
      <c r="G9" s="101"/>
    </row>
  </sheetData>
  <mergeCells count="1">
    <mergeCell ref="B2:E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39"/>
  <sheetViews>
    <sheetView showGridLines="0" topLeftCell="A4" workbookViewId="0">
      <selection activeCell="M6" sqref="M6:M38"/>
    </sheetView>
  </sheetViews>
  <sheetFormatPr baseColWidth="10" defaultRowHeight="15"/>
  <cols>
    <col min="1" max="1" width="5" customWidth="1"/>
    <col min="2" max="2" width="14.28515625" customWidth="1"/>
    <col min="4" max="4" width="14.5703125" customWidth="1"/>
    <col min="5" max="5" width="14.28515625" customWidth="1"/>
    <col min="12" max="12" width="13.85546875" customWidth="1"/>
    <col min="13" max="13" width="13.42578125" customWidth="1"/>
    <col min="19" max="19" width="6" customWidth="1"/>
    <col min="20" max="20" width="12.42578125" customWidth="1"/>
  </cols>
  <sheetData>
    <row r="3" spans="2:22">
      <c r="C3" s="71"/>
    </row>
    <row r="4" spans="2:22" ht="15.75" thickBot="1"/>
    <row r="5" spans="2:22" ht="16.5" thickTop="1" thickBot="1">
      <c r="B5" s="26" t="s">
        <v>10</v>
      </c>
      <c r="C5" s="27" t="s">
        <v>18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I5" s="27" t="s">
        <v>16</v>
      </c>
      <c r="J5" s="28" t="s">
        <v>17</v>
      </c>
      <c r="L5" s="48" t="s">
        <v>11</v>
      </c>
      <c r="M5" s="49" t="s">
        <v>12</v>
      </c>
      <c r="N5" s="49" t="s">
        <v>13</v>
      </c>
      <c r="O5" s="49" t="s">
        <v>14</v>
      </c>
      <c r="P5" s="49" t="s">
        <v>15</v>
      </c>
      <c r="Q5" s="49" t="s">
        <v>16</v>
      </c>
      <c r="R5" s="50" t="s">
        <v>17</v>
      </c>
      <c r="T5" s="56" t="s">
        <v>11</v>
      </c>
      <c r="U5" s="51" t="s">
        <v>19</v>
      </c>
      <c r="V5" s="52" t="s">
        <v>20</v>
      </c>
    </row>
    <row r="6" spans="2:22" ht="19.899999999999999" customHeight="1">
      <c r="B6" s="189">
        <v>1</v>
      </c>
      <c r="C6" s="192">
        <v>200264</v>
      </c>
      <c r="D6" s="185" t="s">
        <v>130</v>
      </c>
      <c r="E6" s="185" t="s">
        <v>130</v>
      </c>
      <c r="F6" s="29">
        <v>200264</v>
      </c>
      <c r="G6" s="30">
        <v>5.5545999999999998E-3</v>
      </c>
      <c r="H6" s="30">
        <v>2.9519500000000001E-2</v>
      </c>
      <c r="I6" s="30">
        <v>0</v>
      </c>
      <c r="J6" s="31">
        <v>0.4166667</v>
      </c>
      <c r="L6" s="45" t="s">
        <v>130</v>
      </c>
      <c r="M6" s="45" t="s">
        <v>130</v>
      </c>
      <c r="N6" s="29">
        <v>285135</v>
      </c>
      <c r="O6" s="30">
        <v>5.3293000000000004E-3</v>
      </c>
      <c r="P6" s="30">
        <v>2.9197500000000001E-2</v>
      </c>
      <c r="Q6" s="30">
        <v>0</v>
      </c>
      <c r="R6" s="31">
        <v>0.4166667</v>
      </c>
      <c r="T6" s="57" t="str">
        <f>+D6</f>
        <v>PCT_CANAL1</v>
      </c>
      <c r="U6" s="60">
        <f t="shared" ref="U6:U16" si="0">+(G6-O6)/P6</f>
        <v>7.7164140765476306E-3</v>
      </c>
      <c r="V6" s="53">
        <v>0</v>
      </c>
    </row>
    <row r="7" spans="2:22" ht="19.899999999999999" customHeight="1">
      <c r="B7" s="190"/>
      <c r="C7" s="193"/>
      <c r="D7" s="186" t="s">
        <v>131</v>
      </c>
      <c r="E7" s="186" t="s">
        <v>131</v>
      </c>
      <c r="F7" s="32">
        <v>200264</v>
      </c>
      <c r="G7" s="33">
        <v>5.3936900000000003E-2</v>
      </c>
      <c r="H7" s="33">
        <v>0.1122607</v>
      </c>
      <c r="I7" s="33">
        <v>0</v>
      </c>
      <c r="J7" s="34">
        <v>0.8</v>
      </c>
      <c r="L7" s="46" t="s">
        <v>131</v>
      </c>
      <c r="M7" s="46" t="s">
        <v>131</v>
      </c>
      <c r="N7" s="32">
        <v>285135</v>
      </c>
      <c r="O7" s="33">
        <v>4.1117800000000003E-2</v>
      </c>
      <c r="P7" s="33">
        <v>9.75636E-2</v>
      </c>
      <c r="Q7" s="33">
        <v>0</v>
      </c>
      <c r="R7" s="34">
        <v>0.8</v>
      </c>
      <c r="T7" s="58" t="str">
        <f t="shared" ref="T7:T38" si="1">+D7</f>
        <v>PCT_CANAL2</v>
      </c>
      <c r="U7" s="61">
        <f t="shared" si="0"/>
        <v>0.13139224054872925</v>
      </c>
      <c r="V7" s="54">
        <v>0</v>
      </c>
    </row>
    <row r="8" spans="2:22" ht="19.899999999999999" customHeight="1">
      <c r="B8" s="190"/>
      <c r="C8" s="193"/>
      <c r="D8" s="186" t="s">
        <v>132</v>
      </c>
      <c r="E8" s="186" t="s">
        <v>132</v>
      </c>
      <c r="F8" s="32">
        <v>200264</v>
      </c>
      <c r="G8" s="33">
        <v>4.6350299999999997E-2</v>
      </c>
      <c r="H8" s="33">
        <v>9.8433699999999999E-2</v>
      </c>
      <c r="I8" s="33">
        <v>0</v>
      </c>
      <c r="J8" s="34">
        <v>0.58964139999999998</v>
      </c>
      <c r="L8" s="46" t="s">
        <v>132</v>
      </c>
      <c r="M8" s="46" t="s">
        <v>132</v>
      </c>
      <c r="N8" s="32">
        <v>285135</v>
      </c>
      <c r="O8" s="33">
        <v>3.5534999999999997E-2</v>
      </c>
      <c r="P8" s="33">
        <v>8.58878E-2</v>
      </c>
      <c r="Q8" s="33">
        <v>0</v>
      </c>
      <c r="R8" s="34">
        <v>0.58964139999999998</v>
      </c>
      <c r="T8" s="58" t="str">
        <f t="shared" si="1"/>
        <v>PCT_CANAL3</v>
      </c>
      <c r="U8" s="61">
        <f t="shared" si="0"/>
        <v>0.12592358868197812</v>
      </c>
      <c r="V8" s="54">
        <v>0</v>
      </c>
    </row>
    <row r="9" spans="2:22" ht="19.899999999999999" customHeight="1">
      <c r="B9" s="190"/>
      <c r="C9" s="193"/>
      <c r="D9" s="186" t="s">
        <v>133</v>
      </c>
      <c r="E9" s="186" t="s">
        <v>133</v>
      </c>
      <c r="F9" s="32">
        <v>200264</v>
      </c>
      <c r="G9" s="33">
        <v>5.0951E-3</v>
      </c>
      <c r="H9" s="33">
        <v>3.3476400000000003E-2</v>
      </c>
      <c r="I9" s="33">
        <v>0</v>
      </c>
      <c r="J9" s="34">
        <v>0.38848919999999998</v>
      </c>
      <c r="L9" s="46" t="s">
        <v>133</v>
      </c>
      <c r="M9" s="46" t="s">
        <v>133</v>
      </c>
      <c r="N9" s="32">
        <v>285135</v>
      </c>
      <c r="O9" s="33">
        <v>9.9512199999999995E-2</v>
      </c>
      <c r="P9" s="33">
        <v>0.2434481</v>
      </c>
      <c r="Q9" s="33">
        <v>0</v>
      </c>
      <c r="R9" s="34">
        <v>0.95315680000000003</v>
      </c>
      <c r="T9" s="58" t="str">
        <f t="shared" si="1"/>
        <v>PCT_CANAL4</v>
      </c>
      <c r="U9" s="61">
        <f t="shared" si="0"/>
        <v>-0.38783256061558907</v>
      </c>
      <c r="V9" s="54">
        <v>0</v>
      </c>
    </row>
    <row r="10" spans="2:22" ht="19.899999999999999" customHeight="1">
      <c r="B10" s="190"/>
      <c r="C10" s="193"/>
      <c r="D10" s="186" t="s">
        <v>134</v>
      </c>
      <c r="E10" s="186" t="s">
        <v>134</v>
      </c>
      <c r="F10" s="32">
        <v>200264</v>
      </c>
      <c r="G10" s="33">
        <v>1.6070299999999999E-2</v>
      </c>
      <c r="H10" s="33">
        <v>5.4858200000000003E-2</v>
      </c>
      <c r="I10" s="33">
        <v>0</v>
      </c>
      <c r="J10" s="34">
        <v>0.37931029999999999</v>
      </c>
      <c r="L10" s="46" t="s">
        <v>134</v>
      </c>
      <c r="M10" s="46" t="s">
        <v>134</v>
      </c>
      <c r="N10" s="32">
        <v>285135</v>
      </c>
      <c r="O10" s="33">
        <v>0.1100589</v>
      </c>
      <c r="P10" s="33">
        <v>0.22412850000000001</v>
      </c>
      <c r="Q10" s="33">
        <v>0</v>
      </c>
      <c r="R10" s="34">
        <v>0.95218420000000004</v>
      </c>
      <c r="T10" s="58" t="str">
        <f t="shared" si="1"/>
        <v>PCT_CANAL5</v>
      </c>
      <c r="U10" s="61">
        <f t="shared" si="0"/>
        <v>-0.419351398862706</v>
      </c>
      <c r="V10" s="54">
        <v>0</v>
      </c>
    </row>
    <row r="11" spans="2:22" ht="19.899999999999999" customHeight="1">
      <c r="B11" s="190"/>
      <c r="C11" s="193"/>
      <c r="D11" s="186" t="s">
        <v>135</v>
      </c>
      <c r="E11" s="186" t="s">
        <v>135</v>
      </c>
      <c r="F11" s="32">
        <v>200264</v>
      </c>
      <c r="G11" s="33">
        <v>1.4533900000000001E-2</v>
      </c>
      <c r="H11" s="33">
        <v>5.8385300000000001E-2</v>
      </c>
      <c r="I11" s="33">
        <v>0</v>
      </c>
      <c r="J11" s="34">
        <v>0.51052629999999999</v>
      </c>
      <c r="L11" s="46" t="s">
        <v>135</v>
      </c>
      <c r="M11" s="46" t="s">
        <v>135</v>
      </c>
      <c r="N11" s="32">
        <v>285135</v>
      </c>
      <c r="O11" s="33">
        <v>1.12163E-2</v>
      </c>
      <c r="P11" s="33">
        <v>5.03066E-2</v>
      </c>
      <c r="Q11" s="33">
        <v>0</v>
      </c>
      <c r="R11" s="34">
        <v>0.51052629999999999</v>
      </c>
      <c r="T11" s="58" t="str">
        <f t="shared" si="1"/>
        <v>PCT_CANAL6</v>
      </c>
      <c r="U11" s="61">
        <f t="shared" si="0"/>
        <v>6.5947609260017581E-2</v>
      </c>
      <c r="V11" s="54">
        <v>0</v>
      </c>
    </row>
    <row r="12" spans="2:22" ht="19.899999999999999" customHeight="1">
      <c r="B12" s="190"/>
      <c r="C12" s="193"/>
      <c r="D12" s="186" t="s">
        <v>136</v>
      </c>
      <c r="E12" s="186" t="s">
        <v>136</v>
      </c>
      <c r="F12" s="32">
        <v>200264</v>
      </c>
      <c r="G12" s="33">
        <v>1.8110299999999999E-2</v>
      </c>
      <c r="H12" s="33">
        <v>3.9077399999999998E-2</v>
      </c>
      <c r="I12" s="33">
        <v>0</v>
      </c>
      <c r="J12" s="34">
        <v>0.42857139999999999</v>
      </c>
      <c r="L12" s="46" t="s">
        <v>136</v>
      </c>
      <c r="M12" s="46" t="s">
        <v>136</v>
      </c>
      <c r="N12" s="32">
        <v>285135</v>
      </c>
      <c r="O12" s="33">
        <v>1.9921000000000001E-2</v>
      </c>
      <c r="P12" s="33">
        <v>4.8187399999999998E-2</v>
      </c>
      <c r="Q12" s="33">
        <v>0</v>
      </c>
      <c r="R12" s="34">
        <v>0.5</v>
      </c>
      <c r="T12" s="58" t="str">
        <f t="shared" si="1"/>
        <v>PCT_CANAL7</v>
      </c>
      <c r="U12" s="61">
        <f t="shared" si="0"/>
        <v>-3.7576212868924284E-2</v>
      </c>
      <c r="V12" s="54">
        <v>0</v>
      </c>
    </row>
    <row r="13" spans="2:22" ht="19.899999999999999" customHeight="1">
      <c r="B13" s="190"/>
      <c r="C13" s="193"/>
      <c r="D13" s="186" t="s">
        <v>137</v>
      </c>
      <c r="E13" s="186" t="s">
        <v>137</v>
      </c>
      <c r="F13" s="32">
        <v>200264</v>
      </c>
      <c r="G13" s="33">
        <v>4.6162399999999999E-2</v>
      </c>
      <c r="H13" s="33">
        <v>0.112354</v>
      </c>
      <c r="I13" s="33">
        <v>0</v>
      </c>
      <c r="J13" s="34">
        <v>0.92857140000000005</v>
      </c>
      <c r="L13" s="46" t="s">
        <v>137</v>
      </c>
      <c r="M13" s="46" t="s">
        <v>137</v>
      </c>
      <c r="N13" s="32">
        <v>285135</v>
      </c>
      <c r="O13" s="33">
        <v>3.6702899999999997E-2</v>
      </c>
      <c r="P13" s="33">
        <v>9.8033800000000004E-2</v>
      </c>
      <c r="Q13" s="33">
        <v>0</v>
      </c>
      <c r="R13" s="34">
        <v>0.92857140000000005</v>
      </c>
      <c r="T13" s="58" t="str">
        <f t="shared" si="1"/>
        <v>PCT_CANAL8</v>
      </c>
      <c r="U13" s="61">
        <f t="shared" si="0"/>
        <v>9.6492230230797976E-2</v>
      </c>
      <c r="V13" s="54">
        <v>0</v>
      </c>
    </row>
    <row r="14" spans="2:22" ht="19.899999999999999" customHeight="1">
      <c r="B14" s="190"/>
      <c r="C14" s="193"/>
      <c r="D14" s="186" t="s">
        <v>138</v>
      </c>
      <c r="E14" s="186" t="s">
        <v>138</v>
      </c>
      <c r="F14" s="32">
        <v>200264</v>
      </c>
      <c r="G14" s="33">
        <v>0.71420130000000004</v>
      </c>
      <c r="H14" s="33">
        <v>0.22135730000000001</v>
      </c>
      <c r="I14" s="33">
        <v>0</v>
      </c>
      <c r="J14" s="34">
        <v>1</v>
      </c>
      <c r="L14" s="46" t="s">
        <v>138</v>
      </c>
      <c r="M14" s="46" t="s">
        <v>138</v>
      </c>
      <c r="N14" s="32">
        <v>285135</v>
      </c>
      <c r="O14" s="33">
        <v>0.55043059999999999</v>
      </c>
      <c r="P14" s="33">
        <v>0.32089380000000001</v>
      </c>
      <c r="Q14" s="33">
        <v>0</v>
      </c>
      <c r="R14" s="34">
        <v>1</v>
      </c>
      <c r="T14" s="58" t="str">
        <f t="shared" si="1"/>
        <v>PCT_CANAL9</v>
      </c>
      <c r="U14" s="61">
        <f t="shared" si="0"/>
        <v>0.51035794396775525</v>
      </c>
      <c r="V14" s="54">
        <v>0</v>
      </c>
    </row>
    <row r="15" spans="2:22" ht="19.899999999999999" customHeight="1">
      <c r="B15" s="190"/>
      <c r="C15" s="193"/>
      <c r="D15" s="186" t="s">
        <v>139</v>
      </c>
      <c r="E15" s="186" t="s">
        <v>139</v>
      </c>
      <c r="F15" s="32">
        <v>200264</v>
      </c>
      <c r="G15" s="33">
        <v>3.8901000000000001E-3</v>
      </c>
      <c r="H15" s="33">
        <v>2.4765599999999999E-2</v>
      </c>
      <c r="I15" s="33">
        <v>0</v>
      </c>
      <c r="J15" s="34">
        <v>0.3684211</v>
      </c>
      <c r="L15" s="46" t="s">
        <v>139</v>
      </c>
      <c r="M15" s="46" t="s">
        <v>139</v>
      </c>
      <c r="N15" s="32">
        <v>285135</v>
      </c>
      <c r="O15" s="33">
        <v>2.06415E-2</v>
      </c>
      <c r="P15" s="33">
        <v>9.5968100000000001E-2</v>
      </c>
      <c r="Q15" s="33">
        <v>0</v>
      </c>
      <c r="R15" s="34">
        <v>0.88709680000000002</v>
      </c>
      <c r="T15" s="58" t="str">
        <f t="shared" si="1"/>
        <v>PCT_CANAL10</v>
      </c>
      <c r="U15" s="61">
        <f t="shared" si="0"/>
        <v>-0.17455175209262244</v>
      </c>
      <c r="V15" s="54">
        <v>0</v>
      </c>
    </row>
    <row r="16" spans="2:22" ht="19.899999999999999" customHeight="1" thickBot="1">
      <c r="B16" s="191"/>
      <c r="C16" s="194"/>
      <c r="D16" s="35" t="s">
        <v>140</v>
      </c>
      <c r="E16" s="35" t="s">
        <v>140</v>
      </c>
      <c r="F16" s="35">
        <v>200264</v>
      </c>
      <c r="G16" s="36">
        <v>7.6094999999999996E-2</v>
      </c>
      <c r="H16" s="36">
        <v>0.1214684</v>
      </c>
      <c r="I16" s="36">
        <v>0</v>
      </c>
      <c r="J16" s="37">
        <v>0.63157890000000005</v>
      </c>
      <c r="L16" s="47" t="s">
        <v>140</v>
      </c>
      <c r="M16" s="47" t="s">
        <v>140</v>
      </c>
      <c r="N16" s="35">
        <v>285135</v>
      </c>
      <c r="O16" s="36">
        <v>6.9534299999999993E-2</v>
      </c>
      <c r="P16" s="36">
        <v>0.1103164</v>
      </c>
      <c r="Q16" s="36">
        <v>0</v>
      </c>
      <c r="R16" s="37">
        <v>0.63157890000000005</v>
      </c>
      <c r="T16" s="59" t="str">
        <f t="shared" si="1"/>
        <v>PCT_CANAL11</v>
      </c>
      <c r="U16" s="62">
        <f t="shared" si="0"/>
        <v>5.9471665137731132E-2</v>
      </c>
      <c r="V16" s="55">
        <v>0</v>
      </c>
    </row>
    <row r="17" spans="2:22" ht="19.899999999999999" customHeight="1">
      <c r="B17" s="189">
        <v>2</v>
      </c>
      <c r="C17" s="192">
        <v>36231</v>
      </c>
      <c r="D17" s="29" t="s">
        <v>130</v>
      </c>
      <c r="E17" s="29" t="s">
        <v>130</v>
      </c>
      <c r="F17" s="29">
        <v>36231</v>
      </c>
      <c r="G17" s="30">
        <v>1.1192999999999999E-3</v>
      </c>
      <c r="H17" s="30">
        <v>7.8484999999999996E-3</v>
      </c>
      <c r="I17" s="30">
        <v>0</v>
      </c>
      <c r="J17" s="31">
        <v>0.35294120000000001</v>
      </c>
      <c r="L17" s="45" t="s">
        <v>130</v>
      </c>
      <c r="M17" s="45" t="s">
        <v>130</v>
      </c>
      <c r="N17" s="29">
        <v>285135</v>
      </c>
      <c r="O17" s="30">
        <v>5.3293000000000004E-3</v>
      </c>
      <c r="P17" s="30">
        <v>2.9197500000000001E-2</v>
      </c>
      <c r="Q17" s="30">
        <v>0</v>
      </c>
      <c r="R17" s="31">
        <v>0.4166667</v>
      </c>
      <c r="T17" s="58" t="str">
        <f t="shared" si="1"/>
        <v>PCT_CANAL1</v>
      </c>
      <c r="U17" s="61">
        <f t="shared" ref="U17:U38" si="2">+(G17-O17)/P17</f>
        <v>-0.14419042726260811</v>
      </c>
      <c r="V17" s="54">
        <v>0</v>
      </c>
    </row>
    <row r="18" spans="2:22" ht="19.899999999999999" customHeight="1">
      <c r="B18" s="190"/>
      <c r="C18" s="193"/>
      <c r="D18" s="32" t="s">
        <v>131</v>
      </c>
      <c r="E18" s="32" t="s">
        <v>131</v>
      </c>
      <c r="F18" s="32">
        <v>36231</v>
      </c>
      <c r="G18" s="33">
        <v>9.6077000000000003E-3</v>
      </c>
      <c r="H18" s="33">
        <v>2.3256499999999999E-2</v>
      </c>
      <c r="I18" s="33">
        <v>0</v>
      </c>
      <c r="J18" s="34">
        <v>0.54761899999999997</v>
      </c>
      <c r="L18" s="46" t="s">
        <v>131</v>
      </c>
      <c r="M18" s="46" t="s">
        <v>131</v>
      </c>
      <c r="N18" s="32">
        <v>285135</v>
      </c>
      <c r="O18" s="33">
        <v>4.1117800000000003E-2</v>
      </c>
      <c r="P18" s="33">
        <v>9.75636E-2</v>
      </c>
      <c r="Q18" s="33">
        <v>0</v>
      </c>
      <c r="R18" s="34">
        <v>0.8</v>
      </c>
      <c r="T18" s="58" t="str">
        <f t="shared" si="1"/>
        <v>PCT_CANAL2</v>
      </c>
      <c r="U18" s="61">
        <f t="shared" si="2"/>
        <v>-0.32296983711138172</v>
      </c>
      <c r="V18" s="54">
        <v>0</v>
      </c>
    </row>
    <row r="19" spans="2:22" ht="19.899999999999999" customHeight="1">
      <c r="B19" s="190"/>
      <c r="C19" s="193"/>
      <c r="D19" s="32" t="s">
        <v>132</v>
      </c>
      <c r="E19" s="32" t="s">
        <v>132</v>
      </c>
      <c r="F19" s="32">
        <v>36231</v>
      </c>
      <c r="G19" s="33">
        <v>5.5317999999999999E-3</v>
      </c>
      <c r="H19" s="33">
        <v>1.7817400000000001E-2</v>
      </c>
      <c r="I19" s="33">
        <v>0</v>
      </c>
      <c r="J19" s="34">
        <v>0.3846154</v>
      </c>
      <c r="L19" s="46" t="s">
        <v>132</v>
      </c>
      <c r="M19" s="46" t="s">
        <v>132</v>
      </c>
      <c r="N19" s="32">
        <v>285135</v>
      </c>
      <c r="O19" s="33">
        <v>3.5534999999999997E-2</v>
      </c>
      <c r="P19" s="33">
        <v>8.58878E-2</v>
      </c>
      <c r="Q19" s="33">
        <v>0</v>
      </c>
      <c r="R19" s="34">
        <v>0.58964139999999998</v>
      </c>
      <c r="T19" s="58" t="str">
        <f t="shared" si="1"/>
        <v>PCT_CANAL3</v>
      </c>
      <c r="U19" s="61">
        <f t="shared" si="2"/>
        <v>-0.34933017262055843</v>
      </c>
      <c r="V19" s="54">
        <v>0</v>
      </c>
    </row>
    <row r="20" spans="2:22" ht="19.899999999999999" customHeight="1">
      <c r="B20" s="190"/>
      <c r="C20" s="193"/>
      <c r="D20" s="32" t="s">
        <v>133</v>
      </c>
      <c r="E20" s="32" t="s">
        <v>133</v>
      </c>
      <c r="F20" s="32">
        <v>36231</v>
      </c>
      <c r="G20" s="33">
        <v>0.70582060000000002</v>
      </c>
      <c r="H20" s="33">
        <v>0.16559760000000001</v>
      </c>
      <c r="I20" s="33">
        <v>0.25806449999999997</v>
      </c>
      <c r="J20" s="34">
        <v>0.95315680000000003</v>
      </c>
      <c r="L20" s="46" t="s">
        <v>133</v>
      </c>
      <c r="M20" s="46" t="s">
        <v>133</v>
      </c>
      <c r="N20" s="32">
        <v>285135</v>
      </c>
      <c r="O20" s="33">
        <v>9.9512199999999995E-2</v>
      </c>
      <c r="P20" s="33">
        <v>0.2434481</v>
      </c>
      <c r="Q20" s="33">
        <v>0</v>
      </c>
      <c r="R20" s="34">
        <v>0.95315680000000003</v>
      </c>
      <c r="T20" s="58" t="str">
        <f t="shared" si="1"/>
        <v>PCT_CANAL4</v>
      </c>
      <c r="U20" s="61">
        <f t="shared" si="2"/>
        <v>2.4905037254347029</v>
      </c>
      <c r="V20" s="54">
        <v>0</v>
      </c>
    </row>
    <row r="21" spans="2:22" ht="19.899999999999999" customHeight="1">
      <c r="B21" s="190"/>
      <c r="C21" s="193"/>
      <c r="D21" s="32" t="s">
        <v>134</v>
      </c>
      <c r="E21" s="32" t="s">
        <v>134</v>
      </c>
      <c r="F21" s="32">
        <v>36231</v>
      </c>
      <c r="G21" s="33">
        <v>8.2129499999999994E-2</v>
      </c>
      <c r="H21" s="33">
        <v>0.10568379999999999</v>
      </c>
      <c r="I21" s="33">
        <v>0</v>
      </c>
      <c r="J21" s="34">
        <v>0.53608250000000002</v>
      </c>
      <c r="L21" s="46" t="s">
        <v>134</v>
      </c>
      <c r="M21" s="46" t="s">
        <v>134</v>
      </c>
      <c r="N21" s="32">
        <v>285135</v>
      </c>
      <c r="O21" s="33">
        <v>0.1100589</v>
      </c>
      <c r="P21" s="33">
        <v>0.22412850000000001</v>
      </c>
      <c r="Q21" s="33">
        <v>0</v>
      </c>
      <c r="R21" s="34">
        <v>0.95218420000000004</v>
      </c>
      <c r="T21" s="58" t="str">
        <f t="shared" si="1"/>
        <v>PCT_CANAL5</v>
      </c>
      <c r="U21" s="61">
        <f t="shared" si="2"/>
        <v>-0.12461333565343098</v>
      </c>
      <c r="V21" s="54">
        <v>0</v>
      </c>
    </row>
    <row r="22" spans="2:22" ht="19.899999999999999" customHeight="1">
      <c r="B22" s="190"/>
      <c r="C22" s="193"/>
      <c r="D22" s="32" t="s">
        <v>135</v>
      </c>
      <c r="E22" s="32" t="s">
        <v>135</v>
      </c>
      <c r="F22" s="32">
        <v>36231</v>
      </c>
      <c r="G22" s="33">
        <v>2.6110999999999999E-3</v>
      </c>
      <c r="H22" s="33">
        <v>1.5234599999999999E-2</v>
      </c>
      <c r="I22" s="33">
        <v>0</v>
      </c>
      <c r="J22" s="34">
        <v>0.47058820000000001</v>
      </c>
      <c r="L22" s="46" t="s">
        <v>135</v>
      </c>
      <c r="M22" s="46" t="s">
        <v>135</v>
      </c>
      <c r="N22" s="32">
        <v>285135</v>
      </c>
      <c r="O22" s="33">
        <v>1.12163E-2</v>
      </c>
      <c r="P22" s="33">
        <v>5.03066E-2</v>
      </c>
      <c r="Q22" s="33">
        <v>0</v>
      </c>
      <c r="R22" s="34">
        <v>0.51052629999999999</v>
      </c>
      <c r="T22" s="58" t="str">
        <f t="shared" si="1"/>
        <v>PCT_CANAL6</v>
      </c>
      <c r="U22" s="61">
        <f t="shared" si="2"/>
        <v>-0.17105509018697349</v>
      </c>
      <c r="V22" s="54">
        <v>0</v>
      </c>
    </row>
    <row r="23" spans="2:22" ht="19.899999999999999" customHeight="1">
      <c r="B23" s="190"/>
      <c r="C23" s="193"/>
      <c r="D23" s="32" t="s">
        <v>136</v>
      </c>
      <c r="E23" s="32" t="s">
        <v>136</v>
      </c>
      <c r="F23" s="32">
        <v>36231</v>
      </c>
      <c r="G23" s="33">
        <v>6.5664E-3</v>
      </c>
      <c r="H23" s="33">
        <v>1.58709E-2</v>
      </c>
      <c r="I23" s="33">
        <v>0</v>
      </c>
      <c r="J23" s="34">
        <v>0.4</v>
      </c>
      <c r="L23" s="46" t="s">
        <v>136</v>
      </c>
      <c r="M23" s="46" t="s">
        <v>136</v>
      </c>
      <c r="N23" s="32">
        <v>285135</v>
      </c>
      <c r="O23" s="33">
        <v>1.9921000000000001E-2</v>
      </c>
      <c r="P23" s="33">
        <v>4.8187399999999998E-2</v>
      </c>
      <c r="Q23" s="33">
        <v>0</v>
      </c>
      <c r="R23" s="34">
        <v>0.5</v>
      </c>
      <c r="T23" s="58" t="str">
        <f t="shared" si="1"/>
        <v>PCT_CANAL7</v>
      </c>
      <c r="U23" s="61">
        <f t="shared" si="2"/>
        <v>-0.27713883712339743</v>
      </c>
      <c r="V23" s="54">
        <v>0</v>
      </c>
    </row>
    <row r="24" spans="2:22" ht="19.899999999999999" customHeight="1">
      <c r="B24" s="190"/>
      <c r="C24" s="193"/>
      <c r="D24" s="32" t="s">
        <v>137</v>
      </c>
      <c r="E24" s="32" t="s">
        <v>137</v>
      </c>
      <c r="F24" s="32">
        <v>36231</v>
      </c>
      <c r="G24" s="33">
        <v>5.0115999999999997E-3</v>
      </c>
      <c r="H24" s="33">
        <v>1.4388400000000001E-2</v>
      </c>
      <c r="I24" s="33">
        <v>0</v>
      </c>
      <c r="J24" s="34">
        <v>0.5263158</v>
      </c>
      <c r="L24" s="46" t="s">
        <v>137</v>
      </c>
      <c r="M24" s="46" t="s">
        <v>137</v>
      </c>
      <c r="N24" s="32">
        <v>285135</v>
      </c>
      <c r="O24" s="33">
        <v>3.6702899999999997E-2</v>
      </c>
      <c r="P24" s="33">
        <v>9.8033800000000004E-2</v>
      </c>
      <c r="Q24" s="33">
        <v>0</v>
      </c>
      <c r="R24" s="34">
        <v>0.92857140000000005</v>
      </c>
      <c r="T24" s="58" t="str">
        <f t="shared" si="1"/>
        <v>PCT_CANAL8</v>
      </c>
      <c r="U24" s="61">
        <f t="shared" si="2"/>
        <v>-0.32326911738604436</v>
      </c>
      <c r="V24" s="54">
        <v>0</v>
      </c>
    </row>
    <row r="25" spans="2:22" ht="19.899999999999999" customHeight="1">
      <c r="B25" s="190"/>
      <c r="C25" s="193"/>
      <c r="D25" s="32" t="s">
        <v>138</v>
      </c>
      <c r="E25" s="32" t="s">
        <v>138</v>
      </c>
      <c r="F25" s="32">
        <v>36231</v>
      </c>
      <c r="G25" s="33">
        <v>0.12576660000000001</v>
      </c>
      <c r="H25" s="33">
        <v>0.1040422</v>
      </c>
      <c r="I25" s="33">
        <v>0</v>
      </c>
      <c r="J25" s="34">
        <v>0.58709679999999997</v>
      </c>
      <c r="L25" s="46" t="s">
        <v>138</v>
      </c>
      <c r="M25" s="46" t="s">
        <v>138</v>
      </c>
      <c r="N25" s="32">
        <v>285135</v>
      </c>
      <c r="O25" s="33">
        <v>0.55043059999999999</v>
      </c>
      <c r="P25" s="33">
        <v>0.32089380000000001</v>
      </c>
      <c r="Q25" s="33">
        <v>0</v>
      </c>
      <c r="R25" s="34">
        <v>1</v>
      </c>
      <c r="T25" s="58" t="str">
        <f t="shared" si="1"/>
        <v>PCT_CANAL9</v>
      </c>
      <c r="U25" s="61">
        <f t="shared" si="2"/>
        <v>-1.3233786380416199</v>
      </c>
      <c r="V25" s="54">
        <v>0</v>
      </c>
    </row>
    <row r="26" spans="2:22" ht="19.899999999999999" customHeight="1">
      <c r="B26" s="190"/>
      <c r="C26" s="193"/>
      <c r="D26" s="32" t="s">
        <v>139</v>
      </c>
      <c r="E26" s="32" t="s">
        <v>139</v>
      </c>
      <c r="F26" s="32">
        <v>36231</v>
      </c>
      <c r="G26" s="33">
        <v>8.1019999999999998E-3</v>
      </c>
      <c r="H26" s="33">
        <v>3.0949299999999999E-2</v>
      </c>
      <c r="I26" s="33">
        <v>0</v>
      </c>
      <c r="J26" s="34">
        <v>0.44690269999999999</v>
      </c>
      <c r="L26" s="46" t="s">
        <v>139</v>
      </c>
      <c r="M26" s="46" t="s">
        <v>139</v>
      </c>
      <c r="N26" s="32">
        <v>285135</v>
      </c>
      <c r="O26" s="33">
        <v>2.06415E-2</v>
      </c>
      <c r="P26" s="33">
        <v>9.5968100000000001E-2</v>
      </c>
      <c r="Q26" s="33">
        <v>0</v>
      </c>
      <c r="R26" s="34">
        <v>0.88709680000000002</v>
      </c>
      <c r="T26" s="58" t="str">
        <f t="shared" si="1"/>
        <v>PCT_CANAL10</v>
      </c>
      <c r="U26" s="61">
        <f t="shared" si="2"/>
        <v>-0.13066320996247713</v>
      </c>
      <c r="V26" s="54">
        <v>0</v>
      </c>
    </row>
    <row r="27" spans="2:22" ht="19.899999999999999" customHeight="1" thickBot="1">
      <c r="B27" s="191"/>
      <c r="C27" s="194"/>
      <c r="D27" s="35" t="s">
        <v>140</v>
      </c>
      <c r="E27" s="35" t="s">
        <v>140</v>
      </c>
      <c r="F27" s="35">
        <v>36231</v>
      </c>
      <c r="G27" s="36">
        <v>4.7733499999999998E-2</v>
      </c>
      <c r="H27" s="36">
        <v>5.8142600000000003E-2</v>
      </c>
      <c r="I27" s="36">
        <v>0</v>
      </c>
      <c r="J27" s="37">
        <v>0.5263158</v>
      </c>
      <c r="L27" s="47" t="s">
        <v>140</v>
      </c>
      <c r="M27" s="47" t="s">
        <v>140</v>
      </c>
      <c r="N27" s="35">
        <v>285135</v>
      </c>
      <c r="O27" s="36">
        <v>6.9534299999999993E-2</v>
      </c>
      <c r="P27" s="36">
        <v>0.1103164</v>
      </c>
      <c r="Q27" s="36">
        <v>0</v>
      </c>
      <c r="R27" s="37">
        <v>0.63157890000000005</v>
      </c>
      <c r="T27" s="58" t="str">
        <f t="shared" si="1"/>
        <v>PCT_CANAL11</v>
      </c>
      <c r="U27" s="61">
        <f t="shared" si="2"/>
        <v>-0.19762066202305364</v>
      </c>
      <c r="V27" s="54">
        <v>0</v>
      </c>
    </row>
    <row r="28" spans="2:22" ht="19.899999999999999" customHeight="1">
      <c r="B28" s="195">
        <v>3</v>
      </c>
      <c r="C28" s="198">
        <v>48640</v>
      </c>
      <c r="D28" s="38" t="s">
        <v>130</v>
      </c>
      <c r="E28" s="38" t="s">
        <v>130</v>
      </c>
      <c r="F28" s="38">
        <v>48640</v>
      </c>
      <c r="G28" s="39">
        <v>7.5376999999999996E-3</v>
      </c>
      <c r="H28" s="39">
        <v>3.66813E-2</v>
      </c>
      <c r="I28" s="39">
        <v>0</v>
      </c>
      <c r="J28" s="40">
        <v>0.4166667</v>
      </c>
      <c r="L28" s="45" t="s">
        <v>130</v>
      </c>
      <c r="M28" s="45" t="s">
        <v>130</v>
      </c>
      <c r="N28" s="29">
        <v>285135</v>
      </c>
      <c r="O28" s="30">
        <v>5.3293000000000004E-3</v>
      </c>
      <c r="P28" s="30">
        <v>2.9197500000000001E-2</v>
      </c>
      <c r="Q28" s="30">
        <v>0</v>
      </c>
      <c r="R28" s="31">
        <v>0.4166667</v>
      </c>
      <c r="T28" s="57" t="str">
        <f t="shared" si="1"/>
        <v>PCT_CANAL1</v>
      </c>
      <c r="U28" s="60">
        <f t="shared" si="2"/>
        <v>7.563661272369207E-2</v>
      </c>
      <c r="V28" s="53">
        <v>0</v>
      </c>
    </row>
    <row r="29" spans="2:22" ht="19.899999999999999" customHeight="1">
      <c r="B29" s="196"/>
      <c r="C29" s="193"/>
      <c r="D29" s="32" t="s">
        <v>131</v>
      </c>
      <c r="E29" s="32" t="s">
        <v>131</v>
      </c>
      <c r="F29" s="32">
        <v>48640</v>
      </c>
      <c r="G29" s="33">
        <v>1.1809800000000001E-2</v>
      </c>
      <c r="H29" s="33">
        <v>3.5130599999999998E-2</v>
      </c>
      <c r="I29" s="33">
        <v>0</v>
      </c>
      <c r="J29" s="41">
        <v>0.58333330000000005</v>
      </c>
      <c r="L29" s="46" t="s">
        <v>131</v>
      </c>
      <c r="M29" s="46" t="s">
        <v>131</v>
      </c>
      <c r="N29" s="32">
        <v>285135</v>
      </c>
      <c r="O29" s="33">
        <v>4.1117800000000003E-2</v>
      </c>
      <c r="P29" s="33">
        <v>9.75636E-2</v>
      </c>
      <c r="Q29" s="33">
        <v>0</v>
      </c>
      <c r="R29" s="34">
        <v>0.8</v>
      </c>
      <c r="T29" s="58" t="str">
        <f t="shared" si="1"/>
        <v>PCT_CANAL2</v>
      </c>
      <c r="U29" s="61">
        <f t="shared" si="2"/>
        <v>-0.3003989192690717</v>
      </c>
      <c r="V29" s="54">
        <v>0</v>
      </c>
    </row>
    <row r="30" spans="2:22" ht="19.899999999999999" customHeight="1">
      <c r="B30" s="196"/>
      <c r="C30" s="193"/>
      <c r="D30" s="32" t="s">
        <v>132</v>
      </c>
      <c r="E30" s="32" t="s">
        <v>132</v>
      </c>
      <c r="F30" s="32">
        <v>48640</v>
      </c>
      <c r="G30" s="33">
        <v>1.3354599999999999E-2</v>
      </c>
      <c r="H30" s="33">
        <v>3.8338900000000002E-2</v>
      </c>
      <c r="I30" s="33">
        <v>0</v>
      </c>
      <c r="J30" s="41">
        <v>0.55555560000000004</v>
      </c>
      <c r="L30" s="46" t="s">
        <v>132</v>
      </c>
      <c r="M30" s="46" t="s">
        <v>132</v>
      </c>
      <c r="N30" s="32">
        <v>285135</v>
      </c>
      <c r="O30" s="33">
        <v>3.5534999999999997E-2</v>
      </c>
      <c r="P30" s="33">
        <v>8.58878E-2</v>
      </c>
      <c r="Q30" s="33">
        <v>0</v>
      </c>
      <c r="R30" s="34">
        <v>0.58964139999999998</v>
      </c>
      <c r="T30" s="58" t="str">
        <f t="shared" si="1"/>
        <v>PCT_CANAL3</v>
      </c>
      <c r="U30" s="61">
        <f t="shared" si="2"/>
        <v>-0.25824855218086851</v>
      </c>
      <c r="V30" s="54">
        <v>0</v>
      </c>
    </row>
    <row r="31" spans="2:22" ht="19.899999999999999" customHeight="1">
      <c r="B31" s="196"/>
      <c r="C31" s="193"/>
      <c r="D31" s="32" t="s">
        <v>133</v>
      </c>
      <c r="E31" s="32" t="s">
        <v>133</v>
      </c>
      <c r="F31" s="32">
        <v>48640</v>
      </c>
      <c r="G31" s="33">
        <v>3.6625199999999997E-2</v>
      </c>
      <c r="H31" s="33">
        <v>8.8920700000000005E-2</v>
      </c>
      <c r="I31" s="33">
        <v>0</v>
      </c>
      <c r="J31" s="41">
        <v>0.55000000000000004</v>
      </c>
      <c r="L31" s="46" t="s">
        <v>133</v>
      </c>
      <c r="M31" s="46" t="s">
        <v>133</v>
      </c>
      <c r="N31" s="32">
        <v>285135</v>
      </c>
      <c r="O31" s="33">
        <v>9.9512199999999995E-2</v>
      </c>
      <c r="P31" s="33">
        <v>0.2434481</v>
      </c>
      <c r="Q31" s="33">
        <v>0</v>
      </c>
      <c r="R31" s="34">
        <v>0.95315680000000003</v>
      </c>
      <c r="T31" s="58" t="str">
        <f t="shared" si="1"/>
        <v>PCT_CANAL4</v>
      </c>
      <c r="U31" s="61">
        <f t="shared" si="2"/>
        <v>-0.25831789198601263</v>
      </c>
      <c r="V31" s="54">
        <v>0</v>
      </c>
    </row>
    <row r="32" spans="2:22" ht="19.899999999999999" customHeight="1">
      <c r="B32" s="196"/>
      <c r="C32" s="193"/>
      <c r="D32" s="32" t="s">
        <v>134</v>
      </c>
      <c r="E32" s="32" t="s">
        <v>134</v>
      </c>
      <c r="F32" s="32">
        <v>48640</v>
      </c>
      <c r="G32" s="33">
        <v>0.51783970000000001</v>
      </c>
      <c r="H32" s="33">
        <v>0.26557429999999999</v>
      </c>
      <c r="I32" s="33">
        <v>0</v>
      </c>
      <c r="J32" s="41">
        <v>0.95218420000000004</v>
      </c>
      <c r="L32" s="46" t="s">
        <v>134</v>
      </c>
      <c r="M32" s="46" t="s">
        <v>134</v>
      </c>
      <c r="N32" s="32">
        <v>285135</v>
      </c>
      <c r="O32" s="33">
        <v>0.1100589</v>
      </c>
      <c r="P32" s="33">
        <v>0.22412850000000001</v>
      </c>
      <c r="Q32" s="33">
        <v>0</v>
      </c>
      <c r="R32" s="34">
        <v>0.95218420000000004</v>
      </c>
      <c r="T32" s="58" t="str">
        <f t="shared" si="1"/>
        <v>PCT_CANAL5</v>
      </c>
      <c r="U32" s="61">
        <f t="shared" si="2"/>
        <v>1.8194062780949321</v>
      </c>
      <c r="V32" s="54">
        <v>0</v>
      </c>
    </row>
    <row r="33" spans="2:22" ht="19.899999999999999" customHeight="1">
      <c r="B33" s="196"/>
      <c r="C33" s="193"/>
      <c r="D33" s="32" t="s">
        <v>135</v>
      </c>
      <c r="E33" s="32" t="s">
        <v>135</v>
      </c>
      <c r="F33" s="32">
        <v>48640</v>
      </c>
      <c r="G33" s="33">
        <v>3.9671999999999997E-3</v>
      </c>
      <c r="H33" s="33">
        <v>2.1786099999999999E-2</v>
      </c>
      <c r="I33" s="33">
        <v>0</v>
      </c>
      <c r="J33" s="41">
        <v>0.48529410000000001</v>
      </c>
      <c r="L33" s="46" t="s">
        <v>135</v>
      </c>
      <c r="M33" s="46" t="s">
        <v>135</v>
      </c>
      <c r="N33" s="32">
        <v>285135</v>
      </c>
      <c r="O33" s="33">
        <v>1.12163E-2</v>
      </c>
      <c r="P33" s="33">
        <v>5.03066E-2</v>
      </c>
      <c r="Q33" s="33">
        <v>0</v>
      </c>
      <c r="R33" s="34">
        <v>0.51052629999999999</v>
      </c>
      <c r="T33" s="58" t="str">
        <f t="shared" si="1"/>
        <v>PCT_CANAL6</v>
      </c>
      <c r="U33" s="61">
        <f t="shared" si="2"/>
        <v>-0.14409838868061051</v>
      </c>
      <c r="V33" s="54">
        <v>0</v>
      </c>
    </row>
    <row r="34" spans="2:22" ht="19.899999999999999" customHeight="1">
      <c r="B34" s="196"/>
      <c r="C34" s="193"/>
      <c r="D34" s="32" t="s">
        <v>136</v>
      </c>
      <c r="E34" s="32" t="s">
        <v>136</v>
      </c>
      <c r="F34" s="32">
        <v>48640</v>
      </c>
      <c r="G34" s="33">
        <v>3.7324000000000003E-2</v>
      </c>
      <c r="H34" s="33">
        <v>8.1780800000000001E-2</v>
      </c>
      <c r="I34" s="33">
        <v>0</v>
      </c>
      <c r="J34" s="41">
        <v>0.5</v>
      </c>
      <c r="L34" s="46" t="s">
        <v>136</v>
      </c>
      <c r="M34" s="46" t="s">
        <v>136</v>
      </c>
      <c r="N34" s="32">
        <v>285135</v>
      </c>
      <c r="O34" s="33">
        <v>1.9921000000000001E-2</v>
      </c>
      <c r="P34" s="33">
        <v>4.8187399999999998E-2</v>
      </c>
      <c r="Q34" s="33">
        <v>0</v>
      </c>
      <c r="R34" s="34">
        <v>0.5</v>
      </c>
      <c r="T34" s="58" t="str">
        <f t="shared" si="1"/>
        <v>PCT_CANAL7</v>
      </c>
      <c r="U34" s="61">
        <f t="shared" si="2"/>
        <v>0.36115250044617475</v>
      </c>
      <c r="V34" s="54">
        <v>0</v>
      </c>
    </row>
    <row r="35" spans="2:22" ht="19.899999999999999" customHeight="1">
      <c r="B35" s="196"/>
      <c r="C35" s="193"/>
      <c r="D35" s="32" t="s">
        <v>137</v>
      </c>
      <c r="E35" s="32" t="s">
        <v>137</v>
      </c>
      <c r="F35" s="32">
        <v>48640</v>
      </c>
      <c r="G35" s="33">
        <v>2.1361999999999999E-2</v>
      </c>
      <c r="H35" s="33">
        <v>5.3468700000000001E-2</v>
      </c>
      <c r="I35" s="33">
        <v>0</v>
      </c>
      <c r="J35" s="41">
        <v>0.72336069999999997</v>
      </c>
      <c r="L35" s="46" t="s">
        <v>137</v>
      </c>
      <c r="M35" s="46" t="s">
        <v>137</v>
      </c>
      <c r="N35" s="32">
        <v>285135</v>
      </c>
      <c r="O35" s="33">
        <v>3.6702899999999997E-2</v>
      </c>
      <c r="P35" s="33">
        <v>9.8033800000000004E-2</v>
      </c>
      <c r="Q35" s="33">
        <v>0</v>
      </c>
      <c r="R35" s="34">
        <v>0.92857140000000005</v>
      </c>
      <c r="T35" s="58" t="str">
        <f t="shared" si="1"/>
        <v>PCT_CANAL8</v>
      </c>
      <c r="U35" s="61">
        <f t="shared" si="2"/>
        <v>-0.15648582427693303</v>
      </c>
      <c r="V35" s="54">
        <v>0</v>
      </c>
    </row>
    <row r="36" spans="2:22" ht="19.899999999999999" customHeight="1">
      <c r="B36" s="196"/>
      <c r="C36" s="193"/>
      <c r="D36" s="32" t="s">
        <v>138</v>
      </c>
      <c r="E36" s="32" t="s">
        <v>138</v>
      </c>
      <c r="F36" s="32">
        <v>48640</v>
      </c>
      <c r="G36" s="33">
        <v>0.19246659999999999</v>
      </c>
      <c r="H36" s="33">
        <v>0.1447001</v>
      </c>
      <c r="I36" s="33">
        <v>0</v>
      </c>
      <c r="J36" s="41">
        <v>0.625</v>
      </c>
      <c r="L36" s="46" t="s">
        <v>138</v>
      </c>
      <c r="M36" s="46" t="s">
        <v>138</v>
      </c>
      <c r="N36" s="32">
        <v>285135</v>
      </c>
      <c r="O36" s="33">
        <v>0.55043059999999999</v>
      </c>
      <c r="P36" s="33">
        <v>0.32089380000000001</v>
      </c>
      <c r="Q36" s="33">
        <v>0</v>
      </c>
      <c r="R36" s="34">
        <v>1</v>
      </c>
      <c r="T36" s="58" t="str">
        <f t="shared" si="1"/>
        <v>PCT_CANAL9</v>
      </c>
      <c r="U36" s="61">
        <f t="shared" si="2"/>
        <v>-1.1155217084281466</v>
      </c>
      <c r="V36" s="54">
        <v>0</v>
      </c>
    </row>
    <row r="37" spans="2:22" ht="19.899999999999999" customHeight="1">
      <c r="B37" s="196"/>
      <c r="C37" s="193"/>
      <c r="D37" s="32" t="s">
        <v>139</v>
      </c>
      <c r="E37" s="32" t="s">
        <v>139</v>
      </c>
      <c r="F37" s="32">
        <v>48640</v>
      </c>
      <c r="G37" s="33">
        <v>9.8951700000000004E-2</v>
      </c>
      <c r="H37" s="33">
        <v>0.20819879999999999</v>
      </c>
      <c r="I37" s="33">
        <v>0</v>
      </c>
      <c r="J37" s="41">
        <v>0.88709680000000002</v>
      </c>
      <c r="L37" s="46" t="s">
        <v>139</v>
      </c>
      <c r="M37" s="46" t="s">
        <v>139</v>
      </c>
      <c r="N37" s="32">
        <v>285135</v>
      </c>
      <c r="O37" s="33">
        <v>2.06415E-2</v>
      </c>
      <c r="P37" s="33">
        <v>9.5968100000000001E-2</v>
      </c>
      <c r="Q37" s="33">
        <v>0</v>
      </c>
      <c r="R37" s="34">
        <v>0.88709680000000002</v>
      </c>
      <c r="T37" s="58" t="str">
        <f t="shared" si="1"/>
        <v>PCT_CANAL10</v>
      </c>
      <c r="U37" s="61">
        <f t="shared" si="2"/>
        <v>0.81600240079776509</v>
      </c>
      <c r="V37" s="54">
        <v>0</v>
      </c>
    </row>
    <row r="38" spans="2:22" ht="19.899999999999999" customHeight="1" thickBot="1">
      <c r="B38" s="197"/>
      <c r="C38" s="199"/>
      <c r="D38" s="42" t="s">
        <v>140</v>
      </c>
      <c r="E38" s="42" t="s">
        <v>140</v>
      </c>
      <c r="F38" s="42">
        <v>48640</v>
      </c>
      <c r="G38" s="43">
        <v>5.8761500000000001E-2</v>
      </c>
      <c r="H38" s="43">
        <v>8.6180099999999996E-2</v>
      </c>
      <c r="I38" s="43">
        <v>0</v>
      </c>
      <c r="J38" s="44">
        <v>0.63157890000000005</v>
      </c>
      <c r="L38" s="47" t="s">
        <v>140</v>
      </c>
      <c r="M38" s="47" t="s">
        <v>140</v>
      </c>
      <c r="N38" s="35">
        <v>285135</v>
      </c>
      <c r="O38" s="36">
        <v>6.9534299999999993E-2</v>
      </c>
      <c r="P38" s="36">
        <v>0.1103164</v>
      </c>
      <c r="Q38" s="36">
        <v>0</v>
      </c>
      <c r="R38" s="37">
        <v>0.63157890000000005</v>
      </c>
      <c r="T38" s="59" t="str">
        <f t="shared" si="1"/>
        <v>PCT_CANAL11</v>
      </c>
      <c r="U38" s="62">
        <f t="shared" si="2"/>
        <v>-9.7653658023648282E-2</v>
      </c>
      <c r="V38" s="55">
        <v>0</v>
      </c>
    </row>
    <row r="39" spans="2:22" ht="15.75" thickTop="1"/>
  </sheetData>
  <mergeCells count="6">
    <mergeCell ref="B6:B16"/>
    <mergeCell ref="C6:C16"/>
    <mergeCell ref="B17:B27"/>
    <mergeCell ref="C17:C27"/>
    <mergeCell ref="B28:B38"/>
    <mergeCell ref="C28:C3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49"/>
  <sheetViews>
    <sheetView showGridLines="0" workbookViewId="0">
      <selection activeCell="D1" sqref="D1"/>
    </sheetView>
  </sheetViews>
  <sheetFormatPr baseColWidth="10" defaultRowHeight="15"/>
  <cols>
    <col min="1" max="1" width="5" customWidth="1"/>
    <col min="2" max="2" width="14.28515625" customWidth="1"/>
    <col min="4" max="5" width="13" bestFit="1" customWidth="1"/>
    <col min="12" max="12" width="13.42578125" customWidth="1"/>
    <col min="13" max="13" width="13.5703125" customWidth="1"/>
    <col min="19" max="19" width="6" customWidth="1"/>
    <col min="20" max="20" width="12.42578125" customWidth="1"/>
  </cols>
  <sheetData>
    <row r="3" spans="2:22">
      <c r="C3" s="71">
        <f>+C6/N6</f>
        <v>0.61467375103021371</v>
      </c>
    </row>
    <row r="4" spans="2:22" ht="15.75" thickBot="1"/>
    <row r="5" spans="2:22" ht="15.75" thickBot="1">
      <c r="B5" s="63" t="s">
        <v>21</v>
      </c>
      <c r="C5" s="64" t="s">
        <v>18</v>
      </c>
      <c r="D5" s="48" t="s">
        <v>11</v>
      </c>
      <c r="E5" s="49" t="s">
        <v>12</v>
      </c>
      <c r="F5" s="49" t="s">
        <v>13</v>
      </c>
      <c r="G5" s="49" t="s">
        <v>14</v>
      </c>
      <c r="H5" s="49" t="s">
        <v>15</v>
      </c>
      <c r="I5" s="49" t="s">
        <v>16</v>
      </c>
      <c r="J5" s="50" t="s">
        <v>17</v>
      </c>
      <c r="L5" s="48" t="s">
        <v>11</v>
      </c>
      <c r="M5" s="49" t="s">
        <v>12</v>
      </c>
      <c r="N5" s="49" t="s">
        <v>13</v>
      </c>
      <c r="O5" s="49" t="s">
        <v>14</v>
      </c>
      <c r="P5" s="49" t="s">
        <v>15</v>
      </c>
      <c r="Q5" s="49" t="s">
        <v>16</v>
      </c>
      <c r="R5" s="50" t="s">
        <v>17</v>
      </c>
      <c r="T5" s="56" t="s">
        <v>11</v>
      </c>
      <c r="U5" s="51" t="s">
        <v>19</v>
      </c>
      <c r="V5" s="52" t="s">
        <v>20</v>
      </c>
    </row>
    <row r="6" spans="2:22" ht="19.899999999999999" customHeight="1">
      <c r="B6" s="206">
        <v>1</v>
      </c>
      <c r="C6" s="208">
        <v>175265</v>
      </c>
      <c r="D6" s="45" t="s">
        <v>130</v>
      </c>
      <c r="E6" s="45" t="s">
        <v>130</v>
      </c>
      <c r="F6" s="29">
        <v>175265</v>
      </c>
      <c r="G6" s="30">
        <v>4.9969999999999997E-3</v>
      </c>
      <c r="H6" s="30">
        <v>2.71588E-2</v>
      </c>
      <c r="I6" s="30">
        <v>0</v>
      </c>
      <c r="J6" s="31">
        <v>0.4166667</v>
      </c>
      <c r="L6" s="45" t="s">
        <v>130</v>
      </c>
      <c r="M6" s="45" t="s">
        <v>130</v>
      </c>
      <c r="N6" s="29">
        <v>285135</v>
      </c>
      <c r="O6" s="30">
        <v>5.3293000000000004E-3</v>
      </c>
      <c r="P6" s="30">
        <v>2.9197500000000001E-2</v>
      </c>
      <c r="Q6" s="30">
        <v>0</v>
      </c>
      <c r="R6" s="31">
        <v>0.4166667</v>
      </c>
      <c r="T6" s="57" t="str">
        <f>+D6</f>
        <v>PCT_CANAL1</v>
      </c>
      <c r="U6" s="60">
        <f t="shared" ref="U6:U16" si="0">+(G6-O6)/P6</f>
        <v>-1.1381111396523697E-2</v>
      </c>
      <c r="V6" s="53">
        <v>0</v>
      </c>
    </row>
    <row r="7" spans="2:22" ht="19.899999999999999" customHeight="1">
      <c r="B7" s="201"/>
      <c r="C7" s="204"/>
      <c r="D7" s="46" t="s">
        <v>131</v>
      </c>
      <c r="E7" s="46" t="s">
        <v>131</v>
      </c>
      <c r="F7" s="32">
        <v>175265</v>
      </c>
      <c r="G7" s="33">
        <v>5.5557500000000003E-2</v>
      </c>
      <c r="H7" s="33">
        <v>0.1141337</v>
      </c>
      <c r="I7" s="33">
        <v>0</v>
      </c>
      <c r="J7" s="34">
        <v>0.8</v>
      </c>
      <c r="L7" s="46" t="s">
        <v>131</v>
      </c>
      <c r="M7" s="46" t="s">
        <v>131</v>
      </c>
      <c r="N7" s="32">
        <v>285135</v>
      </c>
      <c r="O7" s="33">
        <v>4.1117800000000003E-2</v>
      </c>
      <c r="P7" s="33">
        <v>9.75636E-2</v>
      </c>
      <c r="Q7" s="33">
        <v>0</v>
      </c>
      <c r="R7" s="34">
        <v>0.8</v>
      </c>
      <c r="T7" s="58" t="str">
        <f t="shared" ref="T7:T38" si="1">+D7</f>
        <v>PCT_CANAL2</v>
      </c>
      <c r="U7" s="61">
        <f t="shared" si="0"/>
        <v>0.14800294372081391</v>
      </c>
      <c r="V7" s="54">
        <v>0</v>
      </c>
    </row>
    <row r="8" spans="2:22" ht="19.899999999999999" customHeight="1">
      <c r="B8" s="201"/>
      <c r="C8" s="204"/>
      <c r="D8" s="46" t="s">
        <v>132</v>
      </c>
      <c r="E8" s="46" t="s">
        <v>132</v>
      </c>
      <c r="F8" s="32">
        <v>175265</v>
      </c>
      <c r="G8" s="33">
        <v>1.8856299999999999E-2</v>
      </c>
      <c r="H8" s="33">
        <v>3.8026499999999998E-2</v>
      </c>
      <c r="I8" s="33">
        <v>0</v>
      </c>
      <c r="J8" s="34">
        <v>0.22352939999999999</v>
      </c>
      <c r="L8" s="46" t="s">
        <v>132</v>
      </c>
      <c r="M8" s="46" t="s">
        <v>132</v>
      </c>
      <c r="N8" s="32">
        <v>285135</v>
      </c>
      <c r="O8" s="33">
        <v>3.5534999999999997E-2</v>
      </c>
      <c r="P8" s="33">
        <v>8.58878E-2</v>
      </c>
      <c r="Q8" s="33">
        <v>0</v>
      </c>
      <c r="R8" s="34">
        <v>0.58964139999999998</v>
      </c>
      <c r="T8" s="58" t="str">
        <f t="shared" si="1"/>
        <v>PCT_CANAL3</v>
      </c>
      <c r="U8" s="61">
        <f t="shared" si="0"/>
        <v>-0.19419172455226466</v>
      </c>
      <c r="V8" s="54">
        <v>0</v>
      </c>
    </row>
    <row r="9" spans="2:22" ht="19.899999999999999" customHeight="1">
      <c r="B9" s="201"/>
      <c r="C9" s="204"/>
      <c r="D9" s="46" t="s">
        <v>133</v>
      </c>
      <c r="E9" s="46" t="s">
        <v>133</v>
      </c>
      <c r="F9" s="32">
        <v>175265</v>
      </c>
      <c r="G9" s="33">
        <v>5.5817000000000002E-3</v>
      </c>
      <c r="H9" s="33">
        <v>3.5045399999999997E-2</v>
      </c>
      <c r="I9" s="33">
        <v>0</v>
      </c>
      <c r="J9" s="34">
        <v>0.39655170000000001</v>
      </c>
      <c r="L9" s="46" t="s">
        <v>133</v>
      </c>
      <c r="M9" s="46" t="s">
        <v>133</v>
      </c>
      <c r="N9" s="32">
        <v>285135</v>
      </c>
      <c r="O9" s="33">
        <v>9.9512199999999995E-2</v>
      </c>
      <c r="P9" s="33">
        <v>0.2434481</v>
      </c>
      <c r="Q9" s="33">
        <v>0</v>
      </c>
      <c r="R9" s="34">
        <v>0.95315680000000003</v>
      </c>
      <c r="T9" s="58" t="str">
        <f t="shared" si="1"/>
        <v>PCT_CANAL4</v>
      </c>
      <c r="U9" s="61">
        <f t="shared" si="0"/>
        <v>-0.38583377730202045</v>
      </c>
      <c r="V9" s="54">
        <v>0</v>
      </c>
    </row>
    <row r="10" spans="2:22" ht="19.899999999999999" customHeight="1">
      <c r="B10" s="201"/>
      <c r="C10" s="204"/>
      <c r="D10" s="46" t="s">
        <v>134</v>
      </c>
      <c r="E10" s="46" t="s">
        <v>134</v>
      </c>
      <c r="F10" s="32">
        <v>175265</v>
      </c>
      <c r="G10" s="33">
        <v>1.7362900000000001E-2</v>
      </c>
      <c r="H10" s="33">
        <v>5.7061000000000001E-2</v>
      </c>
      <c r="I10" s="33">
        <v>0</v>
      </c>
      <c r="J10" s="34">
        <v>0.3846154</v>
      </c>
      <c r="L10" s="46" t="s">
        <v>134</v>
      </c>
      <c r="M10" s="46" t="s">
        <v>134</v>
      </c>
      <c r="N10" s="32">
        <v>285135</v>
      </c>
      <c r="O10" s="33">
        <v>0.1100589</v>
      </c>
      <c r="P10" s="33">
        <v>0.22412850000000001</v>
      </c>
      <c r="Q10" s="33">
        <v>0</v>
      </c>
      <c r="R10" s="34">
        <v>0.95218420000000004</v>
      </c>
      <c r="T10" s="58" t="str">
        <f t="shared" si="1"/>
        <v>PCT_CANAL5</v>
      </c>
      <c r="U10" s="61">
        <f t="shared" si="0"/>
        <v>-0.41358417158014266</v>
      </c>
      <c r="V10" s="54">
        <v>0</v>
      </c>
    </row>
    <row r="11" spans="2:22" ht="19.899999999999999" customHeight="1">
      <c r="B11" s="201"/>
      <c r="C11" s="204"/>
      <c r="D11" s="46" t="s">
        <v>135</v>
      </c>
      <c r="E11" s="46" t="s">
        <v>135</v>
      </c>
      <c r="F11" s="32">
        <v>175265</v>
      </c>
      <c r="G11" s="33">
        <v>1.5540200000000001E-2</v>
      </c>
      <c r="H11" s="33">
        <v>6.0520200000000003E-2</v>
      </c>
      <c r="I11" s="33">
        <v>0</v>
      </c>
      <c r="J11" s="34">
        <v>0.51052629999999999</v>
      </c>
      <c r="L11" s="46" t="s">
        <v>135</v>
      </c>
      <c r="M11" s="46" t="s">
        <v>135</v>
      </c>
      <c r="N11" s="32">
        <v>285135</v>
      </c>
      <c r="O11" s="33">
        <v>1.12163E-2</v>
      </c>
      <c r="P11" s="33">
        <v>5.03066E-2</v>
      </c>
      <c r="Q11" s="33">
        <v>0</v>
      </c>
      <c r="R11" s="34">
        <v>0.51052629999999999</v>
      </c>
      <c r="T11" s="58" t="str">
        <f t="shared" si="1"/>
        <v>PCT_CANAL6</v>
      </c>
      <c r="U11" s="61">
        <f t="shared" si="0"/>
        <v>8.5950948782068368E-2</v>
      </c>
      <c r="V11" s="54">
        <v>0</v>
      </c>
    </row>
    <row r="12" spans="2:22" ht="19.899999999999999" customHeight="1">
      <c r="B12" s="201"/>
      <c r="C12" s="204"/>
      <c r="D12" s="46" t="s">
        <v>136</v>
      </c>
      <c r="E12" s="46" t="s">
        <v>136</v>
      </c>
      <c r="F12" s="32">
        <v>175265</v>
      </c>
      <c r="G12" s="33">
        <v>1.7419899999999999E-2</v>
      </c>
      <c r="H12" s="33">
        <v>3.7990200000000002E-2</v>
      </c>
      <c r="I12" s="33">
        <v>0</v>
      </c>
      <c r="J12" s="34">
        <v>0.4736842</v>
      </c>
      <c r="L12" s="46" t="s">
        <v>136</v>
      </c>
      <c r="M12" s="46" t="s">
        <v>136</v>
      </c>
      <c r="N12" s="32">
        <v>285135</v>
      </c>
      <c r="O12" s="33">
        <v>1.9921000000000001E-2</v>
      </c>
      <c r="P12" s="33">
        <v>4.8187399999999998E-2</v>
      </c>
      <c r="Q12" s="33">
        <v>0</v>
      </c>
      <c r="R12" s="34">
        <v>0.5</v>
      </c>
      <c r="T12" s="58" t="str">
        <f t="shared" si="1"/>
        <v>PCT_CANAL7</v>
      </c>
      <c r="U12" s="61">
        <f t="shared" si="0"/>
        <v>-5.190360965729636E-2</v>
      </c>
      <c r="V12" s="54">
        <v>0</v>
      </c>
    </row>
    <row r="13" spans="2:22" ht="19.899999999999999" customHeight="1">
      <c r="B13" s="201"/>
      <c r="C13" s="204"/>
      <c r="D13" s="46" t="s">
        <v>137</v>
      </c>
      <c r="E13" s="46" t="s">
        <v>137</v>
      </c>
      <c r="F13" s="32">
        <v>175265</v>
      </c>
      <c r="G13" s="33">
        <v>2.38207E-2</v>
      </c>
      <c r="H13" s="33">
        <v>4.5142300000000003E-2</v>
      </c>
      <c r="I13" s="33">
        <v>0</v>
      </c>
      <c r="J13" s="34">
        <v>0.3333333</v>
      </c>
      <c r="L13" s="46" t="s">
        <v>137</v>
      </c>
      <c r="M13" s="46" t="s">
        <v>137</v>
      </c>
      <c r="N13" s="32">
        <v>285135</v>
      </c>
      <c r="O13" s="33">
        <v>3.6702899999999997E-2</v>
      </c>
      <c r="P13" s="33">
        <v>9.8033800000000004E-2</v>
      </c>
      <c r="Q13" s="33">
        <v>0</v>
      </c>
      <c r="R13" s="34">
        <v>0.92857140000000005</v>
      </c>
      <c r="T13" s="58" t="str">
        <f t="shared" si="1"/>
        <v>PCT_CANAL8</v>
      </c>
      <c r="U13" s="61">
        <f t="shared" si="0"/>
        <v>-0.13140569885080447</v>
      </c>
      <c r="V13" s="54">
        <v>0</v>
      </c>
    </row>
    <row r="14" spans="2:22" ht="19.899999999999999" customHeight="1">
      <c r="B14" s="201"/>
      <c r="C14" s="204"/>
      <c r="D14" s="46" t="s">
        <v>138</v>
      </c>
      <c r="E14" s="46" t="s">
        <v>138</v>
      </c>
      <c r="F14" s="32">
        <v>175265</v>
      </c>
      <c r="G14" s="33">
        <v>0.75474079999999999</v>
      </c>
      <c r="H14" s="33">
        <v>0.1931078</v>
      </c>
      <c r="I14" s="33">
        <v>0</v>
      </c>
      <c r="J14" s="34">
        <v>1</v>
      </c>
      <c r="L14" s="46" t="s">
        <v>138</v>
      </c>
      <c r="M14" s="46" t="s">
        <v>138</v>
      </c>
      <c r="N14" s="32">
        <v>285135</v>
      </c>
      <c r="O14" s="33">
        <v>0.55043059999999999</v>
      </c>
      <c r="P14" s="33">
        <v>0.32089380000000001</v>
      </c>
      <c r="Q14" s="33">
        <v>0</v>
      </c>
      <c r="R14" s="34">
        <v>1</v>
      </c>
      <c r="T14" s="58" t="str">
        <f t="shared" si="1"/>
        <v>PCT_CANAL9</v>
      </c>
      <c r="U14" s="61">
        <f t="shared" si="0"/>
        <v>0.63669101740201894</v>
      </c>
      <c r="V14" s="54">
        <v>0</v>
      </c>
    </row>
    <row r="15" spans="2:22" ht="19.899999999999999" customHeight="1">
      <c r="B15" s="201"/>
      <c r="C15" s="204"/>
      <c r="D15" s="46" t="s">
        <v>139</v>
      </c>
      <c r="E15" s="46" t="s">
        <v>139</v>
      </c>
      <c r="F15" s="32">
        <v>175265</v>
      </c>
      <c r="G15" s="33">
        <v>3.7265000000000002E-3</v>
      </c>
      <c r="H15" s="33">
        <v>2.4311200000000002E-2</v>
      </c>
      <c r="I15" s="33">
        <v>0</v>
      </c>
      <c r="J15" s="34">
        <v>0.375</v>
      </c>
      <c r="L15" s="46" t="s">
        <v>139</v>
      </c>
      <c r="M15" s="46" t="s">
        <v>139</v>
      </c>
      <c r="N15" s="32">
        <v>285135</v>
      </c>
      <c r="O15" s="33">
        <v>2.06415E-2</v>
      </c>
      <c r="P15" s="33">
        <v>9.5968100000000001E-2</v>
      </c>
      <c r="Q15" s="33">
        <v>0</v>
      </c>
      <c r="R15" s="34">
        <v>0.88709680000000002</v>
      </c>
      <c r="T15" s="58" t="str">
        <f t="shared" si="1"/>
        <v>PCT_CANAL10</v>
      </c>
      <c r="U15" s="61">
        <f t="shared" si="0"/>
        <v>-0.17625648522790385</v>
      </c>
      <c r="V15" s="54">
        <v>0</v>
      </c>
    </row>
    <row r="16" spans="2:22" ht="19.899999999999999" customHeight="1" thickBot="1">
      <c r="B16" s="207"/>
      <c r="C16" s="209"/>
      <c r="D16" s="47" t="s">
        <v>140</v>
      </c>
      <c r="E16" s="47" t="s">
        <v>140</v>
      </c>
      <c r="F16" s="35">
        <v>175265</v>
      </c>
      <c r="G16" s="36">
        <v>8.2396499999999998E-2</v>
      </c>
      <c r="H16" s="36">
        <v>0.1255146</v>
      </c>
      <c r="I16" s="36">
        <v>0</v>
      </c>
      <c r="J16" s="37">
        <v>0.63157890000000005</v>
      </c>
      <c r="L16" s="47" t="s">
        <v>140</v>
      </c>
      <c r="M16" s="47" t="s">
        <v>140</v>
      </c>
      <c r="N16" s="35">
        <v>285135</v>
      </c>
      <c r="O16" s="36">
        <v>6.9534299999999993E-2</v>
      </c>
      <c r="P16" s="36">
        <v>0.1103164</v>
      </c>
      <c r="Q16" s="36">
        <v>0</v>
      </c>
      <c r="R16" s="37">
        <v>0.63157890000000005</v>
      </c>
      <c r="T16" s="59" t="str">
        <f t="shared" si="1"/>
        <v>PCT_CANAL11</v>
      </c>
      <c r="U16" s="62">
        <f t="shared" si="0"/>
        <v>0.11659372495839244</v>
      </c>
      <c r="V16" s="55">
        <v>0</v>
      </c>
    </row>
    <row r="17" spans="2:22" ht="19.899999999999999" customHeight="1">
      <c r="B17" s="200">
        <v>2</v>
      </c>
      <c r="C17" s="203">
        <v>36157</v>
      </c>
      <c r="D17" s="45" t="s">
        <v>130</v>
      </c>
      <c r="E17" s="45" t="s">
        <v>130</v>
      </c>
      <c r="F17" s="29">
        <v>36157</v>
      </c>
      <c r="G17" s="30">
        <v>1.1136E-3</v>
      </c>
      <c r="H17" s="30">
        <v>7.7771000000000003E-3</v>
      </c>
      <c r="I17" s="30">
        <v>0</v>
      </c>
      <c r="J17" s="31">
        <v>0.35294120000000001</v>
      </c>
      <c r="L17" s="45" t="s">
        <v>130</v>
      </c>
      <c r="M17" s="45" t="s">
        <v>130</v>
      </c>
      <c r="N17" s="29">
        <v>285135</v>
      </c>
      <c r="O17" s="30">
        <v>5.3293000000000004E-3</v>
      </c>
      <c r="P17" s="30">
        <v>2.9197500000000001E-2</v>
      </c>
      <c r="Q17" s="30">
        <v>0</v>
      </c>
      <c r="R17" s="31">
        <v>0.4166667</v>
      </c>
      <c r="T17" s="58" t="str">
        <f t="shared" si="1"/>
        <v>PCT_CANAL1</v>
      </c>
      <c r="U17" s="61">
        <f t="shared" ref="U17:U38" si="2">+(G17-O17)/P17</f>
        <v>-0.14438564945628907</v>
      </c>
      <c r="V17" s="54">
        <v>0</v>
      </c>
    </row>
    <row r="18" spans="2:22" ht="19.899999999999999" customHeight="1">
      <c r="B18" s="201"/>
      <c r="C18" s="204"/>
      <c r="D18" s="46" t="s">
        <v>131</v>
      </c>
      <c r="E18" s="46" t="s">
        <v>131</v>
      </c>
      <c r="F18" s="32">
        <v>36157</v>
      </c>
      <c r="G18" s="33">
        <v>9.6290999999999998E-3</v>
      </c>
      <c r="H18" s="33">
        <v>2.3302400000000001E-2</v>
      </c>
      <c r="I18" s="33">
        <v>0</v>
      </c>
      <c r="J18" s="34">
        <v>0.54761899999999997</v>
      </c>
      <c r="L18" s="46" t="s">
        <v>131</v>
      </c>
      <c r="M18" s="46" t="s">
        <v>131</v>
      </c>
      <c r="N18" s="32">
        <v>285135</v>
      </c>
      <c r="O18" s="33">
        <v>4.1117800000000003E-2</v>
      </c>
      <c r="P18" s="33">
        <v>9.75636E-2</v>
      </c>
      <c r="Q18" s="33">
        <v>0</v>
      </c>
      <c r="R18" s="34">
        <v>0.8</v>
      </c>
      <c r="T18" s="58" t="str">
        <f t="shared" si="1"/>
        <v>PCT_CANAL2</v>
      </c>
      <c r="U18" s="61">
        <f t="shared" si="2"/>
        <v>-0.32275049301173797</v>
      </c>
      <c r="V18" s="54">
        <v>0</v>
      </c>
    </row>
    <row r="19" spans="2:22" ht="19.899999999999999" customHeight="1">
      <c r="B19" s="201"/>
      <c r="C19" s="204"/>
      <c r="D19" s="46" t="s">
        <v>132</v>
      </c>
      <c r="E19" s="46" t="s">
        <v>132</v>
      </c>
      <c r="F19" s="32">
        <v>36157</v>
      </c>
      <c r="G19" s="33">
        <v>5.3800000000000002E-3</v>
      </c>
      <c r="H19" s="33">
        <v>1.6176699999999999E-2</v>
      </c>
      <c r="I19" s="33">
        <v>0</v>
      </c>
      <c r="J19" s="34">
        <v>0.31481480000000001</v>
      </c>
      <c r="L19" s="46" t="s">
        <v>132</v>
      </c>
      <c r="M19" s="46" t="s">
        <v>132</v>
      </c>
      <c r="N19" s="32">
        <v>285135</v>
      </c>
      <c r="O19" s="33">
        <v>3.5534999999999997E-2</v>
      </c>
      <c r="P19" s="33">
        <v>8.58878E-2</v>
      </c>
      <c r="Q19" s="33">
        <v>0</v>
      </c>
      <c r="R19" s="34">
        <v>0.58964139999999998</v>
      </c>
      <c r="T19" s="58" t="str">
        <f t="shared" si="1"/>
        <v>PCT_CANAL3</v>
      </c>
      <c r="U19" s="61">
        <f t="shared" si="2"/>
        <v>-0.35109759476898927</v>
      </c>
      <c r="V19" s="54">
        <v>0</v>
      </c>
    </row>
    <row r="20" spans="2:22" ht="19.899999999999999" customHeight="1">
      <c r="B20" s="201"/>
      <c r="C20" s="204"/>
      <c r="D20" s="46" t="s">
        <v>133</v>
      </c>
      <c r="E20" s="46" t="s">
        <v>133</v>
      </c>
      <c r="F20" s="32">
        <v>36157</v>
      </c>
      <c r="G20" s="33">
        <v>0.70646109999999995</v>
      </c>
      <c r="H20" s="33">
        <v>0.16513649999999999</v>
      </c>
      <c r="I20" s="33">
        <v>0.25806449999999997</v>
      </c>
      <c r="J20" s="34">
        <v>0.95315680000000003</v>
      </c>
      <c r="L20" s="46" t="s">
        <v>133</v>
      </c>
      <c r="M20" s="46" t="s">
        <v>133</v>
      </c>
      <c r="N20" s="32">
        <v>285135</v>
      </c>
      <c r="O20" s="33">
        <v>9.9512199999999995E-2</v>
      </c>
      <c r="P20" s="33">
        <v>0.2434481</v>
      </c>
      <c r="Q20" s="33">
        <v>0</v>
      </c>
      <c r="R20" s="34">
        <v>0.95315680000000003</v>
      </c>
      <c r="T20" s="58" t="str">
        <f t="shared" si="1"/>
        <v>PCT_CANAL4</v>
      </c>
      <c r="U20" s="61">
        <f t="shared" si="2"/>
        <v>2.4931346763437459</v>
      </c>
      <c r="V20" s="54">
        <v>0</v>
      </c>
    </row>
    <row r="21" spans="2:22" ht="19.899999999999999" customHeight="1">
      <c r="B21" s="201"/>
      <c r="C21" s="204"/>
      <c r="D21" s="46" t="s">
        <v>134</v>
      </c>
      <c r="E21" s="46" t="s">
        <v>134</v>
      </c>
      <c r="F21" s="32">
        <v>36157</v>
      </c>
      <c r="G21" s="33">
        <v>8.18083E-2</v>
      </c>
      <c r="H21" s="33">
        <v>0.1052112</v>
      </c>
      <c r="I21" s="33">
        <v>0</v>
      </c>
      <c r="J21" s="34">
        <v>0.51515149999999998</v>
      </c>
      <c r="L21" s="46" t="s">
        <v>134</v>
      </c>
      <c r="M21" s="46" t="s">
        <v>134</v>
      </c>
      <c r="N21" s="32">
        <v>285135</v>
      </c>
      <c r="O21" s="33">
        <v>0.1100589</v>
      </c>
      <c r="P21" s="33">
        <v>0.22412850000000001</v>
      </c>
      <c r="Q21" s="33">
        <v>0</v>
      </c>
      <c r="R21" s="34">
        <v>0.95218420000000004</v>
      </c>
      <c r="T21" s="58" t="str">
        <f t="shared" si="1"/>
        <v>PCT_CANAL5</v>
      </c>
      <c r="U21" s="61">
        <f t="shared" si="2"/>
        <v>-0.12604644210798716</v>
      </c>
      <c r="V21" s="54">
        <v>0</v>
      </c>
    </row>
    <row r="22" spans="2:22" ht="19.899999999999999" customHeight="1">
      <c r="B22" s="201"/>
      <c r="C22" s="204"/>
      <c r="D22" s="46" t="s">
        <v>135</v>
      </c>
      <c r="E22" s="46" t="s">
        <v>135</v>
      </c>
      <c r="F22" s="32">
        <v>36157</v>
      </c>
      <c r="G22" s="33">
        <v>2.6182000000000002E-3</v>
      </c>
      <c r="H22" s="33">
        <v>1.5313200000000001E-2</v>
      </c>
      <c r="I22" s="33">
        <v>0</v>
      </c>
      <c r="J22" s="34">
        <v>0.47058820000000001</v>
      </c>
      <c r="L22" s="46" t="s">
        <v>135</v>
      </c>
      <c r="M22" s="46" t="s">
        <v>135</v>
      </c>
      <c r="N22" s="32">
        <v>285135</v>
      </c>
      <c r="O22" s="33">
        <v>1.12163E-2</v>
      </c>
      <c r="P22" s="33">
        <v>5.03066E-2</v>
      </c>
      <c r="Q22" s="33">
        <v>0</v>
      </c>
      <c r="R22" s="34">
        <v>0.51052629999999999</v>
      </c>
      <c r="T22" s="58" t="str">
        <f t="shared" si="1"/>
        <v>PCT_CANAL6</v>
      </c>
      <c r="U22" s="61">
        <f t="shared" si="2"/>
        <v>-0.17091395562411296</v>
      </c>
      <c r="V22" s="54">
        <v>0</v>
      </c>
    </row>
    <row r="23" spans="2:22" ht="19.899999999999999" customHeight="1">
      <c r="B23" s="201"/>
      <c r="C23" s="204"/>
      <c r="D23" s="46" t="s">
        <v>136</v>
      </c>
      <c r="E23" s="46" t="s">
        <v>136</v>
      </c>
      <c r="F23" s="32">
        <v>36157</v>
      </c>
      <c r="G23" s="33">
        <v>6.6255999999999997E-3</v>
      </c>
      <c r="H23" s="33">
        <v>1.6422200000000001E-2</v>
      </c>
      <c r="I23" s="33">
        <v>0</v>
      </c>
      <c r="J23" s="34">
        <v>0.46153850000000002</v>
      </c>
      <c r="L23" s="46" t="s">
        <v>136</v>
      </c>
      <c r="M23" s="46" t="s">
        <v>136</v>
      </c>
      <c r="N23" s="32">
        <v>285135</v>
      </c>
      <c r="O23" s="33">
        <v>1.9921000000000001E-2</v>
      </c>
      <c r="P23" s="33">
        <v>4.8187399999999998E-2</v>
      </c>
      <c r="Q23" s="33">
        <v>0</v>
      </c>
      <c r="R23" s="34">
        <v>0.5</v>
      </c>
      <c r="T23" s="58" t="str">
        <f t="shared" si="1"/>
        <v>PCT_CANAL7</v>
      </c>
      <c r="U23" s="61">
        <f t="shared" si="2"/>
        <v>-0.2759103002029577</v>
      </c>
      <c r="V23" s="54">
        <v>0</v>
      </c>
    </row>
    <row r="24" spans="2:22" ht="19.899999999999999" customHeight="1">
      <c r="B24" s="201"/>
      <c r="C24" s="204"/>
      <c r="D24" s="46" t="s">
        <v>137</v>
      </c>
      <c r="E24" s="46" t="s">
        <v>137</v>
      </c>
      <c r="F24" s="32">
        <v>36157</v>
      </c>
      <c r="G24" s="33">
        <v>4.9639000000000003E-3</v>
      </c>
      <c r="H24" s="33">
        <v>1.3757800000000001E-2</v>
      </c>
      <c r="I24" s="33">
        <v>0</v>
      </c>
      <c r="J24" s="34">
        <v>0.39285710000000001</v>
      </c>
      <c r="L24" s="46" t="s">
        <v>137</v>
      </c>
      <c r="M24" s="46" t="s">
        <v>137</v>
      </c>
      <c r="N24" s="32">
        <v>285135</v>
      </c>
      <c r="O24" s="33">
        <v>3.6702899999999997E-2</v>
      </c>
      <c r="P24" s="33">
        <v>9.8033800000000004E-2</v>
      </c>
      <c r="Q24" s="33">
        <v>0</v>
      </c>
      <c r="R24" s="34">
        <v>0.92857140000000005</v>
      </c>
      <c r="T24" s="58" t="str">
        <f t="shared" si="1"/>
        <v>PCT_CANAL8</v>
      </c>
      <c r="U24" s="61">
        <f t="shared" si="2"/>
        <v>-0.3237556842639987</v>
      </c>
      <c r="V24" s="54">
        <v>0</v>
      </c>
    </row>
    <row r="25" spans="2:22" ht="19.899999999999999" customHeight="1">
      <c r="B25" s="201"/>
      <c r="C25" s="204"/>
      <c r="D25" s="46" t="s">
        <v>138</v>
      </c>
      <c r="E25" s="46" t="s">
        <v>138</v>
      </c>
      <c r="F25" s="32">
        <v>36157</v>
      </c>
      <c r="G25" s="33">
        <v>0.12567159999999999</v>
      </c>
      <c r="H25" s="33">
        <v>0.10393380000000001</v>
      </c>
      <c r="I25" s="33">
        <v>0</v>
      </c>
      <c r="J25" s="34">
        <v>0.58333330000000005</v>
      </c>
      <c r="L25" s="46" t="s">
        <v>138</v>
      </c>
      <c r="M25" s="46" t="s">
        <v>138</v>
      </c>
      <c r="N25" s="32">
        <v>285135</v>
      </c>
      <c r="O25" s="33">
        <v>0.55043059999999999</v>
      </c>
      <c r="P25" s="33">
        <v>0.32089380000000001</v>
      </c>
      <c r="Q25" s="33">
        <v>0</v>
      </c>
      <c r="R25" s="34">
        <v>1</v>
      </c>
      <c r="T25" s="58" t="str">
        <f t="shared" si="1"/>
        <v>PCT_CANAL9</v>
      </c>
      <c r="U25" s="61">
        <f t="shared" si="2"/>
        <v>-1.3236746861422688</v>
      </c>
      <c r="V25" s="54">
        <v>0</v>
      </c>
    </row>
    <row r="26" spans="2:22" ht="19.899999999999999" customHeight="1">
      <c r="B26" s="201"/>
      <c r="C26" s="204"/>
      <c r="D26" s="46" t="s">
        <v>139</v>
      </c>
      <c r="E26" s="46" t="s">
        <v>139</v>
      </c>
      <c r="F26" s="32">
        <v>36157</v>
      </c>
      <c r="G26" s="33">
        <v>8.1312999999999993E-3</v>
      </c>
      <c r="H26" s="33">
        <v>3.1060000000000001E-2</v>
      </c>
      <c r="I26" s="33">
        <v>0</v>
      </c>
      <c r="J26" s="34">
        <v>0.44690269999999999</v>
      </c>
      <c r="L26" s="46" t="s">
        <v>139</v>
      </c>
      <c r="M26" s="46" t="s">
        <v>139</v>
      </c>
      <c r="N26" s="32">
        <v>285135</v>
      </c>
      <c r="O26" s="33">
        <v>2.06415E-2</v>
      </c>
      <c r="P26" s="33">
        <v>9.5968100000000001E-2</v>
      </c>
      <c r="Q26" s="33">
        <v>0</v>
      </c>
      <c r="R26" s="34">
        <v>0.88709680000000002</v>
      </c>
      <c r="T26" s="58" t="str">
        <f t="shared" si="1"/>
        <v>PCT_CANAL10</v>
      </c>
      <c r="U26" s="61">
        <f t="shared" si="2"/>
        <v>-0.13035790017724641</v>
      </c>
      <c r="V26" s="54">
        <v>0</v>
      </c>
    </row>
    <row r="27" spans="2:22" ht="19.899999999999999" customHeight="1" thickBot="1">
      <c r="B27" s="207"/>
      <c r="C27" s="209"/>
      <c r="D27" s="47" t="s">
        <v>140</v>
      </c>
      <c r="E27" s="47" t="s">
        <v>140</v>
      </c>
      <c r="F27" s="35">
        <v>36157</v>
      </c>
      <c r="G27" s="36">
        <v>4.7597199999999999E-2</v>
      </c>
      <c r="H27" s="36">
        <v>5.7800200000000003E-2</v>
      </c>
      <c r="I27" s="36">
        <v>0</v>
      </c>
      <c r="J27" s="37">
        <v>0.5263158</v>
      </c>
      <c r="L27" s="47" t="s">
        <v>140</v>
      </c>
      <c r="M27" s="47" t="s">
        <v>140</v>
      </c>
      <c r="N27" s="35">
        <v>285135</v>
      </c>
      <c r="O27" s="36">
        <v>6.9534299999999993E-2</v>
      </c>
      <c r="P27" s="36">
        <v>0.1103164</v>
      </c>
      <c r="Q27" s="36">
        <v>0</v>
      </c>
      <c r="R27" s="37">
        <v>0.63157890000000005</v>
      </c>
      <c r="T27" s="58" t="str">
        <f t="shared" si="1"/>
        <v>PCT_CANAL11</v>
      </c>
      <c r="U27" s="61">
        <f t="shared" si="2"/>
        <v>-0.1988561990782875</v>
      </c>
      <c r="V27" s="54">
        <v>0</v>
      </c>
    </row>
    <row r="28" spans="2:22" ht="19.899999999999999" customHeight="1">
      <c r="B28" s="200">
        <v>3</v>
      </c>
      <c r="C28" s="203">
        <v>47566</v>
      </c>
      <c r="D28" s="45" t="s">
        <v>130</v>
      </c>
      <c r="E28" s="45" t="s">
        <v>130</v>
      </c>
      <c r="F28" s="29">
        <v>47566</v>
      </c>
      <c r="G28" s="30">
        <v>6.9975999999999997E-3</v>
      </c>
      <c r="H28" s="30">
        <v>3.4846599999999998E-2</v>
      </c>
      <c r="I28" s="30">
        <v>0</v>
      </c>
      <c r="J28" s="31">
        <v>0.4166667</v>
      </c>
      <c r="L28" s="45" t="s">
        <v>130</v>
      </c>
      <c r="M28" s="45" t="s">
        <v>130</v>
      </c>
      <c r="N28" s="29">
        <v>285135</v>
      </c>
      <c r="O28" s="30">
        <v>5.3293000000000004E-3</v>
      </c>
      <c r="P28" s="30">
        <v>2.9197500000000001E-2</v>
      </c>
      <c r="Q28" s="30">
        <v>0</v>
      </c>
      <c r="R28" s="31">
        <v>0.4166667</v>
      </c>
      <c r="T28" s="57" t="str">
        <f t="shared" si="1"/>
        <v>PCT_CANAL1</v>
      </c>
      <c r="U28" s="60">
        <f t="shared" si="2"/>
        <v>5.7138453634728976E-2</v>
      </c>
      <c r="V28" s="53">
        <v>0</v>
      </c>
    </row>
    <row r="29" spans="2:22" ht="19.899999999999999" customHeight="1">
      <c r="B29" s="201"/>
      <c r="C29" s="204"/>
      <c r="D29" s="46" t="s">
        <v>131</v>
      </c>
      <c r="E29" s="46" t="s">
        <v>131</v>
      </c>
      <c r="F29" s="32">
        <v>47566</v>
      </c>
      <c r="G29" s="33">
        <v>1.1874600000000001E-2</v>
      </c>
      <c r="H29" s="33">
        <v>3.50298E-2</v>
      </c>
      <c r="I29" s="33">
        <v>0</v>
      </c>
      <c r="J29" s="34">
        <v>0.58333330000000005</v>
      </c>
      <c r="L29" s="46" t="s">
        <v>131</v>
      </c>
      <c r="M29" s="46" t="s">
        <v>131</v>
      </c>
      <c r="N29" s="32">
        <v>285135</v>
      </c>
      <c r="O29" s="33">
        <v>4.1117800000000003E-2</v>
      </c>
      <c r="P29" s="33">
        <v>9.75636E-2</v>
      </c>
      <c r="Q29" s="33">
        <v>0</v>
      </c>
      <c r="R29" s="34">
        <v>0.8</v>
      </c>
      <c r="T29" s="58" t="str">
        <f t="shared" si="1"/>
        <v>PCT_CANAL2</v>
      </c>
      <c r="U29" s="61">
        <f t="shared" si="2"/>
        <v>-0.29973473713557108</v>
      </c>
      <c r="V29" s="54">
        <v>0</v>
      </c>
    </row>
    <row r="30" spans="2:22" ht="19.899999999999999" customHeight="1">
      <c r="B30" s="201"/>
      <c r="C30" s="204"/>
      <c r="D30" s="46" t="s">
        <v>132</v>
      </c>
      <c r="E30" s="46" t="s">
        <v>132</v>
      </c>
      <c r="F30" s="32">
        <v>47566</v>
      </c>
      <c r="G30" s="33">
        <v>1.1008E-2</v>
      </c>
      <c r="H30" s="33">
        <v>2.8487599999999998E-2</v>
      </c>
      <c r="I30" s="33">
        <v>0</v>
      </c>
      <c r="J30" s="34">
        <v>0.30769229999999997</v>
      </c>
      <c r="L30" s="46" t="s">
        <v>132</v>
      </c>
      <c r="M30" s="46" t="s">
        <v>132</v>
      </c>
      <c r="N30" s="32">
        <v>285135</v>
      </c>
      <c r="O30" s="33">
        <v>3.5534999999999997E-2</v>
      </c>
      <c r="P30" s="33">
        <v>8.58878E-2</v>
      </c>
      <c r="Q30" s="33">
        <v>0</v>
      </c>
      <c r="R30" s="34">
        <v>0.58964139999999998</v>
      </c>
      <c r="T30" s="58" t="str">
        <f t="shared" si="1"/>
        <v>PCT_CANAL3</v>
      </c>
      <c r="U30" s="61">
        <f t="shared" si="2"/>
        <v>-0.28557024396945779</v>
      </c>
      <c r="V30" s="54">
        <v>0</v>
      </c>
    </row>
    <row r="31" spans="2:22" ht="19.899999999999999" customHeight="1">
      <c r="B31" s="201"/>
      <c r="C31" s="204"/>
      <c r="D31" s="46" t="s">
        <v>133</v>
      </c>
      <c r="E31" s="46" t="s">
        <v>133</v>
      </c>
      <c r="F31" s="32">
        <v>47566</v>
      </c>
      <c r="G31" s="33">
        <v>3.7603299999999999E-2</v>
      </c>
      <c r="H31" s="33">
        <v>9.0037199999999998E-2</v>
      </c>
      <c r="I31" s="33">
        <v>0</v>
      </c>
      <c r="J31" s="34">
        <v>0.49664429999999998</v>
      </c>
      <c r="L31" s="46" t="s">
        <v>133</v>
      </c>
      <c r="M31" s="46" t="s">
        <v>133</v>
      </c>
      <c r="N31" s="32">
        <v>285135</v>
      </c>
      <c r="O31" s="33">
        <v>9.9512199999999995E-2</v>
      </c>
      <c r="P31" s="33">
        <v>0.2434481</v>
      </c>
      <c r="Q31" s="33">
        <v>0</v>
      </c>
      <c r="R31" s="34">
        <v>0.95315680000000003</v>
      </c>
      <c r="T31" s="58" t="str">
        <f t="shared" si="1"/>
        <v>PCT_CANAL4</v>
      </c>
      <c r="U31" s="61">
        <f t="shared" si="2"/>
        <v>-0.254300197865582</v>
      </c>
      <c r="V31" s="54">
        <v>0</v>
      </c>
    </row>
    <row r="32" spans="2:22" ht="19.899999999999999" customHeight="1">
      <c r="B32" s="201"/>
      <c r="C32" s="204"/>
      <c r="D32" s="46" t="s">
        <v>134</v>
      </c>
      <c r="E32" s="46" t="s">
        <v>134</v>
      </c>
      <c r="F32" s="32">
        <v>47566</v>
      </c>
      <c r="G32" s="33">
        <v>0.52733140000000001</v>
      </c>
      <c r="H32" s="33">
        <v>0.25975740000000003</v>
      </c>
      <c r="I32" s="33">
        <v>0</v>
      </c>
      <c r="J32" s="34">
        <v>0.95218420000000004</v>
      </c>
      <c r="L32" s="46" t="s">
        <v>134</v>
      </c>
      <c r="M32" s="46" t="s">
        <v>134</v>
      </c>
      <c r="N32" s="32">
        <v>285135</v>
      </c>
      <c r="O32" s="33">
        <v>0.1100589</v>
      </c>
      <c r="P32" s="33">
        <v>0.22412850000000001</v>
      </c>
      <c r="Q32" s="33">
        <v>0</v>
      </c>
      <c r="R32" s="34">
        <v>0.95218420000000004</v>
      </c>
      <c r="T32" s="58" t="str">
        <f t="shared" si="1"/>
        <v>PCT_CANAL5</v>
      </c>
      <c r="U32" s="61">
        <f t="shared" si="2"/>
        <v>1.8617556446413552</v>
      </c>
      <c r="V32" s="54">
        <v>0</v>
      </c>
    </row>
    <row r="33" spans="2:22" ht="19.899999999999999" customHeight="1">
      <c r="B33" s="201"/>
      <c r="C33" s="204"/>
      <c r="D33" s="46" t="s">
        <v>135</v>
      </c>
      <c r="E33" s="46" t="s">
        <v>135</v>
      </c>
      <c r="F33" s="32">
        <v>47566</v>
      </c>
      <c r="G33" s="33">
        <v>3.8644999999999999E-3</v>
      </c>
      <c r="H33" s="33">
        <v>2.1437299999999999E-2</v>
      </c>
      <c r="I33" s="33">
        <v>0</v>
      </c>
      <c r="J33" s="34">
        <v>0.48529410000000001</v>
      </c>
      <c r="L33" s="46" t="s">
        <v>135</v>
      </c>
      <c r="M33" s="46" t="s">
        <v>135</v>
      </c>
      <c r="N33" s="32">
        <v>285135</v>
      </c>
      <c r="O33" s="33">
        <v>1.12163E-2</v>
      </c>
      <c r="P33" s="33">
        <v>5.03066E-2</v>
      </c>
      <c r="Q33" s="33">
        <v>0</v>
      </c>
      <c r="R33" s="34">
        <v>0.51052629999999999</v>
      </c>
      <c r="T33" s="58" t="str">
        <f t="shared" si="1"/>
        <v>PCT_CANAL6</v>
      </c>
      <c r="U33" s="61">
        <f t="shared" si="2"/>
        <v>-0.14613987031522704</v>
      </c>
      <c r="V33" s="54">
        <v>0</v>
      </c>
    </row>
    <row r="34" spans="2:22" ht="19.899999999999999" customHeight="1">
      <c r="B34" s="201"/>
      <c r="C34" s="204"/>
      <c r="D34" s="46" t="s">
        <v>136</v>
      </c>
      <c r="E34" s="46" t="s">
        <v>136</v>
      </c>
      <c r="F34" s="32">
        <v>47566</v>
      </c>
      <c r="G34" s="33">
        <v>3.3970599999999997E-2</v>
      </c>
      <c r="H34" s="33">
        <v>7.5265600000000002E-2</v>
      </c>
      <c r="I34" s="33">
        <v>0</v>
      </c>
      <c r="J34" s="34">
        <v>0.5</v>
      </c>
      <c r="L34" s="46" t="s">
        <v>136</v>
      </c>
      <c r="M34" s="46" t="s">
        <v>136</v>
      </c>
      <c r="N34" s="32">
        <v>285135</v>
      </c>
      <c r="O34" s="33">
        <v>1.9921000000000001E-2</v>
      </c>
      <c r="P34" s="33">
        <v>4.8187399999999998E-2</v>
      </c>
      <c r="Q34" s="33">
        <v>0</v>
      </c>
      <c r="R34" s="34">
        <v>0.5</v>
      </c>
      <c r="T34" s="58" t="str">
        <f t="shared" si="1"/>
        <v>PCT_CANAL7</v>
      </c>
      <c r="U34" s="61">
        <f t="shared" si="2"/>
        <v>0.29156169455085762</v>
      </c>
      <c r="V34" s="54">
        <v>0</v>
      </c>
    </row>
    <row r="35" spans="2:22" ht="19.899999999999999" customHeight="1">
      <c r="B35" s="201"/>
      <c r="C35" s="204"/>
      <c r="D35" s="46" t="s">
        <v>137</v>
      </c>
      <c r="E35" s="46" t="s">
        <v>137</v>
      </c>
      <c r="F35" s="32">
        <v>47566</v>
      </c>
      <c r="G35" s="33">
        <v>1.7951399999999999E-2</v>
      </c>
      <c r="H35" s="33">
        <v>3.8916699999999999E-2</v>
      </c>
      <c r="I35" s="33">
        <v>0</v>
      </c>
      <c r="J35" s="34">
        <v>0.45454549999999999</v>
      </c>
      <c r="L35" s="46" t="s">
        <v>137</v>
      </c>
      <c r="M35" s="46" t="s">
        <v>137</v>
      </c>
      <c r="N35" s="32">
        <v>285135</v>
      </c>
      <c r="O35" s="33">
        <v>3.6702899999999997E-2</v>
      </c>
      <c r="P35" s="33">
        <v>9.8033800000000004E-2</v>
      </c>
      <c r="Q35" s="33">
        <v>0</v>
      </c>
      <c r="R35" s="34">
        <v>0.92857140000000005</v>
      </c>
      <c r="T35" s="58" t="str">
        <f t="shared" si="1"/>
        <v>PCT_CANAL8</v>
      </c>
      <c r="U35" s="61">
        <f t="shared" si="2"/>
        <v>-0.19127586607884217</v>
      </c>
      <c r="V35" s="54">
        <v>0</v>
      </c>
    </row>
    <row r="36" spans="2:22" ht="19.899999999999999" customHeight="1">
      <c r="B36" s="201"/>
      <c r="C36" s="204"/>
      <c r="D36" s="46" t="s">
        <v>138</v>
      </c>
      <c r="E36" s="46" t="s">
        <v>138</v>
      </c>
      <c r="F36" s="32">
        <v>47566</v>
      </c>
      <c r="G36" s="33">
        <v>0.19218840000000001</v>
      </c>
      <c r="H36" s="33">
        <v>0.14392720000000001</v>
      </c>
      <c r="I36" s="33">
        <v>0</v>
      </c>
      <c r="J36" s="34">
        <v>0.61363639999999997</v>
      </c>
      <c r="L36" s="46" t="s">
        <v>138</v>
      </c>
      <c r="M36" s="46" t="s">
        <v>138</v>
      </c>
      <c r="N36" s="32">
        <v>285135</v>
      </c>
      <c r="O36" s="33">
        <v>0.55043059999999999</v>
      </c>
      <c r="P36" s="33">
        <v>0.32089380000000001</v>
      </c>
      <c r="Q36" s="33">
        <v>0</v>
      </c>
      <c r="R36" s="34">
        <v>1</v>
      </c>
      <c r="T36" s="58" t="str">
        <f t="shared" si="1"/>
        <v>PCT_CANAL9</v>
      </c>
      <c r="U36" s="61">
        <f t="shared" si="2"/>
        <v>-1.1163886619186782</v>
      </c>
      <c r="V36" s="54">
        <v>0</v>
      </c>
    </row>
    <row r="37" spans="2:22" ht="19.899999999999999" customHeight="1">
      <c r="B37" s="201"/>
      <c r="C37" s="204"/>
      <c r="D37" s="46" t="s">
        <v>139</v>
      </c>
      <c r="E37" s="46" t="s">
        <v>139</v>
      </c>
      <c r="F37" s="32">
        <v>47566</v>
      </c>
      <c r="G37" s="33">
        <v>9.8139699999999996E-2</v>
      </c>
      <c r="H37" s="33">
        <v>0.2089599</v>
      </c>
      <c r="I37" s="33">
        <v>0</v>
      </c>
      <c r="J37" s="34">
        <v>0.88709680000000002</v>
      </c>
      <c r="L37" s="46" t="s">
        <v>139</v>
      </c>
      <c r="M37" s="46" t="s">
        <v>139</v>
      </c>
      <c r="N37" s="32">
        <v>285135</v>
      </c>
      <c r="O37" s="33">
        <v>2.06415E-2</v>
      </c>
      <c r="P37" s="33">
        <v>9.5968100000000001E-2</v>
      </c>
      <c r="Q37" s="33">
        <v>0</v>
      </c>
      <c r="R37" s="34">
        <v>0.88709680000000002</v>
      </c>
      <c r="T37" s="58" t="str">
        <f t="shared" si="1"/>
        <v>PCT_CANAL10</v>
      </c>
      <c r="U37" s="61">
        <f t="shared" si="2"/>
        <v>0.80754125589649051</v>
      </c>
      <c r="V37" s="54">
        <v>0</v>
      </c>
    </row>
    <row r="38" spans="2:22" ht="19.899999999999999" customHeight="1" thickBot="1">
      <c r="B38" s="207"/>
      <c r="C38" s="209"/>
      <c r="D38" s="47" t="s">
        <v>140</v>
      </c>
      <c r="E38" s="47" t="s">
        <v>140</v>
      </c>
      <c r="F38" s="35">
        <v>47566</v>
      </c>
      <c r="G38" s="36">
        <v>5.9070400000000002E-2</v>
      </c>
      <c r="H38" s="36">
        <v>8.5522600000000004E-2</v>
      </c>
      <c r="I38" s="36">
        <v>0</v>
      </c>
      <c r="J38" s="37">
        <v>0.63157890000000005</v>
      </c>
      <c r="L38" s="47" t="s">
        <v>140</v>
      </c>
      <c r="M38" s="47" t="s">
        <v>140</v>
      </c>
      <c r="N38" s="35">
        <v>285135</v>
      </c>
      <c r="O38" s="36">
        <v>6.9534299999999993E-2</v>
      </c>
      <c r="P38" s="36">
        <v>0.1103164</v>
      </c>
      <c r="Q38" s="36">
        <v>0</v>
      </c>
      <c r="R38" s="37">
        <v>0.63157890000000005</v>
      </c>
      <c r="T38" s="59" t="str">
        <f t="shared" si="1"/>
        <v>PCT_CANAL11</v>
      </c>
      <c r="U38" s="62">
        <f t="shared" si="2"/>
        <v>-9.4853530390766841E-2</v>
      </c>
      <c r="V38" s="55">
        <v>0</v>
      </c>
    </row>
    <row r="39" spans="2:22" ht="22.15" customHeight="1">
      <c r="B39" s="200">
        <v>4</v>
      </c>
      <c r="C39" s="203">
        <v>26147</v>
      </c>
      <c r="D39" s="45" t="s">
        <v>130</v>
      </c>
      <c r="E39" s="45" t="s">
        <v>130</v>
      </c>
      <c r="F39" s="29">
        <v>26147</v>
      </c>
      <c r="G39" s="30">
        <v>1.0351300000000001E-2</v>
      </c>
      <c r="H39" s="30">
        <v>4.4768500000000003E-2</v>
      </c>
      <c r="I39" s="30">
        <v>0</v>
      </c>
      <c r="J39" s="31">
        <v>0.4166667</v>
      </c>
      <c r="L39" s="45" t="s">
        <v>130</v>
      </c>
      <c r="M39" s="45" t="s">
        <v>130</v>
      </c>
      <c r="N39" s="29">
        <v>285135</v>
      </c>
      <c r="O39" s="30">
        <v>5.3293000000000004E-3</v>
      </c>
      <c r="P39" s="30">
        <v>2.9197500000000001E-2</v>
      </c>
      <c r="Q39" s="30">
        <v>0</v>
      </c>
      <c r="R39" s="31">
        <v>0.4166667</v>
      </c>
      <c r="T39" s="57" t="str">
        <f t="shared" ref="T39:T49" si="3">+D39</f>
        <v>PCT_CANAL1</v>
      </c>
      <c r="U39" s="60">
        <f>+(G39-O39)/P39</f>
        <v>0.17200102748522991</v>
      </c>
      <c r="V39" s="53">
        <v>0</v>
      </c>
    </row>
    <row r="40" spans="2:22" ht="22.15" customHeight="1">
      <c r="B40" s="201"/>
      <c r="C40" s="204"/>
      <c r="D40" s="46" t="s">
        <v>131</v>
      </c>
      <c r="E40" s="46" t="s">
        <v>131</v>
      </c>
      <c r="F40" s="32">
        <v>26147</v>
      </c>
      <c r="G40" s="33">
        <v>4.1070299999999997E-2</v>
      </c>
      <c r="H40" s="33">
        <v>9.5796999999999993E-2</v>
      </c>
      <c r="I40" s="33">
        <v>0</v>
      </c>
      <c r="J40" s="34">
        <v>0.8</v>
      </c>
      <c r="L40" s="46" t="s">
        <v>131</v>
      </c>
      <c r="M40" s="46" t="s">
        <v>131</v>
      </c>
      <c r="N40" s="32">
        <v>285135</v>
      </c>
      <c r="O40" s="33">
        <v>4.1117800000000003E-2</v>
      </c>
      <c r="P40" s="33">
        <v>9.75636E-2</v>
      </c>
      <c r="Q40" s="33">
        <v>0</v>
      </c>
      <c r="R40" s="34">
        <v>0.8</v>
      </c>
      <c r="T40" s="58" t="str">
        <f t="shared" si="3"/>
        <v>PCT_CANAL2</v>
      </c>
      <c r="U40" s="61">
        <f t="shared" ref="U40:U49" si="4">+(G40-O40)/P40</f>
        <v>-4.8686190341485833E-4</v>
      </c>
      <c r="V40" s="54">
        <v>0</v>
      </c>
    </row>
    <row r="41" spans="2:22" ht="22.15" customHeight="1">
      <c r="B41" s="201"/>
      <c r="C41" s="204"/>
      <c r="D41" s="46" t="s">
        <v>132</v>
      </c>
      <c r="E41" s="46" t="s">
        <v>132</v>
      </c>
      <c r="F41" s="32">
        <v>26147</v>
      </c>
      <c r="G41" s="33">
        <v>0.2336522</v>
      </c>
      <c r="H41" s="33">
        <v>0.15951969999999999</v>
      </c>
      <c r="I41" s="33">
        <v>0</v>
      </c>
      <c r="J41" s="34">
        <v>0.58964139999999998</v>
      </c>
      <c r="L41" s="46" t="s">
        <v>132</v>
      </c>
      <c r="M41" s="46" t="s">
        <v>132</v>
      </c>
      <c r="N41" s="32">
        <v>285135</v>
      </c>
      <c r="O41" s="33">
        <v>3.5534999999999997E-2</v>
      </c>
      <c r="P41" s="33">
        <v>8.58878E-2</v>
      </c>
      <c r="Q41" s="33">
        <v>0</v>
      </c>
      <c r="R41" s="34">
        <v>0.58964139999999998</v>
      </c>
      <c r="T41" s="58" t="str">
        <f t="shared" si="3"/>
        <v>PCT_CANAL3</v>
      </c>
      <c r="U41" s="61">
        <f t="shared" si="4"/>
        <v>2.3066978080705289</v>
      </c>
      <c r="V41" s="54">
        <v>0</v>
      </c>
    </row>
    <row r="42" spans="2:22" ht="22.15" customHeight="1">
      <c r="B42" s="201"/>
      <c r="C42" s="204"/>
      <c r="D42" s="46" t="s">
        <v>133</v>
      </c>
      <c r="E42" s="46" t="s">
        <v>133</v>
      </c>
      <c r="F42" s="32">
        <v>26147</v>
      </c>
      <c r="G42" s="33">
        <v>2.4470999999999998E-3</v>
      </c>
      <c r="H42" s="33">
        <v>2.58211E-2</v>
      </c>
      <c r="I42" s="33">
        <v>0</v>
      </c>
      <c r="J42" s="34">
        <v>0.5789474</v>
      </c>
      <c r="L42" s="46" t="s">
        <v>133</v>
      </c>
      <c r="M42" s="46" t="s">
        <v>133</v>
      </c>
      <c r="N42" s="32">
        <v>285135</v>
      </c>
      <c r="O42" s="33">
        <v>9.9512199999999995E-2</v>
      </c>
      <c r="P42" s="33">
        <v>0.2434481</v>
      </c>
      <c r="Q42" s="33">
        <v>0</v>
      </c>
      <c r="R42" s="34">
        <v>0.95315680000000003</v>
      </c>
      <c r="T42" s="58" t="str">
        <f t="shared" si="3"/>
        <v>PCT_CANAL4</v>
      </c>
      <c r="U42" s="61">
        <f t="shared" si="4"/>
        <v>-0.39870962229731921</v>
      </c>
      <c r="V42" s="54">
        <v>0</v>
      </c>
    </row>
    <row r="43" spans="2:22" ht="22.15" customHeight="1">
      <c r="B43" s="201"/>
      <c r="C43" s="204"/>
      <c r="D43" s="46" t="s">
        <v>134</v>
      </c>
      <c r="E43" s="46" t="s">
        <v>134</v>
      </c>
      <c r="F43" s="32">
        <v>26147</v>
      </c>
      <c r="G43" s="33">
        <v>1.1380100000000001E-2</v>
      </c>
      <c r="H43" s="33">
        <v>5.2321300000000001E-2</v>
      </c>
      <c r="I43" s="33">
        <v>0</v>
      </c>
      <c r="J43" s="34">
        <v>0.62068970000000001</v>
      </c>
      <c r="L43" s="46" t="s">
        <v>134</v>
      </c>
      <c r="M43" s="46" t="s">
        <v>134</v>
      </c>
      <c r="N43" s="32">
        <v>285135</v>
      </c>
      <c r="O43" s="33">
        <v>0.1100589</v>
      </c>
      <c r="P43" s="33">
        <v>0.22412850000000001</v>
      </c>
      <c r="Q43" s="33">
        <v>0</v>
      </c>
      <c r="R43" s="34">
        <v>0.95218420000000004</v>
      </c>
      <c r="T43" s="58" t="str">
        <f t="shared" si="3"/>
        <v>PCT_CANAL5</v>
      </c>
      <c r="U43" s="61">
        <f t="shared" si="4"/>
        <v>-0.44027778707304066</v>
      </c>
      <c r="V43" s="54">
        <v>0</v>
      </c>
    </row>
    <row r="44" spans="2:22" ht="22.15" customHeight="1">
      <c r="B44" s="201"/>
      <c r="C44" s="204"/>
      <c r="D44" s="46" t="s">
        <v>135</v>
      </c>
      <c r="E44" s="46" t="s">
        <v>135</v>
      </c>
      <c r="F44" s="32">
        <v>26147</v>
      </c>
      <c r="G44" s="33">
        <v>7.4970999999999996E-3</v>
      </c>
      <c r="H44" s="33">
        <v>3.9329999999999997E-2</v>
      </c>
      <c r="I44" s="33">
        <v>0</v>
      </c>
      <c r="J44" s="34">
        <v>0.50502009999999997</v>
      </c>
      <c r="L44" s="46" t="s">
        <v>135</v>
      </c>
      <c r="M44" s="46" t="s">
        <v>135</v>
      </c>
      <c r="N44" s="32">
        <v>285135</v>
      </c>
      <c r="O44" s="33">
        <v>1.12163E-2</v>
      </c>
      <c r="P44" s="33">
        <v>5.03066E-2</v>
      </c>
      <c r="Q44" s="33">
        <v>0</v>
      </c>
      <c r="R44" s="34">
        <v>0.51052629999999999</v>
      </c>
      <c r="T44" s="58" t="str">
        <f t="shared" si="3"/>
        <v>PCT_CANAL6</v>
      </c>
      <c r="U44" s="61">
        <f t="shared" si="4"/>
        <v>-7.3930657209988371E-2</v>
      </c>
      <c r="V44" s="54">
        <v>0</v>
      </c>
    </row>
    <row r="45" spans="2:22" ht="22.15" customHeight="1">
      <c r="B45" s="201"/>
      <c r="C45" s="204"/>
      <c r="D45" s="46" t="s">
        <v>136</v>
      </c>
      <c r="E45" s="46" t="s">
        <v>136</v>
      </c>
      <c r="F45" s="32">
        <v>26147</v>
      </c>
      <c r="G45" s="33">
        <v>2.9512799999999999E-2</v>
      </c>
      <c r="H45" s="33">
        <v>6.5054600000000004E-2</v>
      </c>
      <c r="I45" s="33">
        <v>0</v>
      </c>
      <c r="J45" s="34">
        <v>0.5</v>
      </c>
      <c r="L45" s="46" t="s">
        <v>136</v>
      </c>
      <c r="M45" s="46" t="s">
        <v>136</v>
      </c>
      <c r="N45" s="32">
        <v>285135</v>
      </c>
      <c r="O45" s="33">
        <v>1.9921000000000001E-2</v>
      </c>
      <c r="P45" s="33">
        <v>4.8187399999999998E-2</v>
      </c>
      <c r="Q45" s="33">
        <v>0</v>
      </c>
      <c r="R45" s="34">
        <v>0.5</v>
      </c>
      <c r="T45" s="58" t="str">
        <f t="shared" si="3"/>
        <v>PCT_CANAL7</v>
      </c>
      <c r="U45" s="61">
        <f t="shared" si="4"/>
        <v>0.19905203434922819</v>
      </c>
      <c r="V45" s="54">
        <v>0</v>
      </c>
    </row>
    <row r="46" spans="2:22" ht="22.15" customHeight="1">
      <c r="B46" s="201"/>
      <c r="C46" s="204"/>
      <c r="D46" s="46" t="s">
        <v>137</v>
      </c>
      <c r="E46" s="46" t="s">
        <v>137</v>
      </c>
      <c r="F46" s="32">
        <v>26147</v>
      </c>
      <c r="G46" s="33">
        <v>0.2010554</v>
      </c>
      <c r="H46" s="33">
        <v>0.2407762</v>
      </c>
      <c r="I46" s="33">
        <v>0</v>
      </c>
      <c r="J46" s="34">
        <v>0.92857140000000005</v>
      </c>
      <c r="L46" s="46" t="s">
        <v>137</v>
      </c>
      <c r="M46" s="46" t="s">
        <v>137</v>
      </c>
      <c r="N46" s="32">
        <v>285135</v>
      </c>
      <c r="O46" s="33">
        <v>3.6702899999999997E-2</v>
      </c>
      <c r="P46" s="33">
        <v>9.8033800000000004E-2</v>
      </c>
      <c r="Q46" s="33">
        <v>0</v>
      </c>
      <c r="R46" s="34">
        <v>0.92857140000000005</v>
      </c>
      <c r="T46" s="58" t="str">
        <f t="shared" si="3"/>
        <v>PCT_CANAL8</v>
      </c>
      <c r="U46" s="61">
        <f t="shared" si="4"/>
        <v>1.6764881092031525</v>
      </c>
      <c r="V46" s="54">
        <v>0</v>
      </c>
    </row>
    <row r="47" spans="2:22" ht="22.15" customHeight="1">
      <c r="B47" s="201"/>
      <c r="C47" s="204"/>
      <c r="D47" s="46" t="s">
        <v>138</v>
      </c>
      <c r="E47" s="46" t="s">
        <v>138</v>
      </c>
      <c r="F47" s="32">
        <v>26147</v>
      </c>
      <c r="G47" s="33">
        <v>0.42000389999999999</v>
      </c>
      <c r="H47" s="33">
        <v>0.20141719999999999</v>
      </c>
      <c r="I47" s="33">
        <v>0</v>
      </c>
      <c r="J47" s="34">
        <v>0.78571429999999998</v>
      </c>
      <c r="L47" s="46" t="s">
        <v>138</v>
      </c>
      <c r="M47" s="46" t="s">
        <v>138</v>
      </c>
      <c r="N47" s="32">
        <v>285135</v>
      </c>
      <c r="O47" s="33">
        <v>0.55043059999999999</v>
      </c>
      <c r="P47" s="33">
        <v>0.32089380000000001</v>
      </c>
      <c r="Q47" s="33">
        <v>0</v>
      </c>
      <c r="R47" s="34">
        <v>1</v>
      </c>
      <c r="T47" s="58" t="str">
        <f t="shared" si="3"/>
        <v>PCT_CANAL9</v>
      </c>
      <c r="U47" s="61">
        <f t="shared" si="4"/>
        <v>-0.40644817693579621</v>
      </c>
      <c r="V47" s="54">
        <v>0</v>
      </c>
    </row>
    <row r="48" spans="2:22" ht="22.15" customHeight="1">
      <c r="B48" s="201"/>
      <c r="C48" s="204"/>
      <c r="D48" s="46" t="s">
        <v>139</v>
      </c>
      <c r="E48" s="46" t="s">
        <v>139</v>
      </c>
      <c r="F48" s="32">
        <v>26147</v>
      </c>
      <c r="G48" s="33">
        <v>1.03401E-2</v>
      </c>
      <c r="H48" s="33">
        <v>5.0407100000000003E-2</v>
      </c>
      <c r="I48" s="33">
        <v>0</v>
      </c>
      <c r="J48" s="34">
        <v>0.60606059999999995</v>
      </c>
      <c r="L48" s="46" t="s">
        <v>139</v>
      </c>
      <c r="M48" s="46" t="s">
        <v>139</v>
      </c>
      <c r="N48" s="32">
        <v>285135</v>
      </c>
      <c r="O48" s="33">
        <v>2.06415E-2</v>
      </c>
      <c r="P48" s="33">
        <v>9.5968100000000001E-2</v>
      </c>
      <c r="Q48" s="33">
        <v>0</v>
      </c>
      <c r="R48" s="34">
        <v>0.88709680000000002</v>
      </c>
      <c r="T48" s="58" t="str">
        <f t="shared" si="3"/>
        <v>PCT_CANAL10</v>
      </c>
      <c r="U48" s="61">
        <f t="shared" si="4"/>
        <v>-0.1073419188251096</v>
      </c>
      <c r="V48" s="54">
        <v>0</v>
      </c>
    </row>
    <row r="49" spans="2:22" ht="22.15" customHeight="1" thickBot="1">
      <c r="B49" s="202"/>
      <c r="C49" s="205"/>
      <c r="D49" s="47" t="s">
        <v>140</v>
      </c>
      <c r="E49" s="47" t="s">
        <v>140</v>
      </c>
      <c r="F49" s="35">
        <v>26147</v>
      </c>
      <c r="G49" s="36">
        <v>3.2689700000000002E-2</v>
      </c>
      <c r="H49" s="36">
        <v>7.6525899999999994E-2</v>
      </c>
      <c r="I49" s="36">
        <v>0</v>
      </c>
      <c r="J49" s="37">
        <v>0.63157890000000005</v>
      </c>
      <c r="L49" s="47" t="s">
        <v>140</v>
      </c>
      <c r="M49" s="47" t="s">
        <v>140</v>
      </c>
      <c r="N49" s="35">
        <v>285135</v>
      </c>
      <c r="O49" s="36">
        <v>6.9534299999999993E-2</v>
      </c>
      <c r="P49" s="36">
        <v>0.1103164</v>
      </c>
      <c r="Q49" s="36">
        <v>0</v>
      </c>
      <c r="R49" s="37">
        <v>0.63157890000000005</v>
      </c>
      <c r="T49" s="59" t="str">
        <f t="shared" si="3"/>
        <v>PCT_CANAL11</v>
      </c>
      <c r="U49" s="62">
        <f t="shared" si="4"/>
        <v>-0.33399023173345027</v>
      </c>
      <c r="V49" s="55">
        <v>0</v>
      </c>
    </row>
  </sheetData>
  <mergeCells count="8">
    <mergeCell ref="B39:B49"/>
    <mergeCell ref="C39:C49"/>
    <mergeCell ref="B6:B16"/>
    <mergeCell ref="C6:C16"/>
    <mergeCell ref="B17:B27"/>
    <mergeCell ref="C17:C27"/>
    <mergeCell ref="B28:B38"/>
    <mergeCell ref="C28:C3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116"/>
  <sheetViews>
    <sheetView showGridLines="0" workbookViewId="0"/>
  </sheetViews>
  <sheetFormatPr baseColWidth="10" defaultRowHeight="15"/>
  <cols>
    <col min="1" max="1" width="5" customWidth="1"/>
    <col min="2" max="2" width="14.28515625" customWidth="1"/>
    <col min="4" max="5" width="13" bestFit="1" customWidth="1"/>
    <col min="12" max="13" width="13" bestFit="1" customWidth="1"/>
    <col min="19" max="19" width="6" customWidth="1"/>
    <col min="20" max="20" width="12.42578125" customWidth="1"/>
  </cols>
  <sheetData>
    <row r="3" spans="2:22">
      <c r="C3" s="22">
        <f>+C105/N6</f>
        <v>2.4290248478790747E-2</v>
      </c>
    </row>
    <row r="4" spans="2:22" ht="15.75" thickBot="1"/>
    <row r="5" spans="2:22" ht="15.75" thickBot="1">
      <c r="B5" s="24" t="s">
        <v>22</v>
      </c>
      <c r="C5" s="25" t="s">
        <v>18</v>
      </c>
      <c r="D5" s="48" t="s">
        <v>11</v>
      </c>
      <c r="E5" s="49" t="s">
        <v>12</v>
      </c>
      <c r="F5" s="49" t="s">
        <v>13</v>
      </c>
      <c r="G5" s="49" t="s">
        <v>14</v>
      </c>
      <c r="H5" s="49" t="s">
        <v>15</v>
      </c>
      <c r="I5" s="49" t="s">
        <v>16</v>
      </c>
      <c r="J5" s="50" t="s">
        <v>17</v>
      </c>
      <c r="L5" s="48" t="s">
        <v>11</v>
      </c>
      <c r="M5" s="49" t="s">
        <v>12</v>
      </c>
      <c r="N5" s="49" t="s">
        <v>13</v>
      </c>
      <c r="O5" s="49" t="s">
        <v>14</v>
      </c>
      <c r="P5" s="49" t="s">
        <v>15</v>
      </c>
      <c r="Q5" s="49" t="s">
        <v>16</v>
      </c>
      <c r="R5" s="50" t="s">
        <v>17</v>
      </c>
      <c r="T5" s="56" t="s">
        <v>11</v>
      </c>
      <c r="U5" s="51" t="s">
        <v>19</v>
      </c>
      <c r="V5" s="52" t="s">
        <v>20</v>
      </c>
    </row>
    <row r="6" spans="2:22" ht="19.899999999999999" customHeight="1">
      <c r="B6" s="210">
        <v>1</v>
      </c>
      <c r="C6" s="210">
        <v>122930</v>
      </c>
      <c r="D6" s="45" t="s">
        <v>130</v>
      </c>
      <c r="E6" s="45" t="s">
        <v>130</v>
      </c>
      <c r="F6" s="29">
        <v>122930</v>
      </c>
      <c r="G6" s="30">
        <v>2.5295000000000001E-3</v>
      </c>
      <c r="H6" s="30">
        <v>1.17619E-2</v>
      </c>
      <c r="I6" s="30">
        <v>0</v>
      </c>
      <c r="J6" s="31">
        <v>0.122449</v>
      </c>
      <c r="L6" s="45" t="s">
        <v>130</v>
      </c>
      <c r="M6" s="45" t="s">
        <v>130</v>
      </c>
      <c r="N6" s="29">
        <v>285135</v>
      </c>
      <c r="O6" s="30">
        <v>5.3293000000000004E-3</v>
      </c>
      <c r="P6" s="30">
        <v>2.9197500000000001E-2</v>
      </c>
      <c r="Q6" s="30">
        <v>0</v>
      </c>
      <c r="R6" s="31">
        <v>0.4166667</v>
      </c>
      <c r="T6" s="68" t="str">
        <f>+D6</f>
        <v>PCT_CANAL1</v>
      </c>
      <c r="U6" s="60">
        <f t="shared" ref="U6:U16" si="0">+(G6-O6)/P6</f>
        <v>-9.5891771555783892E-2</v>
      </c>
      <c r="V6" s="53">
        <v>0</v>
      </c>
    </row>
    <row r="7" spans="2:22" ht="19.899999999999999" customHeight="1">
      <c r="B7" s="211"/>
      <c r="C7" s="211"/>
      <c r="D7" s="46" t="s">
        <v>131</v>
      </c>
      <c r="E7" s="46" t="s">
        <v>131</v>
      </c>
      <c r="F7" s="32">
        <v>122930</v>
      </c>
      <c r="G7" s="33">
        <v>2.8510799999999999E-2</v>
      </c>
      <c r="H7" s="33">
        <v>4.80931E-2</v>
      </c>
      <c r="I7" s="33">
        <v>0</v>
      </c>
      <c r="J7" s="34">
        <v>0.21698110000000001</v>
      </c>
      <c r="L7" s="46" t="s">
        <v>131</v>
      </c>
      <c r="M7" s="46" t="s">
        <v>131</v>
      </c>
      <c r="N7" s="32">
        <v>285135</v>
      </c>
      <c r="O7" s="33">
        <v>4.1117800000000003E-2</v>
      </c>
      <c r="P7" s="33">
        <v>9.75636E-2</v>
      </c>
      <c r="Q7" s="33">
        <v>0</v>
      </c>
      <c r="R7" s="34">
        <v>0.8</v>
      </c>
      <c r="T7" s="69" t="str">
        <f t="shared" ref="T7:T70" si="1">+D7</f>
        <v>PCT_CANAL2</v>
      </c>
      <c r="U7" s="61">
        <f t="shared" si="0"/>
        <v>-0.12921827402842867</v>
      </c>
      <c r="V7" s="54">
        <v>0</v>
      </c>
    </row>
    <row r="8" spans="2:22" ht="19.899999999999999" customHeight="1">
      <c r="B8" s="211"/>
      <c r="C8" s="211"/>
      <c r="D8" s="46" t="s">
        <v>132</v>
      </c>
      <c r="E8" s="46" t="s">
        <v>132</v>
      </c>
      <c r="F8" s="32">
        <v>122930</v>
      </c>
      <c r="G8" s="33">
        <v>1.7705499999999999E-2</v>
      </c>
      <c r="H8" s="33">
        <v>3.54644E-2</v>
      </c>
      <c r="I8" s="33">
        <v>0</v>
      </c>
      <c r="J8" s="34">
        <v>0.18518519999999999</v>
      </c>
      <c r="L8" s="46" t="s">
        <v>132</v>
      </c>
      <c r="M8" s="46" t="s">
        <v>132</v>
      </c>
      <c r="N8" s="32">
        <v>285135</v>
      </c>
      <c r="O8" s="33">
        <v>3.5534999999999997E-2</v>
      </c>
      <c r="P8" s="33">
        <v>8.58878E-2</v>
      </c>
      <c r="Q8" s="33">
        <v>0</v>
      </c>
      <c r="R8" s="34">
        <v>0.58964139999999998</v>
      </c>
      <c r="T8" s="69" t="str">
        <f t="shared" si="1"/>
        <v>PCT_CANAL3</v>
      </c>
      <c r="U8" s="61">
        <f t="shared" si="0"/>
        <v>-0.20759060076052707</v>
      </c>
      <c r="V8" s="54">
        <v>0</v>
      </c>
    </row>
    <row r="9" spans="2:22" ht="19.899999999999999" customHeight="1">
      <c r="B9" s="211"/>
      <c r="C9" s="211"/>
      <c r="D9" s="46" t="s">
        <v>133</v>
      </c>
      <c r="E9" s="46" t="s">
        <v>133</v>
      </c>
      <c r="F9" s="32">
        <v>122930</v>
      </c>
      <c r="G9" s="33">
        <v>4.5970999999999998E-3</v>
      </c>
      <c r="H9" s="33">
        <v>3.2289100000000001E-2</v>
      </c>
      <c r="I9" s="33">
        <v>0</v>
      </c>
      <c r="J9" s="34">
        <v>0.40654210000000002</v>
      </c>
      <c r="L9" s="46" t="s">
        <v>133</v>
      </c>
      <c r="M9" s="46" t="s">
        <v>133</v>
      </c>
      <c r="N9" s="32">
        <v>285135</v>
      </c>
      <c r="O9" s="33">
        <v>9.9512199999999995E-2</v>
      </c>
      <c r="P9" s="33">
        <v>0.2434481</v>
      </c>
      <c r="Q9" s="33">
        <v>0</v>
      </c>
      <c r="R9" s="34">
        <v>0.95315680000000003</v>
      </c>
      <c r="T9" s="69" t="str">
        <f t="shared" si="1"/>
        <v>PCT_CANAL4</v>
      </c>
      <c r="U9" s="61">
        <f t="shared" si="0"/>
        <v>-0.38987817115845225</v>
      </c>
      <c r="V9" s="54">
        <v>0</v>
      </c>
    </row>
    <row r="10" spans="2:22" ht="19.899999999999999" customHeight="1">
      <c r="B10" s="211"/>
      <c r="C10" s="211"/>
      <c r="D10" s="46" t="s">
        <v>134</v>
      </c>
      <c r="E10" s="46" t="s">
        <v>134</v>
      </c>
      <c r="F10" s="32">
        <v>122930</v>
      </c>
      <c r="G10" s="33">
        <v>1.4619E-2</v>
      </c>
      <c r="H10" s="33">
        <v>5.2343099999999997E-2</v>
      </c>
      <c r="I10" s="33">
        <v>0</v>
      </c>
      <c r="J10" s="34">
        <v>0.37209300000000001</v>
      </c>
      <c r="L10" s="46" t="s">
        <v>134</v>
      </c>
      <c r="M10" s="46" t="s">
        <v>134</v>
      </c>
      <c r="N10" s="32">
        <v>285135</v>
      </c>
      <c r="O10" s="33">
        <v>0.1100589</v>
      </c>
      <c r="P10" s="33">
        <v>0.22412850000000001</v>
      </c>
      <c r="Q10" s="33">
        <v>0</v>
      </c>
      <c r="R10" s="34">
        <v>0.95218420000000004</v>
      </c>
      <c r="T10" s="69" t="str">
        <f t="shared" si="1"/>
        <v>PCT_CANAL5</v>
      </c>
      <c r="U10" s="61">
        <f t="shared" si="0"/>
        <v>-0.42582670209277262</v>
      </c>
      <c r="V10" s="54">
        <v>0</v>
      </c>
    </row>
    <row r="11" spans="2:22" ht="19.899999999999999" customHeight="1">
      <c r="B11" s="211"/>
      <c r="C11" s="211"/>
      <c r="D11" s="46" t="s">
        <v>135</v>
      </c>
      <c r="E11" s="46" t="s">
        <v>135</v>
      </c>
      <c r="F11" s="32">
        <v>122930</v>
      </c>
      <c r="G11" s="33">
        <v>1.31964E-2</v>
      </c>
      <c r="H11" s="33">
        <v>5.6163400000000002E-2</v>
      </c>
      <c r="I11" s="33">
        <v>0</v>
      </c>
      <c r="J11" s="34">
        <v>0.51020410000000005</v>
      </c>
      <c r="L11" s="46" t="s">
        <v>135</v>
      </c>
      <c r="M11" s="46" t="s">
        <v>135</v>
      </c>
      <c r="N11" s="32">
        <v>285135</v>
      </c>
      <c r="O11" s="33">
        <v>1.12163E-2</v>
      </c>
      <c r="P11" s="33">
        <v>5.03066E-2</v>
      </c>
      <c r="Q11" s="33">
        <v>0</v>
      </c>
      <c r="R11" s="34">
        <v>0.51052629999999999</v>
      </c>
      <c r="T11" s="69" t="str">
        <f t="shared" si="1"/>
        <v>PCT_CANAL6</v>
      </c>
      <c r="U11" s="61">
        <f t="shared" si="0"/>
        <v>3.936064055213432E-2</v>
      </c>
      <c r="V11" s="54">
        <v>0</v>
      </c>
    </row>
    <row r="12" spans="2:22" ht="19.899999999999999" customHeight="1">
      <c r="B12" s="211"/>
      <c r="C12" s="211"/>
      <c r="D12" s="46" t="s">
        <v>136</v>
      </c>
      <c r="E12" s="46" t="s">
        <v>136</v>
      </c>
      <c r="F12" s="32">
        <v>122930</v>
      </c>
      <c r="G12" s="33">
        <v>1.31518E-2</v>
      </c>
      <c r="H12" s="33">
        <v>2.32342E-2</v>
      </c>
      <c r="I12" s="33">
        <v>0</v>
      </c>
      <c r="J12" s="34">
        <v>0.13888890000000001</v>
      </c>
      <c r="L12" s="46" t="s">
        <v>136</v>
      </c>
      <c r="M12" s="46" t="s">
        <v>136</v>
      </c>
      <c r="N12" s="32">
        <v>285135</v>
      </c>
      <c r="O12" s="33">
        <v>1.9921000000000001E-2</v>
      </c>
      <c r="P12" s="33">
        <v>4.8187399999999998E-2</v>
      </c>
      <c r="Q12" s="33">
        <v>0</v>
      </c>
      <c r="R12" s="34">
        <v>0.5</v>
      </c>
      <c r="T12" s="69" t="str">
        <f t="shared" si="1"/>
        <v>PCT_CANAL7</v>
      </c>
      <c r="U12" s="61">
        <f t="shared" si="0"/>
        <v>-0.14047655611217874</v>
      </c>
      <c r="V12" s="54">
        <v>0</v>
      </c>
    </row>
    <row r="13" spans="2:22" ht="19.899999999999999" customHeight="1">
      <c r="B13" s="211"/>
      <c r="C13" s="211"/>
      <c r="D13" s="46" t="s">
        <v>137</v>
      </c>
      <c r="E13" s="46" t="s">
        <v>137</v>
      </c>
      <c r="F13" s="32">
        <v>122930</v>
      </c>
      <c r="G13" s="33">
        <v>2.70688E-2</v>
      </c>
      <c r="H13" s="33">
        <v>4.94799E-2</v>
      </c>
      <c r="I13" s="33">
        <v>0</v>
      </c>
      <c r="J13" s="34">
        <v>0.3015873</v>
      </c>
      <c r="L13" s="46" t="s">
        <v>137</v>
      </c>
      <c r="M13" s="46" t="s">
        <v>137</v>
      </c>
      <c r="N13" s="32">
        <v>285135</v>
      </c>
      <c r="O13" s="33">
        <v>3.6702899999999997E-2</v>
      </c>
      <c r="P13" s="33">
        <v>9.8033800000000004E-2</v>
      </c>
      <c r="Q13" s="33">
        <v>0</v>
      </c>
      <c r="R13" s="34">
        <v>0.92857140000000005</v>
      </c>
      <c r="T13" s="69" t="str">
        <f t="shared" si="1"/>
        <v>PCT_CANAL8</v>
      </c>
      <c r="U13" s="61">
        <f t="shared" si="0"/>
        <v>-9.8273248614253406E-2</v>
      </c>
      <c r="V13" s="54">
        <v>0</v>
      </c>
    </row>
    <row r="14" spans="2:22" ht="19.899999999999999" customHeight="1">
      <c r="B14" s="211"/>
      <c r="C14" s="211"/>
      <c r="D14" s="46" t="s">
        <v>138</v>
      </c>
      <c r="E14" s="46" t="s">
        <v>138</v>
      </c>
      <c r="F14" s="32">
        <v>122930</v>
      </c>
      <c r="G14" s="33">
        <v>0.8428911</v>
      </c>
      <c r="H14" s="33">
        <v>0.1287441</v>
      </c>
      <c r="I14" s="33">
        <v>0.125</v>
      </c>
      <c r="J14" s="34">
        <v>1</v>
      </c>
      <c r="L14" s="46" t="s">
        <v>138</v>
      </c>
      <c r="M14" s="46" t="s">
        <v>138</v>
      </c>
      <c r="N14" s="32">
        <v>285135</v>
      </c>
      <c r="O14" s="33">
        <v>0.55043059999999999</v>
      </c>
      <c r="P14" s="33">
        <v>0.32089380000000001</v>
      </c>
      <c r="Q14" s="33">
        <v>0</v>
      </c>
      <c r="R14" s="34">
        <v>1</v>
      </c>
      <c r="T14" s="69" t="str">
        <f t="shared" si="1"/>
        <v>PCT_CANAL9</v>
      </c>
      <c r="U14" s="61">
        <f t="shared" si="0"/>
        <v>0.91139342673495094</v>
      </c>
      <c r="V14" s="54">
        <v>0</v>
      </c>
    </row>
    <row r="15" spans="2:22" ht="19.899999999999999" customHeight="1">
      <c r="B15" s="211"/>
      <c r="C15" s="211"/>
      <c r="D15" s="46" t="s">
        <v>139</v>
      </c>
      <c r="E15" s="46" t="s">
        <v>139</v>
      </c>
      <c r="F15" s="32">
        <v>122930</v>
      </c>
      <c r="G15" s="33">
        <v>3.5297000000000002E-3</v>
      </c>
      <c r="H15" s="33">
        <v>2.3984700000000001E-2</v>
      </c>
      <c r="I15" s="33">
        <v>0</v>
      </c>
      <c r="J15" s="34">
        <v>0.3333333</v>
      </c>
      <c r="L15" s="46" t="s">
        <v>139</v>
      </c>
      <c r="M15" s="46" t="s">
        <v>139</v>
      </c>
      <c r="N15" s="32">
        <v>285135</v>
      </c>
      <c r="O15" s="33">
        <v>2.06415E-2</v>
      </c>
      <c r="P15" s="33">
        <v>9.5968100000000001E-2</v>
      </c>
      <c r="Q15" s="33">
        <v>0</v>
      </c>
      <c r="R15" s="34">
        <v>0.88709680000000002</v>
      </c>
      <c r="T15" s="69" t="str">
        <f t="shared" si="1"/>
        <v>PCT_CANAL10</v>
      </c>
      <c r="U15" s="61">
        <f t="shared" si="0"/>
        <v>-0.17830716665225216</v>
      </c>
      <c r="V15" s="54">
        <v>0</v>
      </c>
    </row>
    <row r="16" spans="2:22" ht="19.899999999999999" customHeight="1" thickBot="1">
      <c r="B16" s="212"/>
      <c r="C16" s="212"/>
      <c r="D16" s="47" t="s">
        <v>140</v>
      </c>
      <c r="E16" s="47" t="s">
        <v>140</v>
      </c>
      <c r="F16" s="35">
        <v>122930</v>
      </c>
      <c r="G16" s="36">
        <v>3.2200399999999997E-2</v>
      </c>
      <c r="H16" s="36">
        <v>4.80668E-2</v>
      </c>
      <c r="I16" s="36">
        <v>0</v>
      </c>
      <c r="J16" s="37">
        <v>0.18840580000000001</v>
      </c>
      <c r="L16" s="47" t="s">
        <v>140</v>
      </c>
      <c r="M16" s="47" t="s">
        <v>140</v>
      </c>
      <c r="N16" s="35">
        <v>285135</v>
      </c>
      <c r="O16" s="36">
        <v>6.9534299999999993E-2</v>
      </c>
      <c r="P16" s="36">
        <v>0.1103164</v>
      </c>
      <c r="Q16" s="36">
        <v>0</v>
      </c>
      <c r="R16" s="37">
        <v>0.63157890000000005</v>
      </c>
      <c r="T16" s="70" t="str">
        <f t="shared" si="1"/>
        <v>PCT_CANAL11</v>
      </c>
      <c r="U16" s="62">
        <f t="shared" si="0"/>
        <v>-0.33842565565953925</v>
      </c>
      <c r="V16" s="55">
        <v>0</v>
      </c>
    </row>
    <row r="17" spans="2:22" ht="19.899999999999999" customHeight="1">
      <c r="B17" s="210">
        <v>2</v>
      </c>
      <c r="C17" s="210">
        <v>34736</v>
      </c>
      <c r="D17" s="45" t="s">
        <v>130</v>
      </c>
      <c r="E17" s="45" t="s">
        <v>130</v>
      </c>
      <c r="F17" s="29">
        <v>34736</v>
      </c>
      <c r="G17" s="30">
        <v>2.1013999999999998E-3</v>
      </c>
      <c r="H17" s="30">
        <v>9.6696000000000004E-3</v>
      </c>
      <c r="I17" s="30">
        <v>0</v>
      </c>
      <c r="J17" s="31">
        <v>0.13186809999999999</v>
      </c>
      <c r="L17" s="45" t="s">
        <v>130</v>
      </c>
      <c r="M17" s="45" t="s">
        <v>130</v>
      </c>
      <c r="N17" s="29">
        <v>285135</v>
      </c>
      <c r="O17" s="30">
        <v>5.3293000000000004E-3</v>
      </c>
      <c r="P17" s="30">
        <v>2.9197500000000001E-2</v>
      </c>
      <c r="Q17" s="30">
        <v>0</v>
      </c>
      <c r="R17" s="31">
        <v>0.4166667</v>
      </c>
      <c r="T17" s="69" t="str">
        <f t="shared" si="1"/>
        <v>PCT_CANAL1</v>
      </c>
      <c r="U17" s="61">
        <f t="shared" ref="U17:U38" si="2">+(G17-O17)/P17</f>
        <v>-0.11055398578645434</v>
      </c>
      <c r="V17" s="54">
        <v>0</v>
      </c>
    </row>
    <row r="18" spans="2:22" ht="19.899999999999999" customHeight="1">
      <c r="B18" s="211"/>
      <c r="C18" s="211"/>
      <c r="D18" s="46" t="s">
        <v>131</v>
      </c>
      <c r="E18" s="46" t="s">
        <v>131</v>
      </c>
      <c r="F18" s="32">
        <v>34736</v>
      </c>
      <c r="G18" s="33">
        <v>2.1780500000000001E-2</v>
      </c>
      <c r="H18" s="33">
        <v>4.2280199999999997E-2</v>
      </c>
      <c r="I18" s="33">
        <v>0</v>
      </c>
      <c r="J18" s="34">
        <v>0.35555560000000003</v>
      </c>
      <c r="L18" s="46" t="s">
        <v>131</v>
      </c>
      <c r="M18" s="46" t="s">
        <v>131</v>
      </c>
      <c r="N18" s="32">
        <v>285135</v>
      </c>
      <c r="O18" s="33">
        <v>4.1117800000000003E-2</v>
      </c>
      <c r="P18" s="33">
        <v>9.75636E-2</v>
      </c>
      <c r="Q18" s="33">
        <v>0</v>
      </c>
      <c r="R18" s="34">
        <v>0.8</v>
      </c>
      <c r="T18" s="69" t="str">
        <f t="shared" si="1"/>
        <v>PCT_CANAL2</v>
      </c>
      <c r="U18" s="61">
        <f t="shared" si="2"/>
        <v>-0.19820199336637845</v>
      </c>
      <c r="V18" s="54">
        <v>0</v>
      </c>
    </row>
    <row r="19" spans="2:22" ht="19.899999999999999" customHeight="1">
      <c r="B19" s="211"/>
      <c r="C19" s="211"/>
      <c r="D19" s="46" t="s">
        <v>132</v>
      </c>
      <c r="E19" s="46" t="s">
        <v>132</v>
      </c>
      <c r="F19" s="32">
        <v>34736</v>
      </c>
      <c r="G19" s="33">
        <v>2.23228E-2</v>
      </c>
      <c r="H19" s="33">
        <v>4.35597E-2</v>
      </c>
      <c r="I19" s="33">
        <v>0</v>
      </c>
      <c r="J19" s="34">
        <v>0.35714289999999999</v>
      </c>
      <c r="L19" s="46" t="s">
        <v>132</v>
      </c>
      <c r="M19" s="46" t="s">
        <v>132</v>
      </c>
      <c r="N19" s="32">
        <v>285135</v>
      </c>
      <c r="O19" s="33">
        <v>3.5534999999999997E-2</v>
      </c>
      <c r="P19" s="33">
        <v>8.58878E-2</v>
      </c>
      <c r="Q19" s="33">
        <v>0</v>
      </c>
      <c r="R19" s="34">
        <v>0.58964139999999998</v>
      </c>
      <c r="T19" s="69" t="str">
        <f t="shared" si="1"/>
        <v>PCT_CANAL3</v>
      </c>
      <c r="U19" s="61">
        <f t="shared" si="2"/>
        <v>-0.15383092825756389</v>
      </c>
      <c r="V19" s="54">
        <v>0</v>
      </c>
    </row>
    <row r="20" spans="2:22" ht="19.899999999999999" customHeight="1">
      <c r="B20" s="211"/>
      <c r="C20" s="211"/>
      <c r="D20" s="46" t="s">
        <v>133</v>
      </c>
      <c r="E20" s="46" t="s">
        <v>133</v>
      </c>
      <c r="F20" s="32">
        <v>34736</v>
      </c>
      <c r="G20" s="33">
        <v>1.7027400000000002E-2</v>
      </c>
      <c r="H20" s="33">
        <v>6.6238099999999994E-2</v>
      </c>
      <c r="I20" s="33">
        <v>0</v>
      </c>
      <c r="J20" s="34">
        <v>0.57692310000000002</v>
      </c>
      <c r="L20" s="46" t="s">
        <v>133</v>
      </c>
      <c r="M20" s="46" t="s">
        <v>133</v>
      </c>
      <c r="N20" s="32">
        <v>285135</v>
      </c>
      <c r="O20" s="33">
        <v>9.9512199999999995E-2</v>
      </c>
      <c r="P20" s="33">
        <v>0.2434481</v>
      </c>
      <c r="Q20" s="33">
        <v>0</v>
      </c>
      <c r="R20" s="34">
        <v>0.95315680000000003</v>
      </c>
      <c r="T20" s="69" t="str">
        <f t="shared" si="1"/>
        <v>PCT_CANAL4</v>
      </c>
      <c r="U20" s="61">
        <f t="shared" si="2"/>
        <v>-0.33881882832521593</v>
      </c>
      <c r="V20" s="54">
        <v>0</v>
      </c>
    </row>
    <row r="21" spans="2:22" ht="19.899999999999999" customHeight="1">
      <c r="B21" s="211"/>
      <c r="C21" s="211"/>
      <c r="D21" s="46" t="s">
        <v>134</v>
      </c>
      <c r="E21" s="46" t="s">
        <v>134</v>
      </c>
      <c r="F21" s="32">
        <v>34736</v>
      </c>
      <c r="G21" s="33">
        <v>4.5967800000000003E-2</v>
      </c>
      <c r="H21" s="33">
        <v>0.10037459999999999</v>
      </c>
      <c r="I21" s="33">
        <v>0</v>
      </c>
      <c r="J21" s="34">
        <v>0.6</v>
      </c>
      <c r="L21" s="46" t="s">
        <v>134</v>
      </c>
      <c r="M21" s="46" t="s">
        <v>134</v>
      </c>
      <c r="N21" s="32">
        <v>285135</v>
      </c>
      <c r="O21" s="33">
        <v>0.1100589</v>
      </c>
      <c r="P21" s="33">
        <v>0.22412850000000001</v>
      </c>
      <c r="Q21" s="33">
        <v>0</v>
      </c>
      <c r="R21" s="34">
        <v>0.95218420000000004</v>
      </c>
      <c r="T21" s="69" t="str">
        <f t="shared" si="1"/>
        <v>PCT_CANAL5</v>
      </c>
      <c r="U21" s="61">
        <f t="shared" si="2"/>
        <v>-0.28595693988047033</v>
      </c>
      <c r="V21" s="54">
        <v>0</v>
      </c>
    </row>
    <row r="22" spans="2:22" ht="19.899999999999999" customHeight="1">
      <c r="B22" s="211"/>
      <c r="C22" s="211"/>
      <c r="D22" s="46" t="s">
        <v>135</v>
      </c>
      <c r="E22" s="46" t="s">
        <v>135</v>
      </c>
      <c r="F22" s="32">
        <v>34736</v>
      </c>
      <c r="G22" s="33">
        <v>1.5208599999999999E-2</v>
      </c>
      <c r="H22" s="33">
        <v>5.46518E-2</v>
      </c>
      <c r="I22" s="33">
        <v>0</v>
      </c>
      <c r="J22" s="34">
        <v>0.51052629999999999</v>
      </c>
      <c r="L22" s="46" t="s">
        <v>135</v>
      </c>
      <c r="M22" s="46" t="s">
        <v>135</v>
      </c>
      <c r="N22" s="32">
        <v>285135</v>
      </c>
      <c r="O22" s="33">
        <v>1.12163E-2</v>
      </c>
      <c r="P22" s="33">
        <v>5.03066E-2</v>
      </c>
      <c r="Q22" s="33">
        <v>0</v>
      </c>
      <c r="R22" s="34">
        <v>0.51052629999999999</v>
      </c>
      <c r="T22" s="69" t="str">
        <f t="shared" si="1"/>
        <v>PCT_CANAL6</v>
      </c>
      <c r="U22" s="61">
        <f t="shared" si="2"/>
        <v>7.9359368353257798E-2</v>
      </c>
      <c r="V22" s="54">
        <v>0</v>
      </c>
    </row>
    <row r="23" spans="2:22" ht="19.899999999999999" customHeight="1">
      <c r="B23" s="211"/>
      <c r="C23" s="211"/>
      <c r="D23" s="46" t="s">
        <v>136</v>
      </c>
      <c r="E23" s="46" t="s">
        <v>136</v>
      </c>
      <c r="F23" s="32">
        <v>34736</v>
      </c>
      <c r="G23" s="33">
        <v>1.21654E-2</v>
      </c>
      <c r="H23" s="33">
        <v>2.1347499999999998E-2</v>
      </c>
      <c r="I23" s="33">
        <v>0</v>
      </c>
      <c r="J23" s="34">
        <v>0.2142857</v>
      </c>
      <c r="L23" s="46" t="s">
        <v>136</v>
      </c>
      <c r="M23" s="46" t="s">
        <v>136</v>
      </c>
      <c r="N23" s="32">
        <v>285135</v>
      </c>
      <c r="O23" s="33">
        <v>1.9921000000000001E-2</v>
      </c>
      <c r="P23" s="33">
        <v>4.8187399999999998E-2</v>
      </c>
      <c r="Q23" s="33">
        <v>0</v>
      </c>
      <c r="R23" s="34">
        <v>0.5</v>
      </c>
      <c r="T23" s="69" t="str">
        <f t="shared" si="1"/>
        <v>PCT_CANAL7</v>
      </c>
      <c r="U23" s="61">
        <f t="shared" si="2"/>
        <v>-0.16094663750274971</v>
      </c>
      <c r="V23" s="54">
        <v>0</v>
      </c>
    </row>
    <row r="24" spans="2:22" ht="19.899999999999999" customHeight="1">
      <c r="B24" s="211"/>
      <c r="C24" s="211"/>
      <c r="D24" s="46" t="s">
        <v>137</v>
      </c>
      <c r="E24" s="46" t="s">
        <v>137</v>
      </c>
      <c r="F24" s="32">
        <v>34736</v>
      </c>
      <c r="G24" s="33">
        <v>1.8595199999999999E-2</v>
      </c>
      <c r="H24" s="33">
        <v>3.7464900000000002E-2</v>
      </c>
      <c r="I24" s="33">
        <v>0</v>
      </c>
      <c r="J24" s="34">
        <v>0.4210526</v>
      </c>
      <c r="L24" s="46" t="s">
        <v>137</v>
      </c>
      <c r="M24" s="46" t="s">
        <v>137</v>
      </c>
      <c r="N24" s="32">
        <v>285135</v>
      </c>
      <c r="O24" s="33">
        <v>3.6702899999999997E-2</v>
      </c>
      <c r="P24" s="33">
        <v>9.8033800000000004E-2</v>
      </c>
      <c r="Q24" s="33">
        <v>0</v>
      </c>
      <c r="R24" s="34">
        <v>0.92857140000000005</v>
      </c>
      <c r="T24" s="69" t="str">
        <f t="shared" si="1"/>
        <v>PCT_CANAL8</v>
      </c>
      <c r="U24" s="61">
        <f t="shared" si="2"/>
        <v>-0.18470874331098047</v>
      </c>
      <c r="V24" s="54">
        <v>0</v>
      </c>
    </row>
    <row r="25" spans="2:22" ht="19.899999999999999" customHeight="1">
      <c r="B25" s="211"/>
      <c r="C25" s="211"/>
      <c r="D25" s="46" t="s">
        <v>138</v>
      </c>
      <c r="E25" s="46" t="s">
        <v>138</v>
      </c>
      <c r="F25" s="32">
        <v>34736</v>
      </c>
      <c r="G25" s="33">
        <v>0.52768230000000005</v>
      </c>
      <c r="H25" s="33">
        <v>0.16591</v>
      </c>
      <c r="I25" s="33">
        <v>0</v>
      </c>
      <c r="J25" s="34">
        <v>0.81132079999999995</v>
      </c>
      <c r="L25" s="46" t="s">
        <v>138</v>
      </c>
      <c r="M25" s="46" t="s">
        <v>138</v>
      </c>
      <c r="N25" s="32">
        <v>285135</v>
      </c>
      <c r="O25" s="33">
        <v>0.55043059999999999</v>
      </c>
      <c r="P25" s="33">
        <v>0.32089380000000001</v>
      </c>
      <c r="Q25" s="33">
        <v>0</v>
      </c>
      <c r="R25" s="34">
        <v>1</v>
      </c>
      <c r="T25" s="69" t="str">
        <f t="shared" si="1"/>
        <v>PCT_CANAL9</v>
      </c>
      <c r="U25" s="61">
        <f t="shared" si="2"/>
        <v>-7.0890431663060929E-2</v>
      </c>
      <c r="V25" s="54">
        <v>0</v>
      </c>
    </row>
    <row r="26" spans="2:22" ht="19.899999999999999" customHeight="1">
      <c r="B26" s="211"/>
      <c r="C26" s="211"/>
      <c r="D26" s="46" t="s">
        <v>139</v>
      </c>
      <c r="E26" s="46" t="s">
        <v>139</v>
      </c>
      <c r="F26" s="32">
        <v>34736</v>
      </c>
      <c r="G26" s="33">
        <v>6.6245999999999996E-3</v>
      </c>
      <c r="H26" s="33">
        <v>3.2306000000000001E-2</v>
      </c>
      <c r="I26" s="33">
        <v>0</v>
      </c>
      <c r="J26" s="34">
        <v>0.3787375</v>
      </c>
      <c r="L26" s="46" t="s">
        <v>139</v>
      </c>
      <c r="M26" s="46" t="s">
        <v>139</v>
      </c>
      <c r="N26" s="32">
        <v>285135</v>
      </c>
      <c r="O26" s="33">
        <v>2.06415E-2</v>
      </c>
      <c r="P26" s="33">
        <v>9.5968100000000001E-2</v>
      </c>
      <c r="Q26" s="33">
        <v>0</v>
      </c>
      <c r="R26" s="34">
        <v>0.88709680000000002</v>
      </c>
      <c r="T26" s="69" t="str">
        <f t="shared" si="1"/>
        <v>PCT_CANAL10</v>
      </c>
      <c r="U26" s="61">
        <f t="shared" si="2"/>
        <v>-0.14605790882595363</v>
      </c>
      <c r="V26" s="54">
        <v>0</v>
      </c>
    </row>
    <row r="27" spans="2:22" ht="19.899999999999999" customHeight="1" thickBot="1">
      <c r="B27" s="212"/>
      <c r="C27" s="212"/>
      <c r="D27" s="47" t="s">
        <v>140</v>
      </c>
      <c r="E27" s="47" t="s">
        <v>140</v>
      </c>
      <c r="F27" s="35">
        <v>34736</v>
      </c>
      <c r="G27" s="36">
        <v>0.31052380000000002</v>
      </c>
      <c r="H27" s="36">
        <v>0.1119023</v>
      </c>
      <c r="I27" s="36">
        <v>9.4736799999999996E-2</v>
      </c>
      <c r="J27" s="37">
        <v>0.63157890000000005</v>
      </c>
      <c r="L27" s="47" t="s">
        <v>140</v>
      </c>
      <c r="M27" s="47" t="s">
        <v>140</v>
      </c>
      <c r="N27" s="35">
        <v>285135</v>
      </c>
      <c r="O27" s="36">
        <v>6.9534299999999993E-2</v>
      </c>
      <c r="P27" s="36">
        <v>0.1103164</v>
      </c>
      <c r="Q27" s="36">
        <v>0</v>
      </c>
      <c r="R27" s="37">
        <v>0.63157890000000005</v>
      </c>
      <c r="T27" s="69" t="str">
        <f t="shared" si="1"/>
        <v>PCT_CANAL11</v>
      </c>
      <c r="U27" s="61">
        <f t="shared" si="2"/>
        <v>2.1845301333255982</v>
      </c>
      <c r="V27" s="54">
        <v>0</v>
      </c>
    </row>
    <row r="28" spans="2:22" ht="19.899999999999999" customHeight="1">
      <c r="B28" s="210">
        <v>3</v>
      </c>
      <c r="C28" s="210">
        <v>5890</v>
      </c>
      <c r="D28" s="45" t="s">
        <v>130</v>
      </c>
      <c r="E28" s="45" t="s">
        <v>130</v>
      </c>
      <c r="F28" s="29">
        <v>5890</v>
      </c>
      <c r="G28" s="30">
        <v>1.1237199999999999E-2</v>
      </c>
      <c r="H28" s="30">
        <v>3.2123600000000002E-2</v>
      </c>
      <c r="I28" s="30">
        <v>0</v>
      </c>
      <c r="J28" s="31">
        <v>0.22222220000000001</v>
      </c>
      <c r="L28" s="45" t="s">
        <v>130</v>
      </c>
      <c r="M28" s="45" t="s">
        <v>130</v>
      </c>
      <c r="N28" s="29">
        <v>285135</v>
      </c>
      <c r="O28" s="30">
        <v>5.3293000000000004E-3</v>
      </c>
      <c r="P28" s="30">
        <v>2.9197500000000001E-2</v>
      </c>
      <c r="Q28" s="30">
        <v>0</v>
      </c>
      <c r="R28" s="31">
        <v>0.4166667</v>
      </c>
      <c r="T28" s="68" t="str">
        <f t="shared" si="1"/>
        <v>PCT_CANAL1</v>
      </c>
      <c r="U28" s="60">
        <f t="shared" si="2"/>
        <v>0.20234266632417156</v>
      </c>
      <c r="V28" s="53">
        <v>0</v>
      </c>
    </row>
    <row r="29" spans="2:22" ht="19.899999999999999" customHeight="1">
      <c r="B29" s="211"/>
      <c r="C29" s="211"/>
      <c r="D29" s="46" t="s">
        <v>131</v>
      </c>
      <c r="E29" s="46" t="s">
        <v>131</v>
      </c>
      <c r="F29" s="32">
        <v>5890</v>
      </c>
      <c r="G29" s="33">
        <v>2.0322999999999999E-3</v>
      </c>
      <c r="H29" s="33">
        <v>1.32339E-2</v>
      </c>
      <c r="I29" s="33">
        <v>0</v>
      </c>
      <c r="J29" s="34">
        <v>0.3658537</v>
      </c>
      <c r="L29" s="46" t="s">
        <v>131</v>
      </c>
      <c r="M29" s="46" t="s">
        <v>131</v>
      </c>
      <c r="N29" s="32">
        <v>285135</v>
      </c>
      <c r="O29" s="33">
        <v>4.1117800000000003E-2</v>
      </c>
      <c r="P29" s="33">
        <v>9.75636E-2</v>
      </c>
      <c r="Q29" s="33">
        <v>0</v>
      </c>
      <c r="R29" s="34">
        <v>0.8</v>
      </c>
      <c r="T29" s="69" t="str">
        <f t="shared" si="1"/>
        <v>PCT_CANAL2</v>
      </c>
      <c r="U29" s="61">
        <f t="shared" si="2"/>
        <v>-0.40061559844040195</v>
      </c>
      <c r="V29" s="54">
        <v>0</v>
      </c>
    </row>
    <row r="30" spans="2:22" ht="19.899999999999999" customHeight="1">
      <c r="B30" s="211"/>
      <c r="C30" s="211"/>
      <c r="D30" s="46" t="s">
        <v>132</v>
      </c>
      <c r="E30" s="46" t="s">
        <v>132</v>
      </c>
      <c r="F30" s="32">
        <v>5890</v>
      </c>
      <c r="G30" s="33">
        <v>2.1014999999999999E-2</v>
      </c>
      <c r="H30" s="33">
        <v>4.9798799999999997E-2</v>
      </c>
      <c r="I30" s="33">
        <v>0</v>
      </c>
      <c r="J30" s="34">
        <v>0.44292239999999999</v>
      </c>
      <c r="L30" s="46" t="s">
        <v>132</v>
      </c>
      <c r="M30" s="46" t="s">
        <v>132</v>
      </c>
      <c r="N30" s="32">
        <v>285135</v>
      </c>
      <c r="O30" s="33">
        <v>3.5534999999999997E-2</v>
      </c>
      <c r="P30" s="33">
        <v>8.58878E-2</v>
      </c>
      <c r="Q30" s="33">
        <v>0</v>
      </c>
      <c r="R30" s="34">
        <v>0.58964139999999998</v>
      </c>
      <c r="T30" s="69" t="str">
        <f t="shared" si="1"/>
        <v>PCT_CANAL3</v>
      </c>
      <c r="U30" s="61">
        <f t="shared" si="2"/>
        <v>-0.16905777071947353</v>
      </c>
      <c r="V30" s="54">
        <v>0</v>
      </c>
    </row>
    <row r="31" spans="2:22" ht="19.899999999999999" customHeight="1">
      <c r="B31" s="211"/>
      <c r="C31" s="211"/>
      <c r="D31" s="46" t="s">
        <v>133</v>
      </c>
      <c r="E31" s="46" t="s">
        <v>133</v>
      </c>
      <c r="F31" s="32">
        <v>5890</v>
      </c>
      <c r="G31" s="33">
        <v>1.4120600000000001E-2</v>
      </c>
      <c r="H31" s="33">
        <v>6.3958899999999999E-2</v>
      </c>
      <c r="I31" s="33">
        <v>0</v>
      </c>
      <c r="J31" s="34">
        <v>0.59854010000000002</v>
      </c>
      <c r="L31" s="46" t="s">
        <v>133</v>
      </c>
      <c r="M31" s="46" t="s">
        <v>133</v>
      </c>
      <c r="N31" s="32">
        <v>285135</v>
      </c>
      <c r="O31" s="33">
        <v>9.9512199999999995E-2</v>
      </c>
      <c r="P31" s="33">
        <v>0.2434481</v>
      </c>
      <c r="Q31" s="33">
        <v>0</v>
      </c>
      <c r="R31" s="34">
        <v>0.95315680000000003</v>
      </c>
      <c r="T31" s="69" t="str">
        <f t="shared" si="1"/>
        <v>PCT_CANAL4</v>
      </c>
      <c r="U31" s="61">
        <f t="shared" si="2"/>
        <v>-0.35075895026496406</v>
      </c>
      <c r="V31" s="54">
        <v>0</v>
      </c>
    </row>
    <row r="32" spans="2:22" ht="19.899999999999999" customHeight="1">
      <c r="B32" s="211"/>
      <c r="C32" s="211"/>
      <c r="D32" s="46" t="s">
        <v>134</v>
      </c>
      <c r="E32" s="46" t="s">
        <v>134</v>
      </c>
      <c r="F32" s="32">
        <v>5890</v>
      </c>
      <c r="G32" s="33">
        <v>6.9911100000000004E-2</v>
      </c>
      <c r="H32" s="33">
        <v>0.1407052</v>
      </c>
      <c r="I32" s="33">
        <v>0</v>
      </c>
      <c r="J32" s="34">
        <v>0.61840320000000004</v>
      </c>
      <c r="L32" s="46" t="s">
        <v>134</v>
      </c>
      <c r="M32" s="46" t="s">
        <v>134</v>
      </c>
      <c r="N32" s="32">
        <v>285135</v>
      </c>
      <c r="O32" s="33">
        <v>0.1100589</v>
      </c>
      <c r="P32" s="33">
        <v>0.22412850000000001</v>
      </c>
      <c r="Q32" s="33">
        <v>0</v>
      </c>
      <c r="R32" s="34">
        <v>0.95218420000000004</v>
      </c>
      <c r="T32" s="69" t="str">
        <f t="shared" si="1"/>
        <v>PCT_CANAL5</v>
      </c>
      <c r="U32" s="61">
        <f t="shared" si="2"/>
        <v>-0.17912849102189143</v>
      </c>
      <c r="V32" s="54">
        <v>0</v>
      </c>
    </row>
    <row r="33" spans="2:22" ht="19.899999999999999" customHeight="1">
      <c r="B33" s="211"/>
      <c r="C33" s="211"/>
      <c r="D33" s="46" t="s">
        <v>135</v>
      </c>
      <c r="E33" s="46" t="s">
        <v>135</v>
      </c>
      <c r="F33" s="32">
        <v>5890</v>
      </c>
      <c r="G33" s="33">
        <v>3.2299E-3</v>
      </c>
      <c r="H33" s="33">
        <v>1.5631800000000001E-2</v>
      </c>
      <c r="I33" s="33">
        <v>0</v>
      </c>
      <c r="J33" s="34">
        <v>0.29333330000000002</v>
      </c>
      <c r="L33" s="46" t="s">
        <v>135</v>
      </c>
      <c r="M33" s="46" t="s">
        <v>135</v>
      </c>
      <c r="N33" s="32">
        <v>285135</v>
      </c>
      <c r="O33" s="33">
        <v>1.12163E-2</v>
      </c>
      <c r="P33" s="33">
        <v>5.03066E-2</v>
      </c>
      <c r="Q33" s="33">
        <v>0</v>
      </c>
      <c r="R33" s="34">
        <v>0.51052629999999999</v>
      </c>
      <c r="T33" s="69" t="str">
        <f t="shared" si="1"/>
        <v>PCT_CANAL6</v>
      </c>
      <c r="U33" s="61">
        <f t="shared" si="2"/>
        <v>-0.15875451729991694</v>
      </c>
      <c r="V33" s="54">
        <v>0</v>
      </c>
    </row>
    <row r="34" spans="2:22" ht="19.899999999999999" customHeight="1">
      <c r="B34" s="211"/>
      <c r="C34" s="211"/>
      <c r="D34" s="46" t="s">
        <v>136</v>
      </c>
      <c r="E34" s="46" t="s">
        <v>136</v>
      </c>
      <c r="F34" s="32">
        <v>5890</v>
      </c>
      <c r="G34" s="33">
        <v>8.3223500000000006E-2</v>
      </c>
      <c r="H34" s="33">
        <v>8.9267399999999997E-2</v>
      </c>
      <c r="I34" s="33">
        <v>0</v>
      </c>
      <c r="J34" s="34">
        <v>0.4166667</v>
      </c>
      <c r="L34" s="46" t="s">
        <v>136</v>
      </c>
      <c r="M34" s="46" t="s">
        <v>136</v>
      </c>
      <c r="N34" s="32">
        <v>285135</v>
      </c>
      <c r="O34" s="33">
        <v>1.9921000000000001E-2</v>
      </c>
      <c r="P34" s="33">
        <v>4.8187399999999998E-2</v>
      </c>
      <c r="Q34" s="33">
        <v>0</v>
      </c>
      <c r="R34" s="34">
        <v>0.5</v>
      </c>
      <c r="T34" s="69" t="str">
        <f t="shared" si="1"/>
        <v>PCT_CANAL7</v>
      </c>
      <c r="U34" s="61">
        <f t="shared" si="2"/>
        <v>1.3136732838874896</v>
      </c>
      <c r="V34" s="54">
        <v>0</v>
      </c>
    </row>
    <row r="35" spans="2:22" ht="19.899999999999999" customHeight="1">
      <c r="B35" s="211"/>
      <c r="C35" s="211"/>
      <c r="D35" s="46" t="s">
        <v>137</v>
      </c>
      <c r="E35" s="46" t="s">
        <v>137</v>
      </c>
      <c r="F35" s="32">
        <v>5890</v>
      </c>
      <c r="G35" s="33">
        <v>3.80507E-2</v>
      </c>
      <c r="H35" s="33">
        <v>6.6705899999999999E-2</v>
      </c>
      <c r="I35" s="33">
        <v>0</v>
      </c>
      <c r="J35" s="34">
        <v>0.5</v>
      </c>
      <c r="L35" s="46" t="s">
        <v>137</v>
      </c>
      <c r="M35" s="46" t="s">
        <v>137</v>
      </c>
      <c r="N35" s="32">
        <v>285135</v>
      </c>
      <c r="O35" s="33">
        <v>3.6702899999999997E-2</v>
      </c>
      <c r="P35" s="33">
        <v>9.8033800000000004E-2</v>
      </c>
      <c r="Q35" s="33">
        <v>0</v>
      </c>
      <c r="R35" s="34">
        <v>0.92857140000000005</v>
      </c>
      <c r="T35" s="69" t="str">
        <f t="shared" si="1"/>
        <v>PCT_CANAL8</v>
      </c>
      <c r="U35" s="61">
        <f t="shared" si="2"/>
        <v>1.3748319457166846E-2</v>
      </c>
      <c r="V35" s="54">
        <v>0</v>
      </c>
    </row>
    <row r="36" spans="2:22" ht="19.899999999999999" customHeight="1">
      <c r="B36" s="211"/>
      <c r="C36" s="211"/>
      <c r="D36" s="46" t="s">
        <v>138</v>
      </c>
      <c r="E36" s="46" t="s">
        <v>138</v>
      </c>
      <c r="F36" s="32">
        <v>5890</v>
      </c>
      <c r="G36" s="33">
        <v>0.14387169999999999</v>
      </c>
      <c r="H36" s="33">
        <v>0.1647342</v>
      </c>
      <c r="I36" s="33">
        <v>0</v>
      </c>
      <c r="J36" s="34">
        <v>0.64285709999999996</v>
      </c>
      <c r="L36" s="46" t="s">
        <v>138</v>
      </c>
      <c r="M36" s="46" t="s">
        <v>138</v>
      </c>
      <c r="N36" s="32">
        <v>285135</v>
      </c>
      <c r="O36" s="33">
        <v>0.55043059999999999</v>
      </c>
      <c r="P36" s="33">
        <v>0.32089380000000001</v>
      </c>
      <c r="Q36" s="33">
        <v>0</v>
      </c>
      <c r="R36" s="34">
        <v>1</v>
      </c>
      <c r="T36" s="69" t="str">
        <f t="shared" si="1"/>
        <v>PCT_CANAL9</v>
      </c>
      <c r="U36" s="61">
        <f t="shared" si="2"/>
        <v>-1.2669577910199574</v>
      </c>
      <c r="V36" s="54">
        <v>0</v>
      </c>
    </row>
    <row r="37" spans="2:22" ht="19.899999999999999" customHeight="1">
      <c r="B37" s="211"/>
      <c r="C37" s="211"/>
      <c r="D37" s="46" t="s">
        <v>139</v>
      </c>
      <c r="E37" s="46" t="s">
        <v>139</v>
      </c>
      <c r="F37" s="32">
        <v>5890</v>
      </c>
      <c r="G37" s="33">
        <v>0.59599650000000004</v>
      </c>
      <c r="H37" s="33">
        <v>0.17080799999999999</v>
      </c>
      <c r="I37" s="33">
        <v>0.27777780000000002</v>
      </c>
      <c r="J37" s="34">
        <v>0.88709680000000002</v>
      </c>
      <c r="L37" s="46" t="s">
        <v>139</v>
      </c>
      <c r="M37" s="46" t="s">
        <v>139</v>
      </c>
      <c r="N37" s="32">
        <v>285135</v>
      </c>
      <c r="O37" s="33">
        <v>2.06415E-2</v>
      </c>
      <c r="P37" s="33">
        <v>9.5968100000000001E-2</v>
      </c>
      <c r="Q37" s="33">
        <v>0</v>
      </c>
      <c r="R37" s="34">
        <v>0.88709680000000002</v>
      </c>
      <c r="T37" s="69" t="str">
        <f t="shared" si="1"/>
        <v>PCT_CANAL10</v>
      </c>
      <c r="U37" s="61">
        <f t="shared" si="2"/>
        <v>5.9952734293999779</v>
      </c>
      <c r="V37" s="54">
        <v>0</v>
      </c>
    </row>
    <row r="38" spans="2:22" ht="19.899999999999999" customHeight="1" thickBot="1">
      <c r="B38" s="212"/>
      <c r="C38" s="212"/>
      <c r="D38" s="47" t="s">
        <v>140</v>
      </c>
      <c r="E38" s="47" t="s">
        <v>140</v>
      </c>
      <c r="F38" s="35">
        <v>5890</v>
      </c>
      <c r="G38" s="36">
        <v>1.73115E-2</v>
      </c>
      <c r="H38" s="36">
        <v>4.7235600000000003E-2</v>
      </c>
      <c r="I38" s="36">
        <v>0</v>
      </c>
      <c r="J38" s="37">
        <v>0.46753250000000002</v>
      </c>
      <c r="L38" s="47" t="s">
        <v>140</v>
      </c>
      <c r="M38" s="47" t="s">
        <v>140</v>
      </c>
      <c r="N38" s="35">
        <v>285135</v>
      </c>
      <c r="O38" s="36">
        <v>6.9534299999999993E-2</v>
      </c>
      <c r="P38" s="36">
        <v>0.1103164</v>
      </c>
      <c r="Q38" s="36">
        <v>0</v>
      </c>
      <c r="R38" s="37">
        <v>0.63157890000000005</v>
      </c>
      <c r="T38" s="70" t="str">
        <f t="shared" si="1"/>
        <v>PCT_CANAL11</v>
      </c>
      <c r="U38" s="62">
        <f t="shared" si="2"/>
        <v>-0.47339108237759747</v>
      </c>
      <c r="V38" s="55">
        <v>0</v>
      </c>
    </row>
    <row r="39" spans="2:22" ht="22.15" customHeight="1">
      <c r="B39" s="210">
        <v>4</v>
      </c>
      <c r="C39" s="210">
        <v>14604</v>
      </c>
      <c r="D39" s="45" t="s">
        <v>130</v>
      </c>
      <c r="E39" s="45" t="s">
        <v>130</v>
      </c>
      <c r="F39" s="29">
        <v>14604</v>
      </c>
      <c r="G39" s="30">
        <v>3.1844999999999998E-3</v>
      </c>
      <c r="H39" s="30">
        <v>1.45757E-2</v>
      </c>
      <c r="I39" s="30">
        <v>0</v>
      </c>
      <c r="J39" s="31">
        <v>0.1842105</v>
      </c>
      <c r="L39" s="45" t="s">
        <v>130</v>
      </c>
      <c r="M39" s="45" t="s">
        <v>130</v>
      </c>
      <c r="N39" s="29">
        <v>285135</v>
      </c>
      <c r="O39" s="30">
        <v>5.3293000000000004E-3</v>
      </c>
      <c r="P39" s="30">
        <v>2.9197500000000001E-2</v>
      </c>
      <c r="Q39" s="30">
        <v>0</v>
      </c>
      <c r="R39" s="31">
        <v>0.4166667</v>
      </c>
      <c r="T39" s="68" t="str">
        <f t="shared" si="1"/>
        <v>PCT_CANAL1</v>
      </c>
      <c r="U39" s="60">
        <f>+(G39-O39)/P39</f>
        <v>-7.3458344036304496E-2</v>
      </c>
      <c r="V39" s="53">
        <v>0</v>
      </c>
    </row>
    <row r="40" spans="2:22" ht="22.15" customHeight="1">
      <c r="B40" s="211"/>
      <c r="C40" s="211"/>
      <c r="D40" s="46" t="s">
        <v>131</v>
      </c>
      <c r="E40" s="46" t="s">
        <v>131</v>
      </c>
      <c r="F40" s="32">
        <v>14604</v>
      </c>
      <c r="G40" s="33">
        <v>0.38084590000000001</v>
      </c>
      <c r="H40" s="33">
        <v>0.1548485</v>
      </c>
      <c r="I40" s="33">
        <v>0.13457079999999999</v>
      </c>
      <c r="J40" s="34">
        <v>0.8</v>
      </c>
      <c r="L40" s="46" t="s">
        <v>131</v>
      </c>
      <c r="M40" s="46" t="s">
        <v>131</v>
      </c>
      <c r="N40" s="32">
        <v>285135</v>
      </c>
      <c r="O40" s="33">
        <v>4.1117800000000003E-2</v>
      </c>
      <c r="P40" s="33">
        <v>9.75636E-2</v>
      </c>
      <c r="Q40" s="33">
        <v>0</v>
      </c>
      <c r="R40" s="34">
        <v>0.8</v>
      </c>
      <c r="T40" s="69" t="str">
        <f t="shared" si="1"/>
        <v>PCT_CANAL2</v>
      </c>
      <c r="U40" s="61">
        <f t="shared" ref="U40:U49" si="3">+(G40-O40)/P40</f>
        <v>3.4821193559893242</v>
      </c>
      <c r="V40" s="54">
        <v>0</v>
      </c>
    </row>
    <row r="41" spans="2:22" ht="22.15" customHeight="1">
      <c r="B41" s="211"/>
      <c r="C41" s="211"/>
      <c r="D41" s="46" t="s">
        <v>132</v>
      </c>
      <c r="E41" s="46" t="s">
        <v>132</v>
      </c>
      <c r="F41" s="32">
        <v>14604</v>
      </c>
      <c r="G41" s="33">
        <v>2.6472200000000001E-2</v>
      </c>
      <c r="H41" s="33">
        <v>5.52676E-2</v>
      </c>
      <c r="I41" s="33">
        <v>0</v>
      </c>
      <c r="J41" s="34">
        <v>0.4479167</v>
      </c>
      <c r="L41" s="46" t="s">
        <v>132</v>
      </c>
      <c r="M41" s="46" t="s">
        <v>132</v>
      </c>
      <c r="N41" s="32">
        <v>285135</v>
      </c>
      <c r="O41" s="33">
        <v>3.5534999999999997E-2</v>
      </c>
      <c r="P41" s="33">
        <v>8.58878E-2</v>
      </c>
      <c r="Q41" s="33">
        <v>0</v>
      </c>
      <c r="R41" s="34">
        <v>0.58964139999999998</v>
      </c>
      <c r="T41" s="69" t="str">
        <f t="shared" si="1"/>
        <v>PCT_CANAL3</v>
      </c>
      <c r="U41" s="61">
        <f t="shared" si="3"/>
        <v>-0.10551906091435566</v>
      </c>
      <c r="V41" s="54">
        <v>0</v>
      </c>
    </row>
    <row r="42" spans="2:22" ht="22.15" customHeight="1">
      <c r="B42" s="211"/>
      <c r="C42" s="211"/>
      <c r="D42" s="46" t="s">
        <v>133</v>
      </c>
      <c r="E42" s="46" t="s">
        <v>133</v>
      </c>
      <c r="F42" s="32">
        <v>14604</v>
      </c>
      <c r="G42" s="33">
        <v>3.7266000000000001E-3</v>
      </c>
      <c r="H42" s="33">
        <v>3.2283800000000001E-2</v>
      </c>
      <c r="I42" s="33">
        <v>0</v>
      </c>
      <c r="J42" s="34">
        <v>0.56000000000000005</v>
      </c>
      <c r="L42" s="46" t="s">
        <v>133</v>
      </c>
      <c r="M42" s="46" t="s">
        <v>133</v>
      </c>
      <c r="N42" s="32">
        <v>285135</v>
      </c>
      <c r="O42" s="33">
        <v>9.9512199999999995E-2</v>
      </c>
      <c r="P42" s="33">
        <v>0.2434481</v>
      </c>
      <c r="Q42" s="33">
        <v>0</v>
      </c>
      <c r="R42" s="34">
        <v>0.95315680000000003</v>
      </c>
      <c r="T42" s="69" t="str">
        <f t="shared" si="1"/>
        <v>PCT_CANAL4</v>
      </c>
      <c r="U42" s="61">
        <f t="shared" si="3"/>
        <v>-0.39345388195677022</v>
      </c>
      <c r="V42" s="54">
        <v>0</v>
      </c>
    </row>
    <row r="43" spans="2:22" ht="22.15" customHeight="1">
      <c r="B43" s="211"/>
      <c r="C43" s="211"/>
      <c r="D43" s="46" t="s">
        <v>134</v>
      </c>
      <c r="E43" s="46" t="s">
        <v>134</v>
      </c>
      <c r="F43" s="32">
        <v>14604</v>
      </c>
      <c r="G43" s="33">
        <v>1.44648E-2</v>
      </c>
      <c r="H43" s="33">
        <v>6.1180499999999999E-2</v>
      </c>
      <c r="I43" s="33">
        <v>0</v>
      </c>
      <c r="J43" s="34">
        <v>0.6</v>
      </c>
      <c r="L43" s="46" t="s">
        <v>134</v>
      </c>
      <c r="M43" s="46" t="s">
        <v>134</v>
      </c>
      <c r="N43" s="32">
        <v>285135</v>
      </c>
      <c r="O43" s="33">
        <v>0.1100589</v>
      </c>
      <c r="P43" s="33">
        <v>0.22412850000000001</v>
      </c>
      <c r="Q43" s="33">
        <v>0</v>
      </c>
      <c r="R43" s="34">
        <v>0.95218420000000004</v>
      </c>
      <c r="T43" s="69" t="str">
        <f t="shared" si="1"/>
        <v>PCT_CANAL5</v>
      </c>
      <c r="U43" s="61">
        <f t="shared" si="3"/>
        <v>-0.42651470027238836</v>
      </c>
      <c r="V43" s="54">
        <v>0</v>
      </c>
    </row>
    <row r="44" spans="2:22" ht="22.15" customHeight="1">
      <c r="B44" s="211"/>
      <c r="C44" s="211"/>
      <c r="D44" s="46" t="s">
        <v>135</v>
      </c>
      <c r="E44" s="46" t="s">
        <v>135</v>
      </c>
      <c r="F44" s="32">
        <v>14604</v>
      </c>
      <c r="G44" s="33">
        <v>2.0174999999999998E-2</v>
      </c>
      <c r="H44" s="33">
        <v>7.1387500000000007E-2</v>
      </c>
      <c r="I44" s="33">
        <v>0</v>
      </c>
      <c r="J44" s="34">
        <v>0.5027933</v>
      </c>
      <c r="L44" s="46" t="s">
        <v>135</v>
      </c>
      <c r="M44" s="46" t="s">
        <v>135</v>
      </c>
      <c r="N44" s="32">
        <v>285135</v>
      </c>
      <c r="O44" s="33">
        <v>1.12163E-2</v>
      </c>
      <c r="P44" s="33">
        <v>5.03066E-2</v>
      </c>
      <c r="Q44" s="33">
        <v>0</v>
      </c>
      <c r="R44" s="34">
        <v>0.51052629999999999</v>
      </c>
      <c r="T44" s="69" t="str">
        <f t="shared" si="1"/>
        <v>PCT_CANAL6</v>
      </c>
      <c r="U44" s="61">
        <f t="shared" si="3"/>
        <v>0.17808200116883269</v>
      </c>
      <c r="V44" s="54">
        <v>0</v>
      </c>
    </row>
    <row r="45" spans="2:22" ht="22.15" customHeight="1">
      <c r="B45" s="211"/>
      <c r="C45" s="211"/>
      <c r="D45" s="46" t="s">
        <v>136</v>
      </c>
      <c r="E45" s="46" t="s">
        <v>136</v>
      </c>
      <c r="F45" s="32">
        <v>14604</v>
      </c>
      <c r="G45" s="33">
        <v>1.5970100000000001E-2</v>
      </c>
      <c r="H45" s="33">
        <v>2.9188800000000001E-2</v>
      </c>
      <c r="I45" s="33">
        <v>0</v>
      </c>
      <c r="J45" s="34">
        <v>0.25490200000000002</v>
      </c>
      <c r="L45" s="46" t="s">
        <v>136</v>
      </c>
      <c r="M45" s="46" t="s">
        <v>136</v>
      </c>
      <c r="N45" s="32">
        <v>285135</v>
      </c>
      <c r="O45" s="33">
        <v>1.9921000000000001E-2</v>
      </c>
      <c r="P45" s="33">
        <v>4.8187399999999998E-2</v>
      </c>
      <c r="Q45" s="33">
        <v>0</v>
      </c>
      <c r="R45" s="34">
        <v>0.5</v>
      </c>
      <c r="T45" s="69" t="str">
        <f t="shared" si="1"/>
        <v>PCT_CANAL7</v>
      </c>
      <c r="U45" s="61">
        <f t="shared" si="3"/>
        <v>-8.1990312820363842E-2</v>
      </c>
      <c r="V45" s="54">
        <v>0</v>
      </c>
    </row>
    <row r="46" spans="2:22" ht="22.15" customHeight="1">
      <c r="B46" s="211"/>
      <c r="C46" s="211"/>
      <c r="D46" s="46" t="s">
        <v>137</v>
      </c>
      <c r="E46" s="46" t="s">
        <v>137</v>
      </c>
      <c r="F46" s="32">
        <v>14604</v>
      </c>
      <c r="G46" s="33">
        <v>2.2125200000000001E-2</v>
      </c>
      <c r="H46" s="33">
        <v>5.15317E-2</v>
      </c>
      <c r="I46" s="33">
        <v>0</v>
      </c>
      <c r="J46" s="34">
        <v>0.46153850000000002</v>
      </c>
      <c r="L46" s="46" t="s">
        <v>137</v>
      </c>
      <c r="M46" s="46" t="s">
        <v>137</v>
      </c>
      <c r="N46" s="32">
        <v>285135</v>
      </c>
      <c r="O46" s="33">
        <v>3.6702899999999997E-2</v>
      </c>
      <c r="P46" s="33">
        <v>9.8033800000000004E-2</v>
      </c>
      <c r="Q46" s="33">
        <v>0</v>
      </c>
      <c r="R46" s="34">
        <v>0.92857140000000005</v>
      </c>
      <c r="T46" s="69" t="str">
        <f t="shared" si="1"/>
        <v>PCT_CANAL8</v>
      </c>
      <c r="U46" s="61">
        <f t="shared" si="3"/>
        <v>-0.14870075422966358</v>
      </c>
      <c r="V46" s="54">
        <v>0</v>
      </c>
    </row>
    <row r="47" spans="2:22" ht="22.15" customHeight="1">
      <c r="B47" s="211"/>
      <c r="C47" s="211"/>
      <c r="D47" s="46" t="s">
        <v>138</v>
      </c>
      <c r="E47" s="46" t="s">
        <v>138</v>
      </c>
      <c r="F47" s="32">
        <v>14604</v>
      </c>
      <c r="G47" s="33">
        <v>0.48556270000000001</v>
      </c>
      <c r="H47" s="33">
        <v>0.18799689999999999</v>
      </c>
      <c r="I47" s="33">
        <v>0</v>
      </c>
      <c r="J47" s="34">
        <v>0.78260870000000005</v>
      </c>
      <c r="L47" s="46" t="s">
        <v>138</v>
      </c>
      <c r="M47" s="46" t="s">
        <v>138</v>
      </c>
      <c r="N47" s="32">
        <v>285135</v>
      </c>
      <c r="O47" s="33">
        <v>0.55043059999999999</v>
      </c>
      <c r="P47" s="33">
        <v>0.32089380000000001</v>
      </c>
      <c r="Q47" s="33">
        <v>0</v>
      </c>
      <c r="R47" s="34">
        <v>1</v>
      </c>
      <c r="T47" s="69" t="str">
        <f t="shared" si="1"/>
        <v>PCT_CANAL9</v>
      </c>
      <c r="U47" s="61">
        <f t="shared" si="3"/>
        <v>-0.20214756408506482</v>
      </c>
      <c r="V47" s="54">
        <v>0</v>
      </c>
    </row>
    <row r="48" spans="2:22" ht="22.15" customHeight="1">
      <c r="B48" s="211"/>
      <c r="C48" s="211"/>
      <c r="D48" s="46" t="s">
        <v>139</v>
      </c>
      <c r="E48" s="46" t="s">
        <v>139</v>
      </c>
      <c r="F48" s="32">
        <v>14604</v>
      </c>
      <c r="G48" s="33">
        <v>7.3619199999999999E-4</v>
      </c>
      <c r="H48" s="33">
        <v>9.5464999999999994E-3</v>
      </c>
      <c r="I48" s="33">
        <v>0</v>
      </c>
      <c r="J48" s="34">
        <v>0.36065570000000002</v>
      </c>
      <c r="L48" s="46" t="s">
        <v>139</v>
      </c>
      <c r="M48" s="46" t="s">
        <v>139</v>
      </c>
      <c r="N48" s="32">
        <v>285135</v>
      </c>
      <c r="O48" s="33">
        <v>2.06415E-2</v>
      </c>
      <c r="P48" s="33">
        <v>9.5968100000000001E-2</v>
      </c>
      <c r="Q48" s="33">
        <v>0</v>
      </c>
      <c r="R48" s="34">
        <v>0.88709680000000002</v>
      </c>
      <c r="T48" s="69" t="str">
        <f t="shared" si="1"/>
        <v>PCT_CANAL10</v>
      </c>
      <c r="U48" s="61">
        <f t="shared" si="3"/>
        <v>-0.20741588090209143</v>
      </c>
      <c r="V48" s="54">
        <v>0</v>
      </c>
    </row>
    <row r="49" spans="2:22" ht="22.15" customHeight="1" thickBot="1">
      <c r="B49" s="212"/>
      <c r="C49" s="212"/>
      <c r="D49" s="47" t="s">
        <v>140</v>
      </c>
      <c r="E49" s="47" t="s">
        <v>140</v>
      </c>
      <c r="F49" s="35">
        <v>14604</v>
      </c>
      <c r="G49" s="36">
        <v>2.6736699999999999E-2</v>
      </c>
      <c r="H49" s="36">
        <v>5.40724E-2</v>
      </c>
      <c r="I49" s="36">
        <v>0</v>
      </c>
      <c r="J49" s="37">
        <v>0.5</v>
      </c>
      <c r="L49" s="47" t="s">
        <v>140</v>
      </c>
      <c r="M49" s="47" t="s">
        <v>140</v>
      </c>
      <c r="N49" s="35">
        <v>285135</v>
      </c>
      <c r="O49" s="36">
        <v>6.9534299999999993E-2</v>
      </c>
      <c r="P49" s="36">
        <v>0.1103164</v>
      </c>
      <c r="Q49" s="36">
        <v>0</v>
      </c>
      <c r="R49" s="37">
        <v>0.63157890000000005</v>
      </c>
      <c r="T49" s="70" t="str">
        <f t="shared" si="1"/>
        <v>PCT_CANAL11</v>
      </c>
      <c r="U49" s="62">
        <f t="shared" si="3"/>
        <v>-0.38795319644223336</v>
      </c>
      <c r="V49" s="55">
        <v>0</v>
      </c>
    </row>
    <row r="50" spans="2:22" ht="23.45" customHeight="1">
      <c r="B50" s="210">
        <v>5</v>
      </c>
      <c r="C50" s="210">
        <v>6504</v>
      </c>
      <c r="D50" s="45" t="s">
        <v>130</v>
      </c>
      <c r="E50" s="45" t="s">
        <v>130</v>
      </c>
      <c r="F50" s="29">
        <v>6504</v>
      </c>
      <c r="G50" s="30">
        <v>3.3578000000000002E-3</v>
      </c>
      <c r="H50" s="30">
        <v>1.7641799999999999E-2</v>
      </c>
      <c r="I50" s="30">
        <v>0</v>
      </c>
      <c r="J50" s="31">
        <v>0.2142857</v>
      </c>
      <c r="L50" s="45" t="s">
        <v>130</v>
      </c>
      <c r="M50" s="45" t="s">
        <v>130</v>
      </c>
      <c r="N50" s="29">
        <v>285135</v>
      </c>
      <c r="O50" s="30">
        <v>5.3293000000000004E-3</v>
      </c>
      <c r="P50" s="30">
        <v>2.9197500000000001E-2</v>
      </c>
      <c r="Q50" s="30">
        <v>0</v>
      </c>
      <c r="R50" s="31">
        <v>0.4166667</v>
      </c>
      <c r="T50" s="68" t="str">
        <f t="shared" si="1"/>
        <v>PCT_CANAL1</v>
      </c>
      <c r="U50" s="60">
        <f>+(G50-O50)/P50</f>
        <v>-6.7522904358249855E-2</v>
      </c>
      <c r="V50" s="53">
        <v>0</v>
      </c>
    </row>
    <row r="51" spans="2:22" ht="23.45" customHeight="1">
      <c r="B51" s="211"/>
      <c r="C51" s="211"/>
      <c r="D51" s="46" t="s">
        <v>131</v>
      </c>
      <c r="E51" s="46" t="s">
        <v>131</v>
      </c>
      <c r="F51" s="32">
        <v>6504</v>
      </c>
      <c r="G51" s="33">
        <v>1.6607199999999999E-2</v>
      </c>
      <c r="H51" s="33">
        <v>5.7214399999999999E-2</v>
      </c>
      <c r="I51" s="33">
        <v>0</v>
      </c>
      <c r="J51" s="34">
        <v>0.5</v>
      </c>
      <c r="L51" s="46" t="s">
        <v>131</v>
      </c>
      <c r="M51" s="46" t="s">
        <v>131</v>
      </c>
      <c r="N51" s="32">
        <v>285135</v>
      </c>
      <c r="O51" s="33">
        <v>4.1117800000000003E-2</v>
      </c>
      <c r="P51" s="33">
        <v>9.75636E-2</v>
      </c>
      <c r="Q51" s="33">
        <v>0</v>
      </c>
      <c r="R51" s="34">
        <v>0.8</v>
      </c>
      <c r="T51" s="69" t="str">
        <f t="shared" si="1"/>
        <v>PCT_CANAL2</v>
      </c>
      <c r="U51" s="61">
        <f t="shared" ref="U51:U60" si="4">+(G51-O51)/P51</f>
        <v>-0.25122689199660531</v>
      </c>
      <c r="V51" s="54">
        <v>0</v>
      </c>
    </row>
    <row r="52" spans="2:22" ht="23.45" customHeight="1">
      <c r="B52" s="211"/>
      <c r="C52" s="211"/>
      <c r="D52" s="46" t="s">
        <v>132</v>
      </c>
      <c r="E52" s="46" t="s">
        <v>132</v>
      </c>
      <c r="F52" s="32">
        <v>6504</v>
      </c>
      <c r="G52" s="33">
        <v>4.9367099999999997E-2</v>
      </c>
      <c r="H52" s="33">
        <v>8.8632000000000002E-2</v>
      </c>
      <c r="I52" s="33">
        <v>0</v>
      </c>
      <c r="J52" s="34">
        <v>0.48</v>
      </c>
      <c r="L52" s="46" t="s">
        <v>132</v>
      </c>
      <c r="M52" s="46" t="s">
        <v>132</v>
      </c>
      <c r="N52" s="32">
        <v>285135</v>
      </c>
      <c r="O52" s="33">
        <v>3.5534999999999997E-2</v>
      </c>
      <c r="P52" s="33">
        <v>8.58878E-2</v>
      </c>
      <c r="Q52" s="33">
        <v>0</v>
      </c>
      <c r="R52" s="34">
        <v>0.58964139999999998</v>
      </c>
      <c r="T52" s="69" t="str">
        <f t="shared" si="1"/>
        <v>PCT_CANAL3</v>
      </c>
      <c r="U52" s="61">
        <f t="shared" si="4"/>
        <v>0.16104848418518114</v>
      </c>
      <c r="V52" s="54">
        <v>0</v>
      </c>
    </row>
    <row r="53" spans="2:22" ht="23.45" customHeight="1">
      <c r="B53" s="211"/>
      <c r="C53" s="211"/>
      <c r="D53" s="46" t="s">
        <v>133</v>
      </c>
      <c r="E53" s="46" t="s">
        <v>133</v>
      </c>
      <c r="F53" s="32">
        <v>6504</v>
      </c>
      <c r="G53" s="33">
        <v>1.4326E-3</v>
      </c>
      <c r="H53" s="33">
        <v>2.2414099999999999E-2</v>
      </c>
      <c r="I53" s="33">
        <v>0</v>
      </c>
      <c r="J53" s="34">
        <v>0.64285709999999996</v>
      </c>
      <c r="L53" s="46" t="s">
        <v>133</v>
      </c>
      <c r="M53" s="46" t="s">
        <v>133</v>
      </c>
      <c r="N53" s="32">
        <v>285135</v>
      </c>
      <c r="O53" s="33">
        <v>9.9512199999999995E-2</v>
      </c>
      <c r="P53" s="33">
        <v>0.2434481</v>
      </c>
      <c r="Q53" s="33">
        <v>0</v>
      </c>
      <c r="R53" s="34">
        <v>0.95315680000000003</v>
      </c>
      <c r="T53" s="69" t="str">
        <f t="shared" si="1"/>
        <v>PCT_CANAL4</v>
      </c>
      <c r="U53" s="61">
        <f t="shared" si="4"/>
        <v>-0.40287683493935667</v>
      </c>
      <c r="V53" s="54">
        <v>0</v>
      </c>
    </row>
    <row r="54" spans="2:22" ht="23.45" customHeight="1">
      <c r="B54" s="211"/>
      <c r="C54" s="211"/>
      <c r="D54" s="46" t="s">
        <v>134</v>
      </c>
      <c r="E54" s="46" t="s">
        <v>134</v>
      </c>
      <c r="F54" s="32">
        <v>6504</v>
      </c>
      <c r="G54" s="33">
        <v>1.1754300000000001E-2</v>
      </c>
      <c r="H54" s="33">
        <v>6.0298699999999997E-2</v>
      </c>
      <c r="I54" s="33">
        <v>0</v>
      </c>
      <c r="J54" s="34">
        <v>0.63157890000000005</v>
      </c>
      <c r="L54" s="46" t="s">
        <v>134</v>
      </c>
      <c r="M54" s="46" t="s">
        <v>134</v>
      </c>
      <c r="N54" s="32">
        <v>285135</v>
      </c>
      <c r="O54" s="33">
        <v>0.1100589</v>
      </c>
      <c r="P54" s="33">
        <v>0.22412850000000001</v>
      </c>
      <c r="Q54" s="33">
        <v>0</v>
      </c>
      <c r="R54" s="34">
        <v>0.95218420000000004</v>
      </c>
      <c r="T54" s="69" t="str">
        <f t="shared" si="1"/>
        <v>PCT_CANAL5</v>
      </c>
      <c r="U54" s="61">
        <f t="shared" si="4"/>
        <v>-0.43860820913003035</v>
      </c>
      <c r="V54" s="54">
        <v>0</v>
      </c>
    </row>
    <row r="55" spans="2:22" ht="23.45" customHeight="1">
      <c r="B55" s="211"/>
      <c r="C55" s="211"/>
      <c r="D55" s="46" t="s">
        <v>135</v>
      </c>
      <c r="E55" s="46" t="s">
        <v>135</v>
      </c>
      <c r="F55" s="32">
        <v>6504</v>
      </c>
      <c r="G55" s="33">
        <v>5.5560999999999996E-3</v>
      </c>
      <c r="H55" s="33">
        <v>3.65481E-2</v>
      </c>
      <c r="I55" s="33">
        <v>0</v>
      </c>
      <c r="J55" s="34">
        <v>0.48484850000000002</v>
      </c>
      <c r="L55" s="46" t="s">
        <v>135</v>
      </c>
      <c r="M55" s="46" t="s">
        <v>135</v>
      </c>
      <c r="N55" s="32">
        <v>285135</v>
      </c>
      <c r="O55" s="33">
        <v>1.12163E-2</v>
      </c>
      <c r="P55" s="33">
        <v>5.03066E-2</v>
      </c>
      <c r="Q55" s="33">
        <v>0</v>
      </c>
      <c r="R55" s="34">
        <v>0.51052629999999999</v>
      </c>
      <c r="T55" s="69" t="str">
        <f t="shared" si="1"/>
        <v>PCT_CANAL6</v>
      </c>
      <c r="U55" s="61">
        <f t="shared" si="4"/>
        <v>-0.11251406376101745</v>
      </c>
      <c r="V55" s="54">
        <v>0</v>
      </c>
    </row>
    <row r="56" spans="2:22" ht="23.45" customHeight="1">
      <c r="B56" s="211"/>
      <c r="C56" s="211"/>
      <c r="D56" s="46" t="s">
        <v>136</v>
      </c>
      <c r="E56" s="46" t="s">
        <v>136</v>
      </c>
      <c r="F56" s="32">
        <v>6504</v>
      </c>
      <c r="G56" s="33">
        <v>2.2102299999999998E-2</v>
      </c>
      <c r="H56" s="33">
        <v>4.4419300000000002E-2</v>
      </c>
      <c r="I56" s="33">
        <v>0</v>
      </c>
      <c r="J56" s="34">
        <v>0.3333333</v>
      </c>
      <c r="L56" s="46" t="s">
        <v>136</v>
      </c>
      <c r="M56" s="46" t="s">
        <v>136</v>
      </c>
      <c r="N56" s="32">
        <v>285135</v>
      </c>
      <c r="O56" s="33">
        <v>1.9921000000000001E-2</v>
      </c>
      <c r="P56" s="33">
        <v>4.8187399999999998E-2</v>
      </c>
      <c r="Q56" s="33">
        <v>0</v>
      </c>
      <c r="R56" s="34">
        <v>0.5</v>
      </c>
      <c r="T56" s="69" t="str">
        <f t="shared" si="1"/>
        <v>PCT_CANAL7</v>
      </c>
      <c r="U56" s="61">
        <f t="shared" si="4"/>
        <v>4.5267020009379988E-2</v>
      </c>
      <c r="V56" s="54">
        <v>0</v>
      </c>
    </row>
    <row r="57" spans="2:22" ht="23.45" customHeight="1">
      <c r="B57" s="211"/>
      <c r="C57" s="211"/>
      <c r="D57" s="46" t="s">
        <v>137</v>
      </c>
      <c r="E57" s="46" t="s">
        <v>137</v>
      </c>
      <c r="F57" s="32">
        <v>6504</v>
      </c>
      <c r="G57" s="33">
        <v>0.55048870000000005</v>
      </c>
      <c r="H57" s="33">
        <v>0.18839249999999999</v>
      </c>
      <c r="I57" s="33">
        <v>0.26881719999999998</v>
      </c>
      <c r="J57" s="34">
        <v>0.92857140000000005</v>
      </c>
      <c r="L57" s="46" t="s">
        <v>137</v>
      </c>
      <c r="M57" s="46" t="s">
        <v>137</v>
      </c>
      <c r="N57" s="32">
        <v>285135</v>
      </c>
      <c r="O57" s="33">
        <v>3.6702899999999997E-2</v>
      </c>
      <c r="P57" s="33">
        <v>9.8033800000000004E-2</v>
      </c>
      <c r="Q57" s="33">
        <v>0</v>
      </c>
      <c r="R57" s="34">
        <v>0.92857140000000005</v>
      </c>
      <c r="T57" s="69" t="str">
        <f t="shared" si="1"/>
        <v>PCT_CANAL8</v>
      </c>
      <c r="U57" s="61">
        <f t="shared" si="4"/>
        <v>5.2409046675738375</v>
      </c>
      <c r="V57" s="54">
        <v>0</v>
      </c>
    </row>
    <row r="58" spans="2:22" ht="23.45" customHeight="1">
      <c r="B58" s="211"/>
      <c r="C58" s="211"/>
      <c r="D58" s="46" t="s">
        <v>138</v>
      </c>
      <c r="E58" s="46" t="s">
        <v>138</v>
      </c>
      <c r="F58" s="32">
        <v>6504</v>
      </c>
      <c r="G58" s="33">
        <v>0.31613459999999999</v>
      </c>
      <c r="H58" s="33">
        <v>0.210813</v>
      </c>
      <c r="I58" s="33">
        <v>0</v>
      </c>
      <c r="J58" s="34">
        <v>0.69767440000000003</v>
      </c>
      <c r="L58" s="46" t="s">
        <v>138</v>
      </c>
      <c r="M58" s="46" t="s">
        <v>138</v>
      </c>
      <c r="N58" s="32">
        <v>285135</v>
      </c>
      <c r="O58" s="33">
        <v>0.55043059999999999</v>
      </c>
      <c r="P58" s="33">
        <v>0.32089380000000001</v>
      </c>
      <c r="Q58" s="33">
        <v>0</v>
      </c>
      <c r="R58" s="34">
        <v>1</v>
      </c>
      <c r="T58" s="69" t="str">
        <f t="shared" si="1"/>
        <v>PCT_CANAL9</v>
      </c>
      <c r="U58" s="61">
        <f t="shared" si="4"/>
        <v>-0.73013563989082997</v>
      </c>
      <c r="V58" s="54">
        <v>0</v>
      </c>
    </row>
    <row r="59" spans="2:22" ht="23.45" customHeight="1">
      <c r="B59" s="211"/>
      <c r="C59" s="211"/>
      <c r="D59" s="46" t="s">
        <v>139</v>
      </c>
      <c r="E59" s="46" t="s">
        <v>139</v>
      </c>
      <c r="F59" s="32">
        <v>6504</v>
      </c>
      <c r="G59" s="33">
        <v>8.3070999999999996E-3</v>
      </c>
      <c r="H59" s="33">
        <v>4.3817799999999997E-2</v>
      </c>
      <c r="I59" s="33">
        <v>0</v>
      </c>
      <c r="J59" s="34">
        <v>0.48148150000000001</v>
      </c>
      <c r="L59" s="46" t="s">
        <v>139</v>
      </c>
      <c r="M59" s="46" t="s">
        <v>139</v>
      </c>
      <c r="N59" s="32">
        <v>285135</v>
      </c>
      <c r="O59" s="33">
        <v>2.06415E-2</v>
      </c>
      <c r="P59" s="33">
        <v>9.5968100000000001E-2</v>
      </c>
      <c r="Q59" s="33">
        <v>0</v>
      </c>
      <c r="R59" s="34">
        <v>0.88709680000000002</v>
      </c>
      <c r="T59" s="69" t="str">
        <f t="shared" si="1"/>
        <v>PCT_CANAL10</v>
      </c>
      <c r="U59" s="61">
        <f t="shared" si="4"/>
        <v>-0.12852604146586211</v>
      </c>
      <c r="V59" s="54">
        <v>0</v>
      </c>
    </row>
    <row r="60" spans="2:22" ht="23.45" customHeight="1" thickBot="1">
      <c r="B60" s="212"/>
      <c r="C60" s="212"/>
      <c r="D60" s="47" t="s">
        <v>140</v>
      </c>
      <c r="E60" s="47" t="s">
        <v>140</v>
      </c>
      <c r="F60" s="35">
        <v>6504</v>
      </c>
      <c r="G60" s="36">
        <v>1.48921E-2</v>
      </c>
      <c r="H60" s="36">
        <v>5.2407799999999997E-2</v>
      </c>
      <c r="I60" s="36">
        <v>0</v>
      </c>
      <c r="J60" s="37">
        <v>0.54545449999999995</v>
      </c>
      <c r="L60" s="47" t="s">
        <v>140</v>
      </c>
      <c r="M60" s="47" t="s">
        <v>140</v>
      </c>
      <c r="N60" s="35">
        <v>285135</v>
      </c>
      <c r="O60" s="36">
        <v>6.9534299999999993E-2</v>
      </c>
      <c r="P60" s="36">
        <v>0.1103164</v>
      </c>
      <c r="Q60" s="36">
        <v>0</v>
      </c>
      <c r="R60" s="37">
        <v>0.63157890000000005</v>
      </c>
      <c r="T60" s="70" t="str">
        <f t="shared" si="1"/>
        <v>PCT_CANAL11</v>
      </c>
      <c r="U60" s="62">
        <f t="shared" si="4"/>
        <v>-0.49532254497064804</v>
      </c>
      <c r="V60" s="55">
        <v>0</v>
      </c>
    </row>
    <row r="61" spans="2:22" ht="21.6" customHeight="1">
      <c r="B61" s="210">
        <v>6</v>
      </c>
      <c r="C61" s="210">
        <v>37960</v>
      </c>
      <c r="D61" s="45" t="s">
        <v>130</v>
      </c>
      <c r="E61" s="45" t="s">
        <v>130</v>
      </c>
      <c r="F61" s="29">
        <v>37960</v>
      </c>
      <c r="G61" s="30">
        <v>1.8611999999999999E-3</v>
      </c>
      <c r="H61" s="30">
        <v>9.3437999999999993E-3</v>
      </c>
      <c r="I61" s="30">
        <v>0</v>
      </c>
      <c r="J61" s="31">
        <v>0.14457829999999999</v>
      </c>
      <c r="L61" s="45" t="s">
        <v>130</v>
      </c>
      <c r="M61" s="45" t="s">
        <v>130</v>
      </c>
      <c r="N61" s="29">
        <v>285135</v>
      </c>
      <c r="O61" s="30">
        <v>5.3293000000000004E-3</v>
      </c>
      <c r="P61" s="30">
        <v>2.9197500000000001E-2</v>
      </c>
      <c r="Q61" s="30">
        <v>0</v>
      </c>
      <c r="R61" s="31">
        <v>0.4166667</v>
      </c>
      <c r="T61" s="68" t="str">
        <f t="shared" si="1"/>
        <v>PCT_CANAL1</v>
      </c>
      <c r="U61" s="60">
        <f>+(G61-O61)/P61</f>
        <v>-0.11878071752718555</v>
      </c>
      <c r="V61" s="53">
        <v>0</v>
      </c>
    </row>
    <row r="62" spans="2:22" ht="21.6" customHeight="1">
      <c r="B62" s="211"/>
      <c r="C62" s="211"/>
      <c r="D62" s="46" t="s">
        <v>131</v>
      </c>
      <c r="E62" s="46" t="s">
        <v>131</v>
      </c>
      <c r="F62" s="32">
        <v>37960</v>
      </c>
      <c r="G62" s="33">
        <v>1.29806E-2</v>
      </c>
      <c r="H62" s="33">
        <v>3.1569E-2</v>
      </c>
      <c r="I62" s="33">
        <v>0</v>
      </c>
      <c r="J62" s="34">
        <v>0.32835819999999999</v>
      </c>
      <c r="L62" s="46" t="s">
        <v>131</v>
      </c>
      <c r="M62" s="46" t="s">
        <v>131</v>
      </c>
      <c r="N62" s="32">
        <v>285135</v>
      </c>
      <c r="O62" s="33">
        <v>4.1117800000000003E-2</v>
      </c>
      <c r="P62" s="33">
        <v>9.75636E-2</v>
      </c>
      <c r="Q62" s="33">
        <v>0</v>
      </c>
      <c r="R62" s="34">
        <v>0.8</v>
      </c>
      <c r="T62" s="69" t="str">
        <f t="shared" si="1"/>
        <v>PCT_CANAL2</v>
      </c>
      <c r="U62" s="61">
        <f t="shared" ref="U62:U71" si="5">+(G62-O62)/P62</f>
        <v>-0.28839854207921806</v>
      </c>
      <c r="V62" s="54">
        <v>0</v>
      </c>
    </row>
    <row r="63" spans="2:22" ht="21.6" customHeight="1">
      <c r="B63" s="211"/>
      <c r="C63" s="211"/>
      <c r="D63" s="46" t="s">
        <v>132</v>
      </c>
      <c r="E63" s="46" t="s">
        <v>132</v>
      </c>
      <c r="F63" s="32">
        <v>37960</v>
      </c>
      <c r="G63" s="33">
        <v>9.6865000000000007E-3</v>
      </c>
      <c r="H63" s="33">
        <v>2.5274399999999999E-2</v>
      </c>
      <c r="I63" s="33">
        <v>0</v>
      </c>
      <c r="J63" s="34">
        <v>0.2631579</v>
      </c>
      <c r="L63" s="46" t="s">
        <v>132</v>
      </c>
      <c r="M63" s="46" t="s">
        <v>132</v>
      </c>
      <c r="N63" s="32">
        <v>285135</v>
      </c>
      <c r="O63" s="33">
        <v>3.5534999999999997E-2</v>
      </c>
      <c r="P63" s="33">
        <v>8.58878E-2</v>
      </c>
      <c r="Q63" s="33">
        <v>0</v>
      </c>
      <c r="R63" s="34">
        <v>0.58964139999999998</v>
      </c>
      <c r="T63" s="69" t="str">
        <f t="shared" si="1"/>
        <v>PCT_CANAL3</v>
      </c>
      <c r="U63" s="61">
        <f t="shared" si="5"/>
        <v>-0.30095659686241816</v>
      </c>
      <c r="V63" s="54">
        <v>0</v>
      </c>
    </row>
    <row r="64" spans="2:22" ht="21.6" customHeight="1">
      <c r="B64" s="211"/>
      <c r="C64" s="211"/>
      <c r="D64" s="46" t="s">
        <v>133</v>
      </c>
      <c r="E64" s="46" t="s">
        <v>133</v>
      </c>
      <c r="F64" s="32">
        <v>37960</v>
      </c>
      <c r="G64" s="33">
        <v>4.5275900000000001E-2</v>
      </c>
      <c r="H64" s="33">
        <v>9.9029500000000006E-2</v>
      </c>
      <c r="I64" s="33">
        <v>0</v>
      </c>
      <c r="J64" s="34">
        <v>0.5</v>
      </c>
      <c r="L64" s="46" t="s">
        <v>133</v>
      </c>
      <c r="M64" s="46" t="s">
        <v>133</v>
      </c>
      <c r="N64" s="32">
        <v>285135</v>
      </c>
      <c r="O64" s="33">
        <v>9.9512199999999995E-2</v>
      </c>
      <c r="P64" s="33">
        <v>0.2434481</v>
      </c>
      <c r="Q64" s="33">
        <v>0</v>
      </c>
      <c r="R64" s="34">
        <v>0.95315680000000003</v>
      </c>
      <c r="T64" s="69" t="str">
        <f t="shared" si="1"/>
        <v>PCT_CANAL4</v>
      </c>
      <c r="U64" s="61">
        <f t="shared" si="5"/>
        <v>-0.22278382948973516</v>
      </c>
      <c r="V64" s="54">
        <v>0</v>
      </c>
    </row>
    <row r="65" spans="2:22" ht="21.6" customHeight="1">
      <c r="B65" s="211"/>
      <c r="C65" s="211"/>
      <c r="D65" s="46" t="s">
        <v>134</v>
      </c>
      <c r="E65" s="46" t="s">
        <v>134</v>
      </c>
      <c r="F65" s="32">
        <v>37960</v>
      </c>
      <c r="G65" s="33">
        <v>0.62415620000000005</v>
      </c>
      <c r="H65" s="33">
        <v>0.1684505</v>
      </c>
      <c r="I65" s="33">
        <v>0.14754100000000001</v>
      </c>
      <c r="J65" s="34">
        <v>0.95218420000000004</v>
      </c>
      <c r="L65" s="46" t="s">
        <v>134</v>
      </c>
      <c r="M65" s="46" t="s">
        <v>134</v>
      </c>
      <c r="N65" s="32">
        <v>285135</v>
      </c>
      <c r="O65" s="33">
        <v>0.1100589</v>
      </c>
      <c r="P65" s="33">
        <v>0.22412850000000001</v>
      </c>
      <c r="Q65" s="33">
        <v>0</v>
      </c>
      <c r="R65" s="34">
        <v>0.95218420000000004</v>
      </c>
      <c r="T65" s="69" t="str">
        <f t="shared" si="1"/>
        <v>PCT_CANAL5</v>
      </c>
      <c r="U65" s="61">
        <f t="shared" si="5"/>
        <v>2.2937613913446975</v>
      </c>
      <c r="V65" s="54">
        <v>0</v>
      </c>
    </row>
    <row r="66" spans="2:22" ht="21.6" customHeight="1">
      <c r="B66" s="211"/>
      <c r="C66" s="211"/>
      <c r="D66" s="46" t="s">
        <v>135</v>
      </c>
      <c r="E66" s="46" t="s">
        <v>135</v>
      </c>
      <c r="F66" s="32">
        <v>37960</v>
      </c>
      <c r="G66" s="33">
        <v>3.7702999999999999E-3</v>
      </c>
      <c r="H66" s="33">
        <v>2.2058000000000001E-2</v>
      </c>
      <c r="I66" s="33">
        <v>0</v>
      </c>
      <c r="J66" s="34">
        <v>0.48529410000000001</v>
      </c>
      <c r="L66" s="46" t="s">
        <v>135</v>
      </c>
      <c r="M66" s="46" t="s">
        <v>135</v>
      </c>
      <c r="N66" s="32">
        <v>285135</v>
      </c>
      <c r="O66" s="33">
        <v>1.12163E-2</v>
      </c>
      <c r="P66" s="33">
        <v>5.03066E-2</v>
      </c>
      <c r="Q66" s="33">
        <v>0</v>
      </c>
      <c r="R66" s="34">
        <v>0.51052629999999999</v>
      </c>
      <c r="T66" s="69" t="str">
        <f t="shared" si="1"/>
        <v>PCT_CANAL6</v>
      </c>
      <c r="U66" s="61">
        <f t="shared" si="5"/>
        <v>-0.14801238803655983</v>
      </c>
      <c r="V66" s="54">
        <v>0</v>
      </c>
    </row>
    <row r="67" spans="2:22" ht="21.6" customHeight="1">
      <c r="B67" s="211"/>
      <c r="C67" s="211"/>
      <c r="D67" s="46" t="s">
        <v>136</v>
      </c>
      <c r="E67" s="46" t="s">
        <v>136</v>
      </c>
      <c r="F67" s="32">
        <v>37960</v>
      </c>
      <c r="G67" s="33">
        <v>1.2742699999999999E-2</v>
      </c>
      <c r="H67" s="33">
        <v>2.28341E-2</v>
      </c>
      <c r="I67" s="33">
        <v>0</v>
      </c>
      <c r="J67" s="34">
        <v>0.19047620000000001</v>
      </c>
      <c r="L67" s="46" t="s">
        <v>136</v>
      </c>
      <c r="M67" s="46" t="s">
        <v>136</v>
      </c>
      <c r="N67" s="32">
        <v>285135</v>
      </c>
      <c r="O67" s="33">
        <v>1.9921000000000001E-2</v>
      </c>
      <c r="P67" s="33">
        <v>4.8187399999999998E-2</v>
      </c>
      <c r="Q67" s="33">
        <v>0</v>
      </c>
      <c r="R67" s="34">
        <v>0.5</v>
      </c>
      <c r="T67" s="69" t="str">
        <f t="shared" si="1"/>
        <v>PCT_CANAL7</v>
      </c>
      <c r="U67" s="61">
        <f t="shared" si="5"/>
        <v>-0.14896632729717732</v>
      </c>
      <c r="V67" s="54">
        <v>0</v>
      </c>
    </row>
    <row r="68" spans="2:22" ht="21.6" customHeight="1">
      <c r="B68" s="211"/>
      <c r="C68" s="211"/>
      <c r="D68" s="46" t="s">
        <v>137</v>
      </c>
      <c r="E68" s="46" t="s">
        <v>137</v>
      </c>
      <c r="F68" s="32">
        <v>37960</v>
      </c>
      <c r="G68" s="33">
        <v>1.3860300000000001E-2</v>
      </c>
      <c r="H68" s="33">
        <v>2.9761099999999999E-2</v>
      </c>
      <c r="I68" s="33">
        <v>0</v>
      </c>
      <c r="J68" s="34">
        <v>0.35714289999999999</v>
      </c>
      <c r="L68" s="46" t="s">
        <v>137</v>
      </c>
      <c r="M68" s="46" t="s">
        <v>137</v>
      </c>
      <c r="N68" s="32">
        <v>285135</v>
      </c>
      <c r="O68" s="33">
        <v>3.6702899999999997E-2</v>
      </c>
      <c r="P68" s="33">
        <v>9.8033800000000004E-2</v>
      </c>
      <c r="Q68" s="33">
        <v>0</v>
      </c>
      <c r="R68" s="34">
        <v>0.92857140000000005</v>
      </c>
      <c r="T68" s="69" t="str">
        <f t="shared" si="1"/>
        <v>PCT_CANAL8</v>
      </c>
      <c r="U68" s="61">
        <f t="shared" si="5"/>
        <v>-0.23300739132829695</v>
      </c>
      <c r="V68" s="54">
        <v>0</v>
      </c>
    </row>
    <row r="69" spans="2:22" ht="21.6" customHeight="1">
      <c r="B69" s="211"/>
      <c r="C69" s="211"/>
      <c r="D69" s="46" t="s">
        <v>138</v>
      </c>
      <c r="E69" s="46" t="s">
        <v>138</v>
      </c>
      <c r="F69" s="32">
        <v>37960</v>
      </c>
      <c r="G69" s="33">
        <v>0.20316319999999999</v>
      </c>
      <c r="H69" s="33">
        <v>0.14394779999999999</v>
      </c>
      <c r="I69" s="33">
        <v>0</v>
      </c>
      <c r="J69" s="34">
        <v>0.62686569999999997</v>
      </c>
      <c r="L69" s="46" t="s">
        <v>138</v>
      </c>
      <c r="M69" s="46" t="s">
        <v>138</v>
      </c>
      <c r="N69" s="32">
        <v>285135</v>
      </c>
      <c r="O69" s="33">
        <v>0.55043059999999999</v>
      </c>
      <c r="P69" s="33">
        <v>0.32089380000000001</v>
      </c>
      <c r="Q69" s="33">
        <v>0</v>
      </c>
      <c r="R69" s="34">
        <v>1</v>
      </c>
      <c r="T69" s="69" t="str">
        <f t="shared" si="1"/>
        <v>PCT_CANAL9</v>
      </c>
      <c r="U69" s="61">
        <f t="shared" si="5"/>
        <v>-1.0821879388134017</v>
      </c>
      <c r="V69" s="54">
        <v>0</v>
      </c>
    </row>
    <row r="70" spans="2:22" ht="21.6" customHeight="1">
      <c r="B70" s="211"/>
      <c r="C70" s="211"/>
      <c r="D70" s="46" t="s">
        <v>139</v>
      </c>
      <c r="E70" s="46" t="s">
        <v>139</v>
      </c>
      <c r="F70" s="32">
        <v>37960</v>
      </c>
      <c r="G70" s="33">
        <v>1.83602E-2</v>
      </c>
      <c r="H70" s="33">
        <v>5.1611200000000003E-2</v>
      </c>
      <c r="I70" s="33">
        <v>0</v>
      </c>
      <c r="J70" s="34">
        <v>0.3714286</v>
      </c>
      <c r="L70" s="46" t="s">
        <v>139</v>
      </c>
      <c r="M70" s="46" t="s">
        <v>139</v>
      </c>
      <c r="N70" s="32">
        <v>285135</v>
      </c>
      <c r="O70" s="33">
        <v>2.06415E-2</v>
      </c>
      <c r="P70" s="33">
        <v>9.5968100000000001E-2</v>
      </c>
      <c r="Q70" s="33">
        <v>0</v>
      </c>
      <c r="R70" s="34">
        <v>0.88709680000000002</v>
      </c>
      <c r="T70" s="69" t="str">
        <f t="shared" si="1"/>
        <v>PCT_CANAL10</v>
      </c>
      <c r="U70" s="61">
        <f t="shared" si="5"/>
        <v>-2.3771440718322025E-2</v>
      </c>
      <c r="V70" s="54">
        <v>0</v>
      </c>
    </row>
    <row r="71" spans="2:22" ht="21.6" customHeight="1" thickBot="1">
      <c r="B71" s="212"/>
      <c r="C71" s="212"/>
      <c r="D71" s="47" t="s">
        <v>140</v>
      </c>
      <c r="E71" s="47" t="s">
        <v>140</v>
      </c>
      <c r="F71" s="35">
        <v>37960</v>
      </c>
      <c r="G71" s="36">
        <v>5.41431E-2</v>
      </c>
      <c r="H71" s="36">
        <v>6.4656199999999997E-2</v>
      </c>
      <c r="I71" s="36">
        <v>0</v>
      </c>
      <c r="J71" s="37">
        <v>0.3823529</v>
      </c>
      <c r="L71" s="47" t="s">
        <v>140</v>
      </c>
      <c r="M71" s="47" t="s">
        <v>140</v>
      </c>
      <c r="N71" s="35">
        <v>285135</v>
      </c>
      <c r="O71" s="36">
        <v>6.9534299999999993E-2</v>
      </c>
      <c r="P71" s="36">
        <v>0.1103164</v>
      </c>
      <c r="Q71" s="36">
        <v>0</v>
      </c>
      <c r="R71" s="37">
        <v>0.63157890000000005</v>
      </c>
      <c r="T71" s="70" t="str">
        <f t="shared" ref="T71:T104" si="6">+D71</f>
        <v>PCT_CANAL11</v>
      </c>
      <c r="U71" s="62">
        <f t="shared" si="5"/>
        <v>-0.13951869350341375</v>
      </c>
      <c r="V71" s="55">
        <v>0</v>
      </c>
    </row>
    <row r="72" spans="2:22" ht="21" customHeight="1">
      <c r="B72" s="210">
        <v>7</v>
      </c>
      <c r="C72" s="210">
        <v>3362</v>
      </c>
      <c r="D72" s="45" t="s">
        <v>130</v>
      </c>
      <c r="E72" s="45" t="s">
        <v>130</v>
      </c>
      <c r="F72" s="29">
        <v>3362</v>
      </c>
      <c r="G72" s="30">
        <v>0.23209750000000001</v>
      </c>
      <c r="H72" s="30">
        <v>8.2644899999999993E-2</v>
      </c>
      <c r="I72" s="30">
        <v>0.1111111</v>
      </c>
      <c r="J72" s="31">
        <v>0.4166667</v>
      </c>
      <c r="L72" s="45" t="s">
        <v>130</v>
      </c>
      <c r="M72" s="45" t="s">
        <v>130</v>
      </c>
      <c r="N72" s="29">
        <v>285135</v>
      </c>
      <c r="O72" s="30">
        <v>5.3293000000000004E-3</v>
      </c>
      <c r="P72" s="30">
        <v>2.9197500000000001E-2</v>
      </c>
      <c r="Q72" s="30">
        <v>0</v>
      </c>
      <c r="R72" s="31">
        <v>0.4166667</v>
      </c>
      <c r="T72" s="68" t="str">
        <f t="shared" si="6"/>
        <v>PCT_CANAL1</v>
      </c>
      <c r="U72" s="60">
        <f>+(G72-O72)/P72</f>
        <v>7.7666992036989466</v>
      </c>
      <c r="V72" s="53">
        <v>0</v>
      </c>
    </row>
    <row r="73" spans="2:22" ht="21" customHeight="1">
      <c r="B73" s="211"/>
      <c r="C73" s="211"/>
      <c r="D73" s="46" t="s">
        <v>131</v>
      </c>
      <c r="E73" s="46" t="s">
        <v>131</v>
      </c>
      <c r="F73" s="32">
        <v>3362</v>
      </c>
      <c r="G73" s="33">
        <v>4.1418999999999997E-2</v>
      </c>
      <c r="H73" s="33">
        <v>0.10583239999999999</v>
      </c>
      <c r="I73" s="33">
        <v>0</v>
      </c>
      <c r="J73" s="34">
        <v>0.78947369999999994</v>
      </c>
      <c r="L73" s="46" t="s">
        <v>131</v>
      </c>
      <c r="M73" s="46" t="s">
        <v>131</v>
      </c>
      <c r="N73" s="32">
        <v>285135</v>
      </c>
      <c r="O73" s="33">
        <v>4.1117800000000003E-2</v>
      </c>
      <c r="P73" s="33">
        <v>9.75636E-2</v>
      </c>
      <c r="Q73" s="33">
        <v>0</v>
      </c>
      <c r="R73" s="34">
        <v>0.8</v>
      </c>
      <c r="T73" s="69" t="str">
        <f t="shared" si="6"/>
        <v>PCT_CANAL2</v>
      </c>
      <c r="U73" s="61">
        <f t="shared" ref="U73:U82" si="7">+(G73-O73)/P73</f>
        <v>3.0872169538638848E-3</v>
      </c>
      <c r="V73" s="54">
        <v>0</v>
      </c>
    </row>
    <row r="74" spans="2:22" ht="21" customHeight="1">
      <c r="B74" s="211"/>
      <c r="C74" s="211"/>
      <c r="D74" s="46" t="s">
        <v>132</v>
      </c>
      <c r="E74" s="46" t="s">
        <v>132</v>
      </c>
      <c r="F74" s="32">
        <v>3362</v>
      </c>
      <c r="G74" s="33">
        <v>4.1147799999999998E-2</v>
      </c>
      <c r="H74" s="33">
        <v>9.0109700000000001E-2</v>
      </c>
      <c r="I74" s="33">
        <v>0</v>
      </c>
      <c r="J74" s="34">
        <v>0.58823530000000002</v>
      </c>
      <c r="L74" s="46" t="s">
        <v>132</v>
      </c>
      <c r="M74" s="46" t="s">
        <v>132</v>
      </c>
      <c r="N74" s="32">
        <v>285135</v>
      </c>
      <c r="O74" s="33">
        <v>3.5534999999999997E-2</v>
      </c>
      <c r="P74" s="33">
        <v>8.58878E-2</v>
      </c>
      <c r="Q74" s="33">
        <v>0</v>
      </c>
      <c r="R74" s="34">
        <v>0.58964139999999998</v>
      </c>
      <c r="T74" s="69" t="str">
        <f t="shared" si="6"/>
        <v>PCT_CANAL3</v>
      </c>
      <c r="U74" s="61">
        <f t="shared" si="7"/>
        <v>6.5350375722745269E-2</v>
      </c>
      <c r="V74" s="54">
        <v>0</v>
      </c>
    </row>
    <row r="75" spans="2:22" ht="21" customHeight="1">
      <c r="B75" s="211"/>
      <c r="C75" s="211"/>
      <c r="D75" s="46" t="s">
        <v>133</v>
      </c>
      <c r="E75" s="46" t="s">
        <v>133</v>
      </c>
      <c r="F75" s="32">
        <v>3362</v>
      </c>
      <c r="G75" s="33">
        <v>7.8044999999999998E-3</v>
      </c>
      <c r="H75" s="33">
        <v>5.94072E-2</v>
      </c>
      <c r="I75" s="33">
        <v>0</v>
      </c>
      <c r="J75" s="34">
        <v>0.75</v>
      </c>
      <c r="L75" s="46" t="s">
        <v>133</v>
      </c>
      <c r="M75" s="46" t="s">
        <v>133</v>
      </c>
      <c r="N75" s="32">
        <v>285135</v>
      </c>
      <c r="O75" s="33">
        <v>9.9512199999999995E-2</v>
      </c>
      <c r="P75" s="33">
        <v>0.2434481</v>
      </c>
      <c r="Q75" s="33">
        <v>0</v>
      </c>
      <c r="R75" s="34">
        <v>0.95315680000000003</v>
      </c>
      <c r="T75" s="69" t="str">
        <f t="shared" si="6"/>
        <v>PCT_CANAL4</v>
      </c>
      <c r="U75" s="61">
        <f t="shared" si="7"/>
        <v>-0.37670328911993967</v>
      </c>
      <c r="V75" s="54">
        <v>0</v>
      </c>
    </row>
    <row r="76" spans="2:22" ht="21" customHeight="1">
      <c r="B76" s="211"/>
      <c r="C76" s="211"/>
      <c r="D76" s="46" t="s">
        <v>134</v>
      </c>
      <c r="E76" s="46" t="s">
        <v>134</v>
      </c>
      <c r="F76" s="32">
        <v>3362</v>
      </c>
      <c r="G76" s="33">
        <v>3.57238E-2</v>
      </c>
      <c r="H76" s="33">
        <v>0.1213471</v>
      </c>
      <c r="I76" s="33">
        <v>0</v>
      </c>
      <c r="J76" s="34">
        <v>0.81188119999999997</v>
      </c>
      <c r="L76" s="46" t="s">
        <v>134</v>
      </c>
      <c r="M76" s="46" t="s">
        <v>134</v>
      </c>
      <c r="N76" s="32">
        <v>285135</v>
      </c>
      <c r="O76" s="33">
        <v>0.1100589</v>
      </c>
      <c r="P76" s="33">
        <v>0.22412850000000001</v>
      </c>
      <c r="Q76" s="33">
        <v>0</v>
      </c>
      <c r="R76" s="34">
        <v>0.95218420000000004</v>
      </c>
      <c r="T76" s="69" t="str">
        <f t="shared" si="6"/>
        <v>PCT_CANAL5</v>
      </c>
      <c r="U76" s="61">
        <f t="shared" si="7"/>
        <v>-0.33166286304508352</v>
      </c>
      <c r="V76" s="54">
        <v>0</v>
      </c>
    </row>
    <row r="77" spans="2:22" ht="21" customHeight="1">
      <c r="B77" s="211"/>
      <c r="C77" s="211"/>
      <c r="D77" s="46" t="s">
        <v>135</v>
      </c>
      <c r="E77" s="46" t="s">
        <v>135</v>
      </c>
      <c r="F77" s="32">
        <v>3362</v>
      </c>
      <c r="G77" s="33">
        <v>7.3590000000000001E-3</v>
      </c>
      <c r="H77" s="33">
        <v>3.8502599999999998E-2</v>
      </c>
      <c r="I77" s="33">
        <v>0</v>
      </c>
      <c r="J77" s="34">
        <v>0.5</v>
      </c>
      <c r="L77" s="46" t="s">
        <v>135</v>
      </c>
      <c r="M77" s="46" t="s">
        <v>135</v>
      </c>
      <c r="N77" s="32">
        <v>285135</v>
      </c>
      <c r="O77" s="33">
        <v>1.12163E-2</v>
      </c>
      <c r="P77" s="33">
        <v>5.03066E-2</v>
      </c>
      <c r="Q77" s="33">
        <v>0</v>
      </c>
      <c r="R77" s="34">
        <v>0.51052629999999999</v>
      </c>
      <c r="T77" s="69" t="str">
        <f t="shared" si="6"/>
        <v>PCT_CANAL6</v>
      </c>
      <c r="U77" s="61">
        <f t="shared" si="7"/>
        <v>-7.6675823848163072E-2</v>
      </c>
      <c r="V77" s="54">
        <v>0</v>
      </c>
    </row>
    <row r="78" spans="2:22" ht="21" customHeight="1">
      <c r="B78" s="211"/>
      <c r="C78" s="211"/>
      <c r="D78" s="46" t="s">
        <v>136</v>
      </c>
      <c r="E78" s="46" t="s">
        <v>136</v>
      </c>
      <c r="F78" s="32">
        <v>3362</v>
      </c>
      <c r="G78" s="33">
        <v>4.9286799999999999E-2</v>
      </c>
      <c r="H78" s="33">
        <v>9.16772E-2</v>
      </c>
      <c r="I78" s="33">
        <v>0</v>
      </c>
      <c r="J78" s="34">
        <v>0.5</v>
      </c>
      <c r="L78" s="46" t="s">
        <v>136</v>
      </c>
      <c r="M78" s="46" t="s">
        <v>136</v>
      </c>
      <c r="N78" s="32">
        <v>285135</v>
      </c>
      <c r="O78" s="33">
        <v>1.9921000000000001E-2</v>
      </c>
      <c r="P78" s="33">
        <v>4.8187399999999998E-2</v>
      </c>
      <c r="Q78" s="33">
        <v>0</v>
      </c>
      <c r="R78" s="34">
        <v>0.5</v>
      </c>
      <c r="T78" s="69" t="str">
        <f t="shared" si="6"/>
        <v>PCT_CANAL7</v>
      </c>
      <c r="U78" s="61">
        <f t="shared" si="7"/>
        <v>0.60940826855153007</v>
      </c>
      <c r="V78" s="54">
        <v>0</v>
      </c>
    </row>
    <row r="79" spans="2:22" ht="21" customHeight="1">
      <c r="B79" s="211"/>
      <c r="C79" s="211"/>
      <c r="D79" s="46" t="s">
        <v>137</v>
      </c>
      <c r="E79" s="46" t="s">
        <v>137</v>
      </c>
      <c r="F79" s="32">
        <v>3362</v>
      </c>
      <c r="G79" s="33">
        <v>5.11046E-2</v>
      </c>
      <c r="H79" s="33">
        <v>9.9709999999999993E-2</v>
      </c>
      <c r="I79" s="33">
        <v>0</v>
      </c>
      <c r="J79" s="34">
        <v>0.76</v>
      </c>
      <c r="L79" s="46" t="s">
        <v>137</v>
      </c>
      <c r="M79" s="46" t="s">
        <v>137</v>
      </c>
      <c r="N79" s="32">
        <v>285135</v>
      </c>
      <c r="O79" s="33">
        <v>3.6702899999999997E-2</v>
      </c>
      <c r="P79" s="33">
        <v>9.8033800000000004E-2</v>
      </c>
      <c r="Q79" s="33">
        <v>0</v>
      </c>
      <c r="R79" s="34">
        <v>0.92857140000000005</v>
      </c>
      <c r="T79" s="69" t="str">
        <f t="shared" si="6"/>
        <v>PCT_CANAL8</v>
      </c>
      <c r="U79" s="61">
        <f t="shared" si="7"/>
        <v>0.1469054550573374</v>
      </c>
      <c r="V79" s="54">
        <v>0</v>
      </c>
    </row>
    <row r="80" spans="2:22" ht="21" customHeight="1">
      <c r="B80" s="211"/>
      <c r="C80" s="211"/>
      <c r="D80" s="46" t="s">
        <v>138</v>
      </c>
      <c r="E80" s="46" t="s">
        <v>138</v>
      </c>
      <c r="F80" s="32">
        <v>3362</v>
      </c>
      <c r="G80" s="33">
        <v>0.45374399999999998</v>
      </c>
      <c r="H80" s="33">
        <v>0.26163449999999999</v>
      </c>
      <c r="I80" s="33">
        <v>0</v>
      </c>
      <c r="J80" s="34">
        <v>0.87628870000000003</v>
      </c>
      <c r="L80" s="46" t="s">
        <v>138</v>
      </c>
      <c r="M80" s="46" t="s">
        <v>138</v>
      </c>
      <c r="N80" s="32">
        <v>285135</v>
      </c>
      <c r="O80" s="33">
        <v>0.55043059999999999</v>
      </c>
      <c r="P80" s="33">
        <v>0.32089380000000001</v>
      </c>
      <c r="Q80" s="33">
        <v>0</v>
      </c>
      <c r="R80" s="34">
        <v>1</v>
      </c>
      <c r="T80" s="69" t="str">
        <f t="shared" si="6"/>
        <v>PCT_CANAL9</v>
      </c>
      <c r="U80" s="61">
        <f t="shared" si="7"/>
        <v>-0.30130404513892139</v>
      </c>
      <c r="V80" s="54">
        <v>0</v>
      </c>
    </row>
    <row r="81" spans="2:22" ht="21" customHeight="1">
      <c r="B81" s="211"/>
      <c r="C81" s="211"/>
      <c r="D81" s="46" t="s">
        <v>139</v>
      </c>
      <c r="E81" s="46" t="s">
        <v>139</v>
      </c>
      <c r="F81" s="32">
        <v>3362</v>
      </c>
      <c r="G81" s="33">
        <v>5.6738400000000001E-2</v>
      </c>
      <c r="H81" s="33">
        <v>0.14218729999999999</v>
      </c>
      <c r="I81" s="33">
        <v>0</v>
      </c>
      <c r="J81" s="34">
        <v>0.76595740000000001</v>
      </c>
      <c r="L81" s="46" t="s">
        <v>139</v>
      </c>
      <c r="M81" s="46" t="s">
        <v>139</v>
      </c>
      <c r="N81" s="32">
        <v>285135</v>
      </c>
      <c r="O81" s="33">
        <v>2.06415E-2</v>
      </c>
      <c r="P81" s="33">
        <v>9.5968100000000001E-2</v>
      </c>
      <c r="Q81" s="33">
        <v>0</v>
      </c>
      <c r="R81" s="34">
        <v>0.88709680000000002</v>
      </c>
      <c r="T81" s="69" t="str">
        <f t="shared" si="6"/>
        <v>PCT_CANAL10</v>
      </c>
      <c r="U81" s="61">
        <f t="shared" si="7"/>
        <v>0.37613436131381156</v>
      </c>
      <c r="V81" s="54">
        <v>0</v>
      </c>
    </row>
    <row r="82" spans="2:22" ht="21" customHeight="1" thickBot="1">
      <c r="B82" s="212"/>
      <c r="C82" s="212"/>
      <c r="D82" s="47" t="s">
        <v>140</v>
      </c>
      <c r="E82" s="47" t="s">
        <v>140</v>
      </c>
      <c r="F82" s="35">
        <v>3362</v>
      </c>
      <c r="G82" s="36">
        <v>2.3574700000000001E-2</v>
      </c>
      <c r="H82" s="36">
        <v>6.4399799999999993E-2</v>
      </c>
      <c r="I82" s="36">
        <v>0</v>
      </c>
      <c r="J82" s="37">
        <v>0.60119049999999996</v>
      </c>
      <c r="L82" s="47" t="s">
        <v>140</v>
      </c>
      <c r="M82" s="47" t="s">
        <v>140</v>
      </c>
      <c r="N82" s="35">
        <v>285135</v>
      </c>
      <c r="O82" s="36">
        <v>6.9534299999999993E-2</v>
      </c>
      <c r="P82" s="36">
        <v>0.1103164</v>
      </c>
      <c r="Q82" s="36">
        <v>0</v>
      </c>
      <c r="R82" s="37">
        <v>0.63157890000000005</v>
      </c>
      <c r="T82" s="70" t="str">
        <f t="shared" si="6"/>
        <v>PCT_CANAL11</v>
      </c>
      <c r="U82" s="62">
        <f t="shared" si="7"/>
        <v>-0.41661620575000624</v>
      </c>
      <c r="V82" s="55">
        <v>0</v>
      </c>
    </row>
    <row r="83" spans="2:22" ht="22.9" customHeight="1">
      <c r="B83" s="210">
        <v>8</v>
      </c>
      <c r="C83" s="210">
        <v>35301</v>
      </c>
      <c r="D83" s="45" t="s">
        <v>130</v>
      </c>
      <c r="E83" s="45" t="s">
        <v>130</v>
      </c>
      <c r="F83" s="29">
        <v>35301</v>
      </c>
      <c r="G83" s="30">
        <v>9.7232500000000001E-4</v>
      </c>
      <c r="H83" s="30">
        <v>5.4790999999999998E-3</v>
      </c>
      <c r="I83" s="30">
        <v>0</v>
      </c>
      <c r="J83" s="31">
        <v>0.1314554</v>
      </c>
      <c r="L83" s="45" t="s">
        <v>130</v>
      </c>
      <c r="M83" s="45" t="s">
        <v>130</v>
      </c>
      <c r="N83" s="29">
        <v>285135</v>
      </c>
      <c r="O83" s="30">
        <v>5.3293000000000004E-3</v>
      </c>
      <c r="P83" s="30">
        <v>2.9197500000000001E-2</v>
      </c>
      <c r="Q83" s="30">
        <v>0</v>
      </c>
      <c r="R83" s="31">
        <v>0.4166667</v>
      </c>
      <c r="T83" s="68" t="str">
        <f t="shared" si="6"/>
        <v>PCT_CANAL1</v>
      </c>
      <c r="U83" s="60">
        <f>+(G83-O83)/P83</f>
        <v>-0.14922424865142567</v>
      </c>
      <c r="V83" s="53">
        <v>0</v>
      </c>
    </row>
    <row r="84" spans="2:22" ht="22.9" customHeight="1">
      <c r="B84" s="211"/>
      <c r="C84" s="211"/>
      <c r="D84" s="46" t="s">
        <v>131</v>
      </c>
      <c r="E84" s="46" t="s">
        <v>131</v>
      </c>
      <c r="F84" s="32">
        <v>35301</v>
      </c>
      <c r="G84" s="33">
        <v>9.4660000000000005E-3</v>
      </c>
      <c r="H84" s="33">
        <v>2.1512400000000001E-2</v>
      </c>
      <c r="I84" s="33">
        <v>0</v>
      </c>
      <c r="J84" s="34">
        <v>0.27812500000000001</v>
      </c>
      <c r="L84" s="46" t="s">
        <v>131</v>
      </c>
      <c r="M84" s="46" t="s">
        <v>131</v>
      </c>
      <c r="N84" s="32">
        <v>285135</v>
      </c>
      <c r="O84" s="33">
        <v>4.1117800000000003E-2</v>
      </c>
      <c r="P84" s="33">
        <v>9.75636E-2</v>
      </c>
      <c r="Q84" s="33">
        <v>0</v>
      </c>
      <c r="R84" s="34">
        <v>0.8</v>
      </c>
      <c r="T84" s="69" t="str">
        <f t="shared" si="6"/>
        <v>PCT_CANAL2</v>
      </c>
      <c r="U84" s="61">
        <f t="shared" ref="U84:U93" si="8">+(G84-O84)/P84</f>
        <v>-0.3244222230422002</v>
      </c>
      <c r="V84" s="54">
        <v>0</v>
      </c>
    </row>
    <row r="85" spans="2:22" ht="22.9" customHeight="1">
      <c r="B85" s="211"/>
      <c r="C85" s="211"/>
      <c r="D85" s="46" t="s">
        <v>132</v>
      </c>
      <c r="E85" s="46" t="s">
        <v>132</v>
      </c>
      <c r="F85" s="32">
        <v>35301</v>
      </c>
      <c r="G85" s="33">
        <v>5.3261999999999997E-3</v>
      </c>
      <c r="H85" s="33">
        <v>1.59271E-2</v>
      </c>
      <c r="I85" s="33">
        <v>0</v>
      </c>
      <c r="J85" s="34">
        <v>0.25641029999999998</v>
      </c>
      <c r="L85" s="46" t="s">
        <v>132</v>
      </c>
      <c r="M85" s="46" t="s">
        <v>132</v>
      </c>
      <c r="N85" s="32">
        <v>285135</v>
      </c>
      <c r="O85" s="33">
        <v>3.5534999999999997E-2</v>
      </c>
      <c r="P85" s="33">
        <v>8.58878E-2</v>
      </c>
      <c r="Q85" s="33">
        <v>0</v>
      </c>
      <c r="R85" s="34">
        <v>0.58964139999999998</v>
      </c>
      <c r="T85" s="69" t="str">
        <f t="shared" si="6"/>
        <v>PCT_CANAL3</v>
      </c>
      <c r="U85" s="61">
        <f t="shared" si="8"/>
        <v>-0.35172399339603527</v>
      </c>
      <c r="V85" s="54">
        <v>0</v>
      </c>
    </row>
    <row r="86" spans="2:22" ht="22.9" customHeight="1">
      <c r="B86" s="211"/>
      <c r="C86" s="211"/>
      <c r="D86" s="46" t="s">
        <v>133</v>
      </c>
      <c r="E86" s="46" t="s">
        <v>133</v>
      </c>
      <c r="F86" s="32">
        <v>35301</v>
      </c>
      <c r="G86" s="33">
        <v>0.71322390000000002</v>
      </c>
      <c r="H86" s="33">
        <v>0.16068569999999999</v>
      </c>
      <c r="I86" s="33">
        <v>0.2631579</v>
      </c>
      <c r="J86" s="34">
        <v>0.95315680000000003</v>
      </c>
      <c r="L86" s="46" t="s">
        <v>133</v>
      </c>
      <c r="M86" s="46" t="s">
        <v>133</v>
      </c>
      <c r="N86" s="32">
        <v>285135</v>
      </c>
      <c r="O86" s="33">
        <v>9.9512199999999995E-2</v>
      </c>
      <c r="P86" s="33">
        <v>0.2434481</v>
      </c>
      <c r="Q86" s="33">
        <v>0</v>
      </c>
      <c r="R86" s="34">
        <v>0.95315680000000003</v>
      </c>
      <c r="T86" s="69" t="str">
        <f t="shared" si="6"/>
        <v>PCT_CANAL4</v>
      </c>
      <c r="U86" s="61">
        <f t="shared" si="8"/>
        <v>2.5209139032097605</v>
      </c>
      <c r="V86" s="54">
        <v>0</v>
      </c>
    </row>
    <row r="87" spans="2:22" ht="22.9" customHeight="1">
      <c r="B87" s="211"/>
      <c r="C87" s="211"/>
      <c r="D87" s="46" t="s">
        <v>134</v>
      </c>
      <c r="E87" s="46" t="s">
        <v>134</v>
      </c>
      <c r="F87" s="32">
        <v>35301</v>
      </c>
      <c r="G87" s="33">
        <v>7.9802999999999999E-2</v>
      </c>
      <c r="H87" s="33">
        <v>0.1017874</v>
      </c>
      <c r="I87" s="33">
        <v>0</v>
      </c>
      <c r="J87" s="34">
        <v>0.49206349999999999</v>
      </c>
      <c r="L87" s="46" t="s">
        <v>134</v>
      </c>
      <c r="M87" s="46" t="s">
        <v>134</v>
      </c>
      <c r="N87" s="32">
        <v>285135</v>
      </c>
      <c r="O87" s="33">
        <v>0.1100589</v>
      </c>
      <c r="P87" s="33">
        <v>0.22412850000000001</v>
      </c>
      <c r="Q87" s="33">
        <v>0</v>
      </c>
      <c r="R87" s="34">
        <v>0.95218420000000004</v>
      </c>
      <c r="T87" s="69" t="str">
        <f t="shared" si="6"/>
        <v>PCT_CANAL5</v>
      </c>
      <c r="U87" s="61">
        <f t="shared" si="8"/>
        <v>-0.13499354165132949</v>
      </c>
      <c r="V87" s="54">
        <v>0</v>
      </c>
    </row>
    <row r="88" spans="2:22" ht="22.9" customHeight="1">
      <c r="B88" s="211"/>
      <c r="C88" s="211"/>
      <c r="D88" s="46" t="s">
        <v>135</v>
      </c>
      <c r="E88" s="46" t="s">
        <v>135</v>
      </c>
      <c r="F88" s="32">
        <v>35301</v>
      </c>
      <c r="G88" s="33">
        <v>2.6315000000000002E-3</v>
      </c>
      <c r="H88" s="33">
        <v>1.54859E-2</v>
      </c>
      <c r="I88" s="33">
        <v>0</v>
      </c>
      <c r="J88" s="34">
        <v>0.47058820000000001</v>
      </c>
      <c r="L88" s="46" t="s">
        <v>135</v>
      </c>
      <c r="M88" s="46" t="s">
        <v>135</v>
      </c>
      <c r="N88" s="32">
        <v>285135</v>
      </c>
      <c r="O88" s="33">
        <v>1.12163E-2</v>
      </c>
      <c r="P88" s="33">
        <v>5.03066E-2</v>
      </c>
      <c r="Q88" s="33">
        <v>0</v>
      </c>
      <c r="R88" s="34">
        <v>0.51052629999999999</v>
      </c>
      <c r="T88" s="69" t="str">
        <f t="shared" si="6"/>
        <v>PCT_CANAL6</v>
      </c>
      <c r="U88" s="61">
        <f t="shared" si="8"/>
        <v>-0.17064957679509249</v>
      </c>
      <c r="V88" s="54">
        <v>0</v>
      </c>
    </row>
    <row r="89" spans="2:22" ht="22.9" customHeight="1">
      <c r="B89" s="211"/>
      <c r="C89" s="211"/>
      <c r="D89" s="46" t="s">
        <v>136</v>
      </c>
      <c r="E89" s="46" t="s">
        <v>136</v>
      </c>
      <c r="F89" s="32">
        <v>35301</v>
      </c>
      <c r="G89" s="33">
        <v>6.2778E-3</v>
      </c>
      <c r="H89" s="33">
        <v>1.29861E-2</v>
      </c>
      <c r="I89" s="33">
        <v>0</v>
      </c>
      <c r="J89" s="34">
        <v>0.18181820000000001</v>
      </c>
      <c r="L89" s="46" t="s">
        <v>136</v>
      </c>
      <c r="M89" s="46" t="s">
        <v>136</v>
      </c>
      <c r="N89" s="32">
        <v>285135</v>
      </c>
      <c r="O89" s="33">
        <v>1.9921000000000001E-2</v>
      </c>
      <c r="P89" s="33">
        <v>4.8187399999999998E-2</v>
      </c>
      <c r="Q89" s="33">
        <v>0</v>
      </c>
      <c r="R89" s="34">
        <v>0.5</v>
      </c>
      <c r="T89" s="69" t="str">
        <f t="shared" si="6"/>
        <v>PCT_CANAL7</v>
      </c>
      <c r="U89" s="61">
        <f t="shared" si="8"/>
        <v>-0.28312795461054135</v>
      </c>
      <c r="V89" s="54">
        <v>0</v>
      </c>
    </row>
    <row r="90" spans="2:22" ht="22.9" customHeight="1">
      <c r="B90" s="211"/>
      <c r="C90" s="211"/>
      <c r="D90" s="46" t="s">
        <v>137</v>
      </c>
      <c r="E90" s="46" t="s">
        <v>137</v>
      </c>
      <c r="F90" s="32">
        <v>35301</v>
      </c>
      <c r="G90" s="33">
        <v>4.8826E-3</v>
      </c>
      <c r="H90" s="33">
        <v>1.3029199999999999E-2</v>
      </c>
      <c r="I90" s="33">
        <v>0</v>
      </c>
      <c r="J90" s="34">
        <v>0.30612240000000002</v>
      </c>
      <c r="L90" s="46" t="s">
        <v>137</v>
      </c>
      <c r="M90" s="46" t="s">
        <v>137</v>
      </c>
      <c r="N90" s="32">
        <v>285135</v>
      </c>
      <c r="O90" s="33">
        <v>3.6702899999999997E-2</v>
      </c>
      <c r="P90" s="33">
        <v>9.8033800000000004E-2</v>
      </c>
      <c r="Q90" s="33">
        <v>0</v>
      </c>
      <c r="R90" s="34">
        <v>0.92857140000000005</v>
      </c>
      <c r="T90" s="69" t="str">
        <f t="shared" si="6"/>
        <v>PCT_CANAL8</v>
      </c>
      <c r="U90" s="61">
        <f t="shared" si="8"/>
        <v>-0.3245849900748517</v>
      </c>
      <c r="V90" s="54">
        <v>0</v>
      </c>
    </row>
    <row r="91" spans="2:22" ht="22.9" customHeight="1">
      <c r="B91" s="211"/>
      <c r="C91" s="211"/>
      <c r="D91" s="46" t="s">
        <v>138</v>
      </c>
      <c r="E91" s="46" t="s">
        <v>138</v>
      </c>
      <c r="F91" s="32">
        <v>35301</v>
      </c>
      <c r="G91" s="33">
        <v>0.124859</v>
      </c>
      <c r="H91" s="33">
        <v>0.1041493</v>
      </c>
      <c r="I91" s="33">
        <v>0</v>
      </c>
      <c r="J91" s="34">
        <v>0.58333330000000005</v>
      </c>
      <c r="L91" s="46" t="s">
        <v>138</v>
      </c>
      <c r="M91" s="46" t="s">
        <v>138</v>
      </c>
      <c r="N91" s="32">
        <v>285135</v>
      </c>
      <c r="O91" s="33">
        <v>0.55043059999999999</v>
      </c>
      <c r="P91" s="33">
        <v>0.32089380000000001</v>
      </c>
      <c r="Q91" s="33">
        <v>0</v>
      </c>
      <c r="R91" s="34">
        <v>1</v>
      </c>
      <c r="T91" s="69" t="str">
        <f t="shared" si="6"/>
        <v>PCT_CANAL9</v>
      </c>
      <c r="U91" s="61">
        <f t="shared" si="8"/>
        <v>-1.3262069881063454</v>
      </c>
      <c r="V91" s="54">
        <v>0</v>
      </c>
    </row>
    <row r="92" spans="2:22" ht="22.9" customHeight="1">
      <c r="B92" s="211"/>
      <c r="C92" s="211"/>
      <c r="D92" s="46" t="s">
        <v>139</v>
      </c>
      <c r="E92" s="46" t="s">
        <v>139</v>
      </c>
      <c r="F92" s="32">
        <v>35301</v>
      </c>
      <c r="G92" s="33">
        <v>8.5114000000000006E-3</v>
      </c>
      <c r="H92" s="33">
        <v>3.1440500000000003E-2</v>
      </c>
      <c r="I92" s="33">
        <v>0</v>
      </c>
      <c r="J92" s="34">
        <v>0.36516850000000001</v>
      </c>
      <c r="L92" s="46" t="s">
        <v>139</v>
      </c>
      <c r="M92" s="46" t="s">
        <v>139</v>
      </c>
      <c r="N92" s="32">
        <v>285135</v>
      </c>
      <c r="O92" s="33">
        <v>2.06415E-2</v>
      </c>
      <c r="P92" s="33">
        <v>9.5968100000000001E-2</v>
      </c>
      <c r="Q92" s="33">
        <v>0</v>
      </c>
      <c r="R92" s="34">
        <v>0.88709680000000002</v>
      </c>
      <c r="T92" s="69" t="str">
        <f t="shared" si="6"/>
        <v>PCT_CANAL10</v>
      </c>
      <c r="U92" s="61">
        <f t="shared" si="8"/>
        <v>-0.12639720907259808</v>
      </c>
      <c r="V92" s="54">
        <v>0</v>
      </c>
    </row>
    <row r="93" spans="2:22" ht="22.9" customHeight="1" thickBot="1">
      <c r="B93" s="212"/>
      <c r="C93" s="212"/>
      <c r="D93" s="47" t="s">
        <v>140</v>
      </c>
      <c r="E93" s="47" t="s">
        <v>140</v>
      </c>
      <c r="F93" s="35">
        <v>35301</v>
      </c>
      <c r="G93" s="36">
        <v>4.4046200000000001E-2</v>
      </c>
      <c r="H93" s="36">
        <v>4.8854500000000002E-2</v>
      </c>
      <c r="I93" s="36">
        <v>0</v>
      </c>
      <c r="J93" s="37">
        <v>0.3450704</v>
      </c>
      <c r="L93" s="47" t="s">
        <v>140</v>
      </c>
      <c r="M93" s="47" t="s">
        <v>140</v>
      </c>
      <c r="N93" s="35">
        <v>285135</v>
      </c>
      <c r="O93" s="36">
        <v>6.9534299999999993E-2</v>
      </c>
      <c r="P93" s="36">
        <v>0.1103164</v>
      </c>
      <c r="Q93" s="36">
        <v>0</v>
      </c>
      <c r="R93" s="37">
        <v>0.63157890000000005</v>
      </c>
      <c r="T93" s="70" t="str">
        <f t="shared" si="6"/>
        <v>PCT_CANAL11</v>
      </c>
      <c r="U93" s="62">
        <f t="shared" si="8"/>
        <v>-0.23104542932873076</v>
      </c>
      <c r="V93" s="55">
        <v>0</v>
      </c>
    </row>
    <row r="94" spans="2:22" ht="21.6" customHeight="1">
      <c r="B94" s="210">
        <v>9</v>
      </c>
      <c r="C94" s="210">
        <v>16922</v>
      </c>
      <c r="D94" s="45" t="s">
        <v>130</v>
      </c>
      <c r="E94" s="45" t="s">
        <v>130</v>
      </c>
      <c r="F94" s="29">
        <v>16922</v>
      </c>
      <c r="G94" s="30">
        <v>3.656E-3</v>
      </c>
      <c r="H94" s="30">
        <v>1.51161E-2</v>
      </c>
      <c r="I94" s="30">
        <v>0</v>
      </c>
      <c r="J94" s="31">
        <v>0.15384619999999999</v>
      </c>
      <c r="L94" s="45" t="s">
        <v>130</v>
      </c>
      <c r="M94" s="45" t="s">
        <v>130</v>
      </c>
      <c r="N94" s="29">
        <v>285135</v>
      </c>
      <c r="O94" s="30">
        <v>5.3293000000000004E-3</v>
      </c>
      <c r="P94" s="30">
        <v>2.9197500000000001E-2</v>
      </c>
      <c r="Q94" s="30">
        <v>0</v>
      </c>
      <c r="R94" s="31">
        <v>0.4166667</v>
      </c>
      <c r="T94" s="68" t="str">
        <f t="shared" si="6"/>
        <v>PCT_CANAL1</v>
      </c>
      <c r="U94" s="60">
        <f>+(G94-O94)/P94</f>
        <v>-5.7309701173045652E-2</v>
      </c>
      <c r="V94" s="53">
        <v>0</v>
      </c>
    </row>
    <row r="95" spans="2:22" ht="21.6" customHeight="1">
      <c r="B95" s="211"/>
      <c r="C95" s="211"/>
      <c r="D95" s="46" t="s">
        <v>131</v>
      </c>
      <c r="E95" s="46" t="s">
        <v>131</v>
      </c>
      <c r="F95" s="32">
        <v>16922</v>
      </c>
      <c r="G95" s="33">
        <v>3.7158400000000001E-2</v>
      </c>
      <c r="H95" s="33">
        <v>6.7541900000000002E-2</v>
      </c>
      <c r="I95" s="33">
        <v>0</v>
      </c>
      <c r="J95" s="34">
        <v>0.52830189999999999</v>
      </c>
      <c r="L95" s="46" t="s">
        <v>131</v>
      </c>
      <c r="M95" s="46" t="s">
        <v>131</v>
      </c>
      <c r="N95" s="32">
        <v>285135</v>
      </c>
      <c r="O95" s="33">
        <v>4.1117800000000003E-2</v>
      </c>
      <c r="P95" s="33">
        <v>9.75636E-2</v>
      </c>
      <c r="Q95" s="33">
        <v>0</v>
      </c>
      <c r="R95" s="34">
        <v>0.8</v>
      </c>
      <c r="T95" s="69" t="str">
        <f t="shared" si="6"/>
        <v>PCT_CANAL2</v>
      </c>
      <c r="U95" s="61">
        <f t="shared" ref="U95:U104" si="9">+(G95-O95)/P95</f>
        <v>-4.0582758323801107E-2</v>
      </c>
      <c r="V95" s="54">
        <v>0</v>
      </c>
    </row>
    <row r="96" spans="2:22" ht="21.6" customHeight="1">
      <c r="B96" s="211"/>
      <c r="C96" s="211"/>
      <c r="D96" s="46" t="s">
        <v>132</v>
      </c>
      <c r="E96" s="46" t="s">
        <v>132</v>
      </c>
      <c r="F96" s="32">
        <v>16922</v>
      </c>
      <c r="G96" s="33">
        <v>0.3194111</v>
      </c>
      <c r="H96" s="33">
        <v>0.1106625</v>
      </c>
      <c r="I96" s="33">
        <v>0.12254900000000001</v>
      </c>
      <c r="J96" s="34">
        <v>0.58964139999999998</v>
      </c>
      <c r="L96" s="46" t="s">
        <v>132</v>
      </c>
      <c r="M96" s="46" t="s">
        <v>132</v>
      </c>
      <c r="N96" s="32">
        <v>285135</v>
      </c>
      <c r="O96" s="33">
        <v>3.5534999999999997E-2</v>
      </c>
      <c r="P96" s="33">
        <v>8.58878E-2</v>
      </c>
      <c r="Q96" s="33">
        <v>0</v>
      </c>
      <c r="R96" s="34">
        <v>0.58964139999999998</v>
      </c>
      <c r="T96" s="69" t="str">
        <f t="shared" si="6"/>
        <v>PCT_CANAL3</v>
      </c>
      <c r="U96" s="61">
        <f t="shared" si="9"/>
        <v>3.3051970128469934</v>
      </c>
      <c r="V96" s="54">
        <v>0</v>
      </c>
    </row>
    <row r="97" spans="2:22" ht="21.6" customHeight="1">
      <c r="B97" s="211"/>
      <c r="C97" s="211"/>
      <c r="D97" s="46" t="s">
        <v>133</v>
      </c>
      <c r="E97" s="46" t="s">
        <v>133</v>
      </c>
      <c r="F97" s="32">
        <v>16922</v>
      </c>
      <c r="G97" s="33">
        <v>3.3784000000000002E-3</v>
      </c>
      <c r="H97" s="33">
        <v>3.0472900000000001E-2</v>
      </c>
      <c r="I97" s="33">
        <v>0</v>
      </c>
      <c r="J97" s="34">
        <v>0.66666669999999995</v>
      </c>
      <c r="L97" s="46" t="s">
        <v>133</v>
      </c>
      <c r="M97" s="46" t="s">
        <v>133</v>
      </c>
      <c r="N97" s="32">
        <v>285135</v>
      </c>
      <c r="O97" s="33">
        <v>9.9512199999999995E-2</v>
      </c>
      <c r="P97" s="33">
        <v>0.2434481</v>
      </c>
      <c r="Q97" s="33">
        <v>0</v>
      </c>
      <c r="R97" s="34">
        <v>0.95315680000000003</v>
      </c>
      <c r="T97" s="69" t="str">
        <f t="shared" si="6"/>
        <v>PCT_CANAL4</v>
      </c>
      <c r="U97" s="61">
        <f t="shared" si="9"/>
        <v>-0.3948841662760974</v>
      </c>
      <c r="V97" s="54">
        <v>0</v>
      </c>
    </row>
    <row r="98" spans="2:22" ht="21.6" customHeight="1">
      <c r="B98" s="211"/>
      <c r="C98" s="211"/>
      <c r="D98" s="46" t="s">
        <v>134</v>
      </c>
      <c r="E98" s="46" t="s">
        <v>134</v>
      </c>
      <c r="F98" s="32">
        <v>16922</v>
      </c>
      <c r="G98" s="33">
        <v>1.3807699999999999E-2</v>
      </c>
      <c r="H98" s="33">
        <v>5.7992700000000001E-2</v>
      </c>
      <c r="I98" s="33">
        <v>0</v>
      </c>
      <c r="J98" s="34">
        <v>0.69230769999999997</v>
      </c>
      <c r="L98" s="46" t="s">
        <v>134</v>
      </c>
      <c r="M98" s="46" t="s">
        <v>134</v>
      </c>
      <c r="N98" s="32">
        <v>285135</v>
      </c>
      <c r="O98" s="33">
        <v>0.1100589</v>
      </c>
      <c r="P98" s="33">
        <v>0.22412850000000001</v>
      </c>
      <c r="Q98" s="33">
        <v>0</v>
      </c>
      <c r="R98" s="34">
        <v>0.95218420000000004</v>
      </c>
      <c r="T98" s="69" t="str">
        <f t="shared" si="6"/>
        <v>PCT_CANAL5</v>
      </c>
      <c r="U98" s="61">
        <f t="shared" si="9"/>
        <v>-0.42944650055660039</v>
      </c>
      <c r="V98" s="54">
        <v>0</v>
      </c>
    </row>
    <row r="99" spans="2:22" ht="21.6" customHeight="1">
      <c r="B99" s="211"/>
      <c r="C99" s="211"/>
      <c r="D99" s="46" t="s">
        <v>135</v>
      </c>
      <c r="E99" s="46" t="s">
        <v>135</v>
      </c>
      <c r="F99" s="32">
        <v>16922</v>
      </c>
      <c r="G99" s="33">
        <v>8.6218000000000006E-3</v>
      </c>
      <c r="H99" s="33">
        <v>4.2613499999999999E-2</v>
      </c>
      <c r="I99" s="33">
        <v>0</v>
      </c>
      <c r="J99" s="34">
        <v>0.50502009999999997</v>
      </c>
      <c r="L99" s="46" t="s">
        <v>135</v>
      </c>
      <c r="M99" s="46" t="s">
        <v>135</v>
      </c>
      <c r="N99" s="32">
        <v>285135</v>
      </c>
      <c r="O99" s="33">
        <v>1.12163E-2</v>
      </c>
      <c r="P99" s="33">
        <v>5.03066E-2</v>
      </c>
      <c r="Q99" s="33">
        <v>0</v>
      </c>
      <c r="R99" s="34">
        <v>0.51052629999999999</v>
      </c>
      <c r="T99" s="69" t="str">
        <f t="shared" si="6"/>
        <v>PCT_CANAL6</v>
      </c>
      <c r="U99" s="61">
        <f t="shared" si="9"/>
        <v>-5.1573749766432232E-2</v>
      </c>
      <c r="V99" s="54">
        <v>0</v>
      </c>
    </row>
    <row r="100" spans="2:22" ht="21.6" customHeight="1">
      <c r="B100" s="211"/>
      <c r="C100" s="211"/>
      <c r="D100" s="46" t="s">
        <v>136</v>
      </c>
      <c r="E100" s="46" t="s">
        <v>136</v>
      </c>
      <c r="F100" s="32">
        <v>16922</v>
      </c>
      <c r="G100" s="33">
        <v>1.6008700000000001E-2</v>
      </c>
      <c r="H100" s="33">
        <v>2.96837E-2</v>
      </c>
      <c r="I100" s="33">
        <v>0</v>
      </c>
      <c r="J100" s="34">
        <v>0.25</v>
      </c>
      <c r="L100" s="46" t="s">
        <v>136</v>
      </c>
      <c r="M100" s="46" t="s">
        <v>136</v>
      </c>
      <c r="N100" s="32">
        <v>285135</v>
      </c>
      <c r="O100" s="33">
        <v>1.9921000000000001E-2</v>
      </c>
      <c r="P100" s="33">
        <v>4.8187399999999998E-2</v>
      </c>
      <c r="Q100" s="33">
        <v>0</v>
      </c>
      <c r="R100" s="34">
        <v>0.5</v>
      </c>
      <c r="T100" s="69" t="str">
        <f t="shared" si="6"/>
        <v>PCT_CANAL7</v>
      </c>
      <c r="U100" s="61">
        <f t="shared" si="9"/>
        <v>-8.1189273544536547E-2</v>
      </c>
      <c r="V100" s="54">
        <v>0</v>
      </c>
    </row>
    <row r="101" spans="2:22" ht="21.6" customHeight="1">
      <c r="B101" s="211"/>
      <c r="C101" s="211"/>
      <c r="D101" s="46" t="s">
        <v>137</v>
      </c>
      <c r="E101" s="46" t="s">
        <v>137</v>
      </c>
      <c r="F101" s="32">
        <v>16922</v>
      </c>
      <c r="G101" s="33">
        <v>6.5195199999999995E-2</v>
      </c>
      <c r="H101" s="33">
        <v>9.4915700000000006E-2</v>
      </c>
      <c r="I101" s="33">
        <v>0</v>
      </c>
      <c r="J101" s="34">
        <v>0.51063829999999999</v>
      </c>
      <c r="L101" s="46" t="s">
        <v>137</v>
      </c>
      <c r="M101" s="46" t="s">
        <v>137</v>
      </c>
      <c r="N101" s="32">
        <v>285135</v>
      </c>
      <c r="O101" s="33">
        <v>3.6702899999999997E-2</v>
      </c>
      <c r="P101" s="33">
        <v>9.8033800000000004E-2</v>
      </c>
      <c r="Q101" s="33">
        <v>0</v>
      </c>
      <c r="R101" s="34">
        <v>0.92857140000000005</v>
      </c>
      <c r="T101" s="69" t="str">
        <f t="shared" si="6"/>
        <v>PCT_CANAL8</v>
      </c>
      <c r="U101" s="61">
        <f t="shared" si="9"/>
        <v>0.29063751481631844</v>
      </c>
      <c r="V101" s="54">
        <v>0</v>
      </c>
    </row>
    <row r="102" spans="2:22" ht="21.6" customHeight="1">
      <c r="B102" s="211"/>
      <c r="C102" s="211"/>
      <c r="D102" s="46" t="s">
        <v>138</v>
      </c>
      <c r="E102" s="46" t="s">
        <v>138</v>
      </c>
      <c r="F102" s="32">
        <v>16922</v>
      </c>
      <c r="G102" s="33">
        <v>0.49129909999999999</v>
      </c>
      <c r="H102" s="33">
        <v>0.17643410000000001</v>
      </c>
      <c r="I102" s="33">
        <v>0</v>
      </c>
      <c r="J102" s="34">
        <v>0.81294960000000005</v>
      </c>
      <c r="L102" s="46" t="s">
        <v>138</v>
      </c>
      <c r="M102" s="46" t="s">
        <v>138</v>
      </c>
      <c r="N102" s="32">
        <v>285135</v>
      </c>
      <c r="O102" s="33">
        <v>0.55043059999999999</v>
      </c>
      <c r="P102" s="33">
        <v>0.32089380000000001</v>
      </c>
      <c r="Q102" s="33">
        <v>0</v>
      </c>
      <c r="R102" s="34">
        <v>1</v>
      </c>
      <c r="T102" s="69" t="str">
        <f t="shared" si="6"/>
        <v>PCT_CANAL9</v>
      </c>
      <c r="U102" s="61">
        <f t="shared" si="9"/>
        <v>-0.18427124487914695</v>
      </c>
      <c r="V102" s="54">
        <v>0</v>
      </c>
    </row>
    <row r="103" spans="2:22" ht="21.6" customHeight="1">
      <c r="B103" s="211"/>
      <c r="C103" s="211"/>
      <c r="D103" s="46" t="s">
        <v>139</v>
      </c>
      <c r="E103" s="46" t="s">
        <v>139</v>
      </c>
      <c r="F103" s="32">
        <v>16922</v>
      </c>
      <c r="G103" s="33">
        <v>6.3796E-3</v>
      </c>
      <c r="H103" s="33">
        <v>3.4906800000000002E-2</v>
      </c>
      <c r="I103" s="33">
        <v>0</v>
      </c>
      <c r="J103" s="34">
        <v>0.42639589999999999</v>
      </c>
      <c r="L103" s="46" t="s">
        <v>139</v>
      </c>
      <c r="M103" s="46" t="s">
        <v>139</v>
      </c>
      <c r="N103" s="32">
        <v>285135</v>
      </c>
      <c r="O103" s="33">
        <v>2.06415E-2</v>
      </c>
      <c r="P103" s="33">
        <v>9.5968100000000001E-2</v>
      </c>
      <c r="Q103" s="33">
        <v>0</v>
      </c>
      <c r="R103" s="34">
        <v>0.88709680000000002</v>
      </c>
      <c r="T103" s="69" t="str">
        <f t="shared" si="6"/>
        <v>PCT_CANAL10</v>
      </c>
      <c r="U103" s="61">
        <f t="shared" si="9"/>
        <v>-0.14861084047720025</v>
      </c>
      <c r="V103" s="54">
        <v>0</v>
      </c>
    </row>
    <row r="104" spans="2:22" ht="21.6" customHeight="1" thickBot="1">
      <c r="B104" s="211"/>
      <c r="C104" s="211"/>
      <c r="D104" s="47" t="s">
        <v>140</v>
      </c>
      <c r="E104" s="47" t="s">
        <v>140</v>
      </c>
      <c r="F104" s="65">
        <v>16922</v>
      </c>
      <c r="G104" s="66">
        <v>3.5083999999999997E-2</v>
      </c>
      <c r="H104" s="66">
        <v>6.4695500000000003E-2</v>
      </c>
      <c r="I104" s="66">
        <v>0</v>
      </c>
      <c r="J104" s="67">
        <v>0.56521739999999998</v>
      </c>
      <c r="L104" s="47" t="s">
        <v>140</v>
      </c>
      <c r="M104" s="47" t="s">
        <v>140</v>
      </c>
      <c r="N104" s="35">
        <v>285135</v>
      </c>
      <c r="O104" s="36">
        <v>6.9534299999999993E-2</v>
      </c>
      <c r="P104" s="36">
        <v>0.1103164</v>
      </c>
      <c r="Q104" s="36">
        <v>0</v>
      </c>
      <c r="R104" s="37">
        <v>0.63157890000000005</v>
      </c>
      <c r="T104" s="70" t="str">
        <f t="shared" si="6"/>
        <v>PCT_CANAL11</v>
      </c>
      <c r="U104" s="62">
        <f t="shared" si="9"/>
        <v>-0.31228629650713763</v>
      </c>
      <c r="V104" s="55">
        <v>0</v>
      </c>
    </row>
    <row r="105" spans="2:22" ht="23.45" customHeight="1">
      <c r="B105" s="206">
        <v>10</v>
      </c>
      <c r="C105" s="213">
        <v>6926</v>
      </c>
      <c r="D105" s="45" t="s">
        <v>130</v>
      </c>
      <c r="E105" s="45" t="s">
        <v>130</v>
      </c>
      <c r="F105" s="29">
        <v>6926</v>
      </c>
      <c r="G105" s="30">
        <v>7.7876999999999998E-3</v>
      </c>
      <c r="H105" s="30">
        <v>2.6037600000000001E-2</v>
      </c>
      <c r="I105" s="30">
        <v>0</v>
      </c>
      <c r="J105" s="31">
        <v>0.2254902</v>
      </c>
      <c r="L105" s="45" t="s">
        <v>130</v>
      </c>
      <c r="M105" s="45" t="s">
        <v>130</v>
      </c>
      <c r="N105" s="29">
        <v>285135</v>
      </c>
      <c r="O105" s="30">
        <v>5.3293000000000004E-3</v>
      </c>
      <c r="P105" s="30">
        <v>2.9197500000000001E-2</v>
      </c>
      <c r="Q105" s="30">
        <v>0</v>
      </c>
      <c r="R105" s="31">
        <v>0.4166667</v>
      </c>
      <c r="T105" s="68" t="str">
        <f t="shared" ref="T105:T115" si="10">+D105</f>
        <v>PCT_CANAL1</v>
      </c>
      <c r="U105" s="60">
        <f>+(G105-O105)/P105</f>
        <v>8.4198989639523908E-2</v>
      </c>
      <c r="V105" s="53">
        <v>0</v>
      </c>
    </row>
    <row r="106" spans="2:22" ht="23.45" customHeight="1">
      <c r="B106" s="201"/>
      <c r="C106" s="211"/>
      <c r="D106" s="46" t="s">
        <v>131</v>
      </c>
      <c r="E106" s="46" t="s">
        <v>131</v>
      </c>
      <c r="F106" s="32">
        <v>6926</v>
      </c>
      <c r="G106" s="33">
        <v>2.6844E-2</v>
      </c>
      <c r="H106" s="33">
        <v>6.3752799999999998E-2</v>
      </c>
      <c r="I106" s="33">
        <v>0</v>
      </c>
      <c r="J106" s="34">
        <v>0.66666669999999995</v>
      </c>
      <c r="L106" s="46" t="s">
        <v>131</v>
      </c>
      <c r="M106" s="46" t="s">
        <v>131</v>
      </c>
      <c r="N106" s="32">
        <v>285135</v>
      </c>
      <c r="O106" s="33">
        <v>4.1117800000000003E-2</v>
      </c>
      <c r="P106" s="33">
        <v>9.75636E-2</v>
      </c>
      <c r="Q106" s="33">
        <v>0</v>
      </c>
      <c r="R106" s="34">
        <v>0.8</v>
      </c>
      <c r="T106" s="69" t="str">
        <f t="shared" si="10"/>
        <v>PCT_CANAL2</v>
      </c>
      <c r="U106" s="61">
        <f t="shared" ref="U106:U115" si="11">+(G106-O106)/P106</f>
        <v>-0.14630251446236101</v>
      </c>
      <c r="V106" s="54">
        <v>0</v>
      </c>
    </row>
    <row r="107" spans="2:22" ht="23.45" customHeight="1">
      <c r="B107" s="201"/>
      <c r="C107" s="211"/>
      <c r="D107" s="46" t="s">
        <v>132</v>
      </c>
      <c r="E107" s="46" t="s">
        <v>132</v>
      </c>
      <c r="F107" s="32">
        <v>6926</v>
      </c>
      <c r="G107" s="33">
        <v>3.6058899999999998E-2</v>
      </c>
      <c r="H107" s="33">
        <v>7.0729799999999995E-2</v>
      </c>
      <c r="I107" s="33">
        <v>0</v>
      </c>
      <c r="J107" s="34">
        <v>0.55000000000000004</v>
      </c>
      <c r="L107" s="46" t="s">
        <v>132</v>
      </c>
      <c r="M107" s="46" t="s">
        <v>132</v>
      </c>
      <c r="N107" s="32">
        <v>285135</v>
      </c>
      <c r="O107" s="33">
        <v>3.5534999999999997E-2</v>
      </c>
      <c r="P107" s="33">
        <v>8.58878E-2</v>
      </c>
      <c r="Q107" s="33">
        <v>0</v>
      </c>
      <c r="R107" s="34">
        <v>0.58964139999999998</v>
      </c>
      <c r="T107" s="69" t="str">
        <f t="shared" si="10"/>
        <v>PCT_CANAL3</v>
      </c>
      <c r="U107" s="61">
        <f t="shared" si="11"/>
        <v>6.0998186005463027E-3</v>
      </c>
      <c r="V107" s="54">
        <v>0</v>
      </c>
    </row>
    <row r="108" spans="2:22" ht="23.45" customHeight="1">
      <c r="B108" s="201"/>
      <c r="C108" s="211"/>
      <c r="D108" s="46" t="s">
        <v>133</v>
      </c>
      <c r="E108" s="46" t="s">
        <v>133</v>
      </c>
      <c r="F108" s="32">
        <v>6926</v>
      </c>
      <c r="G108" s="33">
        <v>1.3184400000000001E-2</v>
      </c>
      <c r="H108" s="33">
        <v>7.3623599999999997E-2</v>
      </c>
      <c r="I108" s="33">
        <v>0</v>
      </c>
      <c r="J108" s="34">
        <v>0.78048779999999995</v>
      </c>
      <c r="L108" s="46" t="s">
        <v>133</v>
      </c>
      <c r="M108" s="46" t="s">
        <v>133</v>
      </c>
      <c r="N108" s="32">
        <v>285135</v>
      </c>
      <c r="O108" s="33">
        <v>9.9512199999999995E-2</v>
      </c>
      <c r="P108" s="33">
        <v>0.2434481</v>
      </c>
      <c r="Q108" s="33">
        <v>0</v>
      </c>
      <c r="R108" s="34">
        <v>0.95315680000000003</v>
      </c>
      <c r="T108" s="69" t="str">
        <f t="shared" si="10"/>
        <v>PCT_CANAL4</v>
      </c>
      <c r="U108" s="61">
        <f t="shared" si="11"/>
        <v>-0.35460453377947904</v>
      </c>
      <c r="V108" s="54">
        <v>0</v>
      </c>
    </row>
    <row r="109" spans="2:22" ht="23.45" customHeight="1">
      <c r="B109" s="201"/>
      <c r="C109" s="211"/>
      <c r="D109" s="46" t="s">
        <v>134</v>
      </c>
      <c r="E109" s="46" t="s">
        <v>134</v>
      </c>
      <c r="F109" s="32">
        <v>6926</v>
      </c>
      <c r="G109" s="33">
        <v>6.1289099999999999E-2</v>
      </c>
      <c r="H109" s="33">
        <v>0.15546399999999999</v>
      </c>
      <c r="I109" s="33">
        <v>0</v>
      </c>
      <c r="J109" s="34">
        <v>0.80666669999999996</v>
      </c>
      <c r="L109" s="46" t="s">
        <v>134</v>
      </c>
      <c r="M109" s="46" t="s">
        <v>134</v>
      </c>
      <c r="N109" s="32">
        <v>285135</v>
      </c>
      <c r="O109" s="33">
        <v>0.1100589</v>
      </c>
      <c r="P109" s="33">
        <v>0.22412850000000001</v>
      </c>
      <c r="Q109" s="33">
        <v>0</v>
      </c>
      <c r="R109" s="34">
        <v>0.95218420000000004</v>
      </c>
      <c r="T109" s="69" t="str">
        <f t="shared" si="10"/>
        <v>PCT_CANAL5</v>
      </c>
      <c r="U109" s="61">
        <f t="shared" si="11"/>
        <v>-0.21759749429456762</v>
      </c>
      <c r="V109" s="54">
        <v>0</v>
      </c>
    </row>
    <row r="110" spans="2:22" ht="23.45" customHeight="1">
      <c r="B110" s="201"/>
      <c r="C110" s="211"/>
      <c r="D110" s="46" t="s">
        <v>135</v>
      </c>
      <c r="E110" s="46" t="s">
        <v>135</v>
      </c>
      <c r="F110" s="32">
        <v>6926</v>
      </c>
      <c r="G110" s="33">
        <v>4.2044600000000001E-2</v>
      </c>
      <c r="H110" s="33">
        <v>9.9576200000000004E-2</v>
      </c>
      <c r="I110" s="33">
        <v>0</v>
      </c>
      <c r="J110" s="34">
        <v>0.50684929999999995</v>
      </c>
      <c r="L110" s="46" t="s">
        <v>135</v>
      </c>
      <c r="M110" s="46" t="s">
        <v>135</v>
      </c>
      <c r="N110" s="32">
        <v>285135</v>
      </c>
      <c r="O110" s="33">
        <v>1.12163E-2</v>
      </c>
      <c r="P110" s="33">
        <v>5.03066E-2</v>
      </c>
      <c r="Q110" s="33">
        <v>0</v>
      </c>
      <c r="R110" s="34">
        <v>0.51052629999999999</v>
      </c>
      <c r="T110" s="69" t="str">
        <f t="shared" si="10"/>
        <v>PCT_CANAL6</v>
      </c>
      <c r="U110" s="61">
        <f t="shared" si="11"/>
        <v>0.61280825975120568</v>
      </c>
      <c r="V110" s="54">
        <v>0</v>
      </c>
    </row>
    <row r="111" spans="2:22" ht="23.45" customHeight="1">
      <c r="B111" s="201"/>
      <c r="C111" s="211"/>
      <c r="D111" s="46" t="s">
        <v>136</v>
      </c>
      <c r="E111" s="46" t="s">
        <v>136</v>
      </c>
      <c r="F111" s="32">
        <v>6926</v>
      </c>
      <c r="G111" s="33">
        <v>0.23559869999999999</v>
      </c>
      <c r="H111" s="33">
        <v>0.1029183</v>
      </c>
      <c r="I111" s="33">
        <v>4.3478299999999998E-2</v>
      </c>
      <c r="J111" s="34">
        <v>0.5</v>
      </c>
      <c r="L111" s="46" t="s">
        <v>136</v>
      </c>
      <c r="M111" s="46" t="s">
        <v>136</v>
      </c>
      <c r="N111" s="32">
        <v>285135</v>
      </c>
      <c r="O111" s="33">
        <v>1.9921000000000001E-2</v>
      </c>
      <c r="P111" s="33">
        <v>4.8187399999999998E-2</v>
      </c>
      <c r="Q111" s="33">
        <v>0</v>
      </c>
      <c r="R111" s="34">
        <v>0.5</v>
      </c>
      <c r="T111" s="69" t="str">
        <f t="shared" si="10"/>
        <v>PCT_CANAL7</v>
      </c>
      <c r="U111" s="61">
        <f t="shared" si="11"/>
        <v>4.4758111041475575</v>
      </c>
      <c r="V111" s="54">
        <v>0</v>
      </c>
    </row>
    <row r="112" spans="2:22" ht="23.45" customHeight="1">
      <c r="B112" s="201"/>
      <c r="C112" s="211"/>
      <c r="D112" s="46" t="s">
        <v>137</v>
      </c>
      <c r="E112" s="46" t="s">
        <v>137</v>
      </c>
      <c r="F112" s="32">
        <v>6926</v>
      </c>
      <c r="G112" s="33">
        <v>5.64027E-2</v>
      </c>
      <c r="H112" s="33">
        <v>8.8189900000000002E-2</v>
      </c>
      <c r="I112" s="33">
        <v>0</v>
      </c>
      <c r="J112" s="34">
        <v>0.61904760000000003</v>
      </c>
      <c r="L112" s="46" t="s">
        <v>137</v>
      </c>
      <c r="M112" s="46" t="s">
        <v>137</v>
      </c>
      <c r="N112" s="32">
        <v>285135</v>
      </c>
      <c r="O112" s="33">
        <v>3.6702899999999997E-2</v>
      </c>
      <c r="P112" s="33">
        <v>9.8033800000000004E-2</v>
      </c>
      <c r="Q112" s="33">
        <v>0</v>
      </c>
      <c r="R112" s="34">
        <v>0.92857140000000005</v>
      </c>
      <c r="T112" s="69" t="str">
        <f t="shared" si="10"/>
        <v>PCT_CANAL8</v>
      </c>
      <c r="U112" s="61">
        <f t="shared" si="11"/>
        <v>0.20094906042609798</v>
      </c>
      <c r="V112" s="54">
        <v>0</v>
      </c>
    </row>
    <row r="113" spans="2:22" ht="23.45" customHeight="1">
      <c r="B113" s="201"/>
      <c r="C113" s="211"/>
      <c r="D113" s="46" t="s">
        <v>138</v>
      </c>
      <c r="E113" s="46" t="s">
        <v>138</v>
      </c>
      <c r="F113" s="32">
        <v>6926</v>
      </c>
      <c r="G113" s="33">
        <v>0.4399634</v>
      </c>
      <c r="H113" s="33">
        <v>0.24192459999999999</v>
      </c>
      <c r="I113" s="33">
        <v>0</v>
      </c>
      <c r="J113" s="34">
        <v>0.85714290000000004</v>
      </c>
      <c r="L113" s="46" t="s">
        <v>138</v>
      </c>
      <c r="M113" s="46" t="s">
        <v>138</v>
      </c>
      <c r="N113" s="32">
        <v>285135</v>
      </c>
      <c r="O113" s="33">
        <v>0.55043059999999999</v>
      </c>
      <c r="P113" s="33">
        <v>0.32089380000000001</v>
      </c>
      <c r="Q113" s="33">
        <v>0</v>
      </c>
      <c r="R113" s="34">
        <v>1</v>
      </c>
      <c r="T113" s="69" t="str">
        <f t="shared" si="10"/>
        <v>PCT_CANAL9</v>
      </c>
      <c r="U113" s="61">
        <f t="shared" si="11"/>
        <v>-0.34424847098946748</v>
      </c>
      <c r="V113" s="54">
        <v>0</v>
      </c>
    </row>
    <row r="114" spans="2:22" ht="23.45" customHeight="1">
      <c r="B114" s="201"/>
      <c r="C114" s="211"/>
      <c r="D114" s="46" t="s">
        <v>139</v>
      </c>
      <c r="E114" s="46" t="s">
        <v>139</v>
      </c>
      <c r="F114" s="32">
        <v>6926</v>
      </c>
      <c r="G114" s="33">
        <v>5.0571400000000002E-2</v>
      </c>
      <c r="H114" s="33">
        <v>0.1140504</v>
      </c>
      <c r="I114" s="33">
        <v>0</v>
      </c>
      <c r="J114" s="34">
        <v>0.58064519999999997</v>
      </c>
      <c r="L114" s="46" t="s">
        <v>139</v>
      </c>
      <c r="M114" s="46" t="s">
        <v>139</v>
      </c>
      <c r="N114" s="32">
        <v>285135</v>
      </c>
      <c r="O114" s="33">
        <v>2.06415E-2</v>
      </c>
      <c r="P114" s="33">
        <v>9.5968100000000001E-2</v>
      </c>
      <c r="Q114" s="33">
        <v>0</v>
      </c>
      <c r="R114" s="34">
        <v>0.88709680000000002</v>
      </c>
      <c r="T114" s="69" t="str">
        <f t="shared" si="10"/>
        <v>PCT_CANAL10</v>
      </c>
      <c r="U114" s="61">
        <f t="shared" si="11"/>
        <v>0.3118734246067183</v>
      </c>
      <c r="V114" s="54">
        <v>0</v>
      </c>
    </row>
    <row r="115" spans="2:22" ht="23.45" customHeight="1" thickBot="1">
      <c r="B115" s="202"/>
      <c r="C115" s="214"/>
      <c r="D115" s="47" t="s">
        <v>140</v>
      </c>
      <c r="E115" s="47" t="s">
        <v>140</v>
      </c>
      <c r="F115" s="35">
        <v>6926</v>
      </c>
      <c r="G115" s="36">
        <v>3.02551E-2</v>
      </c>
      <c r="H115" s="36">
        <v>6.4634899999999995E-2</v>
      </c>
      <c r="I115" s="36">
        <v>0</v>
      </c>
      <c r="J115" s="37">
        <v>0.54545449999999995</v>
      </c>
      <c r="L115" s="47" t="s">
        <v>140</v>
      </c>
      <c r="M115" s="47" t="s">
        <v>140</v>
      </c>
      <c r="N115" s="35">
        <v>285135</v>
      </c>
      <c r="O115" s="36">
        <v>6.9534299999999993E-2</v>
      </c>
      <c r="P115" s="36">
        <v>0.1103164</v>
      </c>
      <c r="Q115" s="36">
        <v>0</v>
      </c>
      <c r="R115" s="37">
        <v>0.63157890000000005</v>
      </c>
      <c r="T115" s="70" t="str">
        <f t="shared" si="10"/>
        <v>PCT_CANAL11</v>
      </c>
      <c r="U115" s="62">
        <f t="shared" si="11"/>
        <v>-0.35605947982348946</v>
      </c>
      <c r="V115" s="55">
        <v>0</v>
      </c>
    </row>
    <row r="116" spans="2:22" ht="23.45" customHeight="1"/>
  </sheetData>
  <mergeCells count="20">
    <mergeCell ref="B105:B115"/>
    <mergeCell ref="C105:C115"/>
    <mergeCell ref="B72:B82"/>
    <mergeCell ref="C72:C82"/>
    <mergeCell ref="B83:B93"/>
    <mergeCell ref="C83:C93"/>
    <mergeCell ref="B94:B104"/>
    <mergeCell ref="C94:C104"/>
    <mergeCell ref="B39:B49"/>
    <mergeCell ref="C39:C49"/>
    <mergeCell ref="B50:B60"/>
    <mergeCell ref="C50:C60"/>
    <mergeCell ref="B61:B71"/>
    <mergeCell ref="C61:C71"/>
    <mergeCell ref="B6:B16"/>
    <mergeCell ref="C6:C16"/>
    <mergeCell ref="B17:B27"/>
    <mergeCell ref="C17:C27"/>
    <mergeCell ref="B28:B38"/>
    <mergeCell ref="C28:C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B146"/>
  <sheetViews>
    <sheetView showGridLines="0" zoomScaleNormal="100" workbookViewId="0"/>
  </sheetViews>
  <sheetFormatPr baseColWidth="10" defaultRowHeight="15"/>
  <cols>
    <col min="1" max="1" width="5" customWidth="1"/>
    <col min="2" max="2" width="14.28515625" customWidth="1"/>
    <col min="4" max="5" width="13" bestFit="1" customWidth="1"/>
    <col min="6" max="11" width="10.85546875" customWidth="1"/>
    <col min="12" max="13" width="13" bestFit="1" customWidth="1"/>
    <col min="14" max="14" width="10.85546875" customWidth="1"/>
    <col min="19" max="19" width="6" customWidth="1"/>
    <col min="20" max="20" width="12.42578125" customWidth="1"/>
    <col min="31" max="31" width="17.28515625" customWidth="1"/>
    <col min="33" max="34" width="13" bestFit="1" customWidth="1"/>
    <col min="40" max="40" width="6.7109375" customWidth="1"/>
    <col min="41" max="41" width="9.7109375" customWidth="1"/>
    <col min="42" max="43" width="13" bestFit="1" customWidth="1"/>
    <col min="49" max="49" width="9.28515625" customWidth="1"/>
  </cols>
  <sheetData>
    <row r="3" spans="2:54">
      <c r="C3" s="22">
        <f>+C116/N6</f>
        <v>5.1049502867062974E-2</v>
      </c>
    </row>
    <row r="4" spans="2:54" ht="15.75" thickBot="1"/>
    <row r="5" spans="2:54" ht="27" thickBot="1">
      <c r="B5" s="24" t="s">
        <v>23</v>
      </c>
      <c r="C5" s="25" t="s">
        <v>18</v>
      </c>
      <c r="D5" s="48" t="s">
        <v>11</v>
      </c>
      <c r="E5" s="49" t="s">
        <v>12</v>
      </c>
      <c r="F5" s="49" t="s">
        <v>13</v>
      </c>
      <c r="G5" s="49" t="s">
        <v>14</v>
      </c>
      <c r="H5" s="49" t="s">
        <v>15</v>
      </c>
      <c r="I5" s="49" t="s">
        <v>16</v>
      </c>
      <c r="J5" s="50" t="s">
        <v>17</v>
      </c>
      <c r="L5" s="48" t="s">
        <v>11</v>
      </c>
      <c r="M5" s="49" t="s">
        <v>12</v>
      </c>
      <c r="N5" s="49" t="s">
        <v>13</v>
      </c>
      <c r="O5" s="49" t="s">
        <v>14</v>
      </c>
      <c r="P5" s="49" t="s">
        <v>15</v>
      </c>
      <c r="Q5" s="49" t="s">
        <v>16</v>
      </c>
      <c r="R5" s="50" t="s">
        <v>17</v>
      </c>
      <c r="T5" s="56" t="s">
        <v>11</v>
      </c>
      <c r="U5" s="51" t="s">
        <v>19</v>
      </c>
      <c r="V5" s="52" t="s">
        <v>20</v>
      </c>
      <c r="AE5" s="24" t="s">
        <v>51</v>
      </c>
      <c r="AF5" s="112" t="s">
        <v>18</v>
      </c>
      <c r="AG5" s="48" t="s">
        <v>11</v>
      </c>
      <c r="AH5" s="49" t="s">
        <v>12</v>
      </c>
      <c r="AI5" s="49" t="s">
        <v>13</v>
      </c>
      <c r="AJ5" s="49" t="s">
        <v>14</v>
      </c>
      <c r="AK5" s="49" t="s">
        <v>15</v>
      </c>
      <c r="AL5" s="49" t="s">
        <v>16</v>
      </c>
      <c r="AM5" s="50" t="s">
        <v>17</v>
      </c>
      <c r="AP5" s="48" t="s">
        <v>11</v>
      </c>
      <c r="AQ5" s="49" t="s">
        <v>12</v>
      </c>
      <c r="AR5" s="49" t="s">
        <v>13</v>
      </c>
      <c r="AS5" s="49" t="s">
        <v>14</v>
      </c>
      <c r="AT5" s="49" t="s">
        <v>15</v>
      </c>
      <c r="AU5" s="49" t="s">
        <v>16</v>
      </c>
      <c r="AV5" s="50" t="s">
        <v>17</v>
      </c>
      <c r="AX5" s="56" t="s">
        <v>11</v>
      </c>
      <c r="AY5" s="51" t="s">
        <v>19</v>
      </c>
      <c r="AZ5" s="52" t="s">
        <v>20</v>
      </c>
    </row>
    <row r="6" spans="2:54" ht="19.899999999999999" customHeight="1">
      <c r="B6" s="210">
        <v>1</v>
      </c>
      <c r="C6" s="210">
        <v>122317</v>
      </c>
      <c r="D6" s="45" t="s">
        <v>130</v>
      </c>
      <c r="E6" s="45" t="s">
        <v>130</v>
      </c>
      <c r="F6" s="29">
        <v>122317</v>
      </c>
      <c r="G6" s="30">
        <v>2.5319000000000001E-3</v>
      </c>
      <c r="H6" s="30">
        <v>1.1774E-2</v>
      </c>
      <c r="I6" s="30">
        <v>0</v>
      </c>
      <c r="J6" s="31">
        <v>0.122449</v>
      </c>
      <c r="L6" s="45" t="s">
        <v>130</v>
      </c>
      <c r="M6" s="45" t="s">
        <v>130</v>
      </c>
      <c r="N6" s="29">
        <v>285135</v>
      </c>
      <c r="O6" s="30">
        <v>5.3293000000000004E-3</v>
      </c>
      <c r="P6" s="30">
        <v>2.9197500000000001E-2</v>
      </c>
      <c r="Q6" s="30">
        <v>0</v>
      </c>
      <c r="R6" s="31">
        <v>0.4166667</v>
      </c>
      <c r="T6" s="68" t="s">
        <v>150</v>
      </c>
      <c r="U6" s="60">
        <f t="shared" ref="U6:U16" si="0">+(G6-O6)/P6</f>
        <v>-9.5809572737391907E-2</v>
      </c>
      <c r="V6" s="53">
        <v>0</v>
      </c>
      <c r="AE6" s="210">
        <v>1</v>
      </c>
      <c r="AF6" s="210">
        <v>122317</v>
      </c>
      <c r="AG6" s="45" t="s">
        <v>130</v>
      </c>
      <c r="AH6" s="45" t="s">
        <v>130</v>
      </c>
      <c r="AI6" s="29">
        <v>122317</v>
      </c>
      <c r="AJ6" s="30">
        <v>2.5319000000000001E-3</v>
      </c>
      <c r="AK6" s="30">
        <v>1.1774E-2</v>
      </c>
      <c r="AL6" s="30">
        <v>0</v>
      </c>
      <c r="AM6" s="31">
        <v>0.122449</v>
      </c>
      <c r="AN6" s="178">
        <f>+AJ6/AS6</f>
        <v>0.4750905372187717</v>
      </c>
      <c r="AP6" s="45" t="s">
        <v>130</v>
      </c>
      <c r="AQ6" s="45" t="s">
        <v>130</v>
      </c>
      <c r="AR6" s="29">
        <v>285135</v>
      </c>
      <c r="AS6" s="30">
        <v>5.3293000000000004E-3</v>
      </c>
      <c r="AT6" s="30">
        <v>2.9197500000000001E-2</v>
      </c>
      <c r="AU6" s="30">
        <v>0</v>
      </c>
      <c r="AV6" s="31">
        <v>0.4166667</v>
      </c>
      <c r="AX6" s="68" t="s">
        <v>150</v>
      </c>
      <c r="AY6" s="60">
        <f>+(AJ6-AS6)/AT6</f>
        <v>-9.5809572737391907E-2</v>
      </c>
      <c r="AZ6" s="53">
        <v>0</v>
      </c>
      <c r="BB6" s="113">
        <f>+AI6/AR6</f>
        <v>0.42897925544040544</v>
      </c>
    </row>
    <row r="7" spans="2:54" ht="19.899999999999999" customHeight="1">
      <c r="B7" s="211"/>
      <c r="C7" s="211"/>
      <c r="D7" s="46" t="s">
        <v>131</v>
      </c>
      <c r="E7" s="46" t="s">
        <v>131</v>
      </c>
      <c r="F7" s="32">
        <v>122317</v>
      </c>
      <c r="G7" s="33">
        <v>2.85499E-2</v>
      </c>
      <c r="H7" s="33">
        <v>4.8171400000000003E-2</v>
      </c>
      <c r="I7" s="33">
        <v>0</v>
      </c>
      <c r="J7" s="34">
        <v>0.21739130000000001</v>
      </c>
      <c r="L7" s="46" t="s">
        <v>131</v>
      </c>
      <c r="M7" s="46" t="s">
        <v>131</v>
      </c>
      <c r="N7" s="32">
        <v>285135</v>
      </c>
      <c r="O7" s="33">
        <v>4.1117800000000003E-2</v>
      </c>
      <c r="P7" s="33">
        <v>9.75636E-2</v>
      </c>
      <c r="Q7" s="33">
        <v>0</v>
      </c>
      <c r="R7" s="34">
        <v>0.8</v>
      </c>
      <c r="T7" s="69" t="s">
        <v>151</v>
      </c>
      <c r="U7" s="61">
        <f t="shared" si="0"/>
        <v>-0.12881750980898618</v>
      </c>
      <c r="V7" s="54">
        <v>0</v>
      </c>
      <c r="AE7" s="211"/>
      <c r="AF7" s="211"/>
      <c r="AG7" s="46" t="s">
        <v>131</v>
      </c>
      <c r="AH7" s="46" t="s">
        <v>131</v>
      </c>
      <c r="AI7" s="32">
        <v>122317</v>
      </c>
      <c r="AJ7" s="33">
        <v>2.85499E-2</v>
      </c>
      <c r="AK7" s="33">
        <v>4.8171400000000003E-2</v>
      </c>
      <c r="AL7" s="33">
        <v>0</v>
      </c>
      <c r="AM7" s="34">
        <v>0.21739130000000001</v>
      </c>
      <c r="AN7" s="178">
        <f t="shared" ref="AN7:AN16" si="1">+AJ7/AS7</f>
        <v>0.69434405537261223</v>
      </c>
      <c r="AP7" s="46" t="s">
        <v>131</v>
      </c>
      <c r="AQ7" s="46" t="s">
        <v>131</v>
      </c>
      <c r="AR7" s="32">
        <v>285135</v>
      </c>
      <c r="AS7" s="33">
        <v>4.1117800000000003E-2</v>
      </c>
      <c r="AT7" s="33">
        <v>9.75636E-2</v>
      </c>
      <c r="AU7" s="33">
        <v>0</v>
      </c>
      <c r="AV7" s="34">
        <v>0.8</v>
      </c>
      <c r="AX7" s="69" t="s">
        <v>151</v>
      </c>
      <c r="AY7" s="61">
        <f>+(AJ7-AS7)/AT7</f>
        <v>-0.12881750980898618</v>
      </c>
      <c r="AZ7" s="54">
        <v>0</v>
      </c>
    </row>
    <row r="8" spans="2:54" ht="19.899999999999999" customHeight="1">
      <c r="B8" s="211"/>
      <c r="C8" s="211"/>
      <c r="D8" s="46" t="s">
        <v>132</v>
      </c>
      <c r="E8" s="46" t="s">
        <v>132</v>
      </c>
      <c r="F8" s="32">
        <v>122317</v>
      </c>
      <c r="G8" s="33">
        <v>1.7683299999999999E-2</v>
      </c>
      <c r="H8" s="33">
        <v>3.5443599999999999E-2</v>
      </c>
      <c r="I8" s="33">
        <v>0</v>
      </c>
      <c r="J8" s="34">
        <v>0.18518519999999999</v>
      </c>
      <c r="L8" s="46" t="s">
        <v>132</v>
      </c>
      <c r="M8" s="46" t="s">
        <v>132</v>
      </c>
      <c r="N8" s="32">
        <v>285135</v>
      </c>
      <c r="O8" s="33">
        <v>3.5534999999999997E-2</v>
      </c>
      <c r="P8" s="33">
        <v>8.58878E-2</v>
      </c>
      <c r="Q8" s="33">
        <v>0</v>
      </c>
      <c r="R8" s="34">
        <v>0.58964139999999998</v>
      </c>
      <c r="T8" s="69" t="s">
        <v>152</v>
      </c>
      <c r="U8" s="61">
        <f t="shared" si="0"/>
        <v>-0.20784907751741222</v>
      </c>
      <c r="V8" s="54">
        <v>0</v>
      </c>
      <c r="AE8" s="211"/>
      <c r="AF8" s="211"/>
      <c r="AG8" s="46" t="s">
        <v>132</v>
      </c>
      <c r="AH8" s="46" t="s">
        <v>132</v>
      </c>
      <c r="AI8" s="32">
        <v>122317</v>
      </c>
      <c r="AJ8" s="33">
        <v>1.7683299999999999E-2</v>
      </c>
      <c r="AK8" s="33">
        <v>3.5443599999999999E-2</v>
      </c>
      <c r="AL8" s="33">
        <v>0</v>
      </c>
      <c r="AM8" s="34">
        <v>0.18518519999999999</v>
      </c>
      <c r="AN8" s="178">
        <f t="shared" si="1"/>
        <v>0.49763050513578161</v>
      </c>
      <c r="AP8" s="46" t="s">
        <v>132</v>
      </c>
      <c r="AQ8" s="46" t="s">
        <v>132</v>
      </c>
      <c r="AR8" s="32">
        <v>285135</v>
      </c>
      <c r="AS8" s="33">
        <v>3.5534999999999997E-2</v>
      </c>
      <c r="AT8" s="33">
        <v>8.58878E-2</v>
      </c>
      <c r="AU8" s="33">
        <v>0</v>
      </c>
      <c r="AV8" s="34">
        <v>0.58964139999999998</v>
      </c>
      <c r="AX8" s="69" t="s">
        <v>152</v>
      </c>
      <c r="AY8" s="61">
        <f t="shared" ref="AY8:AY16" si="2">+(AJ8-AS8)/AT8</f>
        <v>-0.20784907751741222</v>
      </c>
      <c r="AZ8" s="54">
        <v>0</v>
      </c>
    </row>
    <row r="9" spans="2:54" ht="19.899999999999999" customHeight="1">
      <c r="B9" s="211"/>
      <c r="C9" s="211"/>
      <c r="D9" s="46" t="s">
        <v>133</v>
      </c>
      <c r="E9" s="46" t="s">
        <v>133</v>
      </c>
      <c r="F9" s="32">
        <v>122317</v>
      </c>
      <c r="G9" s="33">
        <v>2.6656000000000002E-3</v>
      </c>
      <c r="H9" s="33">
        <v>2.1889700000000002E-2</v>
      </c>
      <c r="I9" s="33">
        <v>0</v>
      </c>
      <c r="J9" s="34">
        <v>0.36363640000000003</v>
      </c>
      <c r="L9" s="46" t="s">
        <v>133</v>
      </c>
      <c r="M9" s="46" t="s">
        <v>133</v>
      </c>
      <c r="N9" s="32">
        <v>285135</v>
      </c>
      <c r="O9" s="33">
        <v>9.9512199999999995E-2</v>
      </c>
      <c r="P9" s="33">
        <v>0.2434481</v>
      </c>
      <c r="Q9" s="33">
        <v>0</v>
      </c>
      <c r="R9" s="34">
        <v>0.95315680000000003</v>
      </c>
      <c r="T9" s="69" t="s">
        <v>153</v>
      </c>
      <c r="U9" s="61">
        <f t="shared" si="0"/>
        <v>-0.39781210040250875</v>
      </c>
      <c r="V9" s="54">
        <v>0</v>
      </c>
      <c r="AE9" s="211"/>
      <c r="AF9" s="211"/>
      <c r="AG9" s="46" t="s">
        <v>133</v>
      </c>
      <c r="AH9" s="46" t="s">
        <v>133</v>
      </c>
      <c r="AI9" s="32">
        <v>122317</v>
      </c>
      <c r="AJ9" s="33">
        <v>2.6656000000000002E-3</v>
      </c>
      <c r="AK9" s="33">
        <v>2.1889700000000002E-2</v>
      </c>
      <c r="AL9" s="33">
        <v>0</v>
      </c>
      <c r="AM9" s="34">
        <v>0.36363640000000003</v>
      </c>
      <c r="AN9" s="178">
        <f t="shared" si="1"/>
        <v>2.6786665353594839E-2</v>
      </c>
      <c r="AP9" s="46" t="s">
        <v>133</v>
      </c>
      <c r="AQ9" s="46" t="s">
        <v>133</v>
      </c>
      <c r="AR9" s="32">
        <v>285135</v>
      </c>
      <c r="AS9" s="33">
        <v>9.9512199999999995E-2</v>
      </c>
      <c r="AT9" s="33">
        <v>0.2434481</v>
      </c>
      <c r="AU9" s="33">
        <v>0</v>
      </c>
      <c r="AV9" s="34">
        <v>0.95315680000000003</v>
      </c>
      <c r="AX9" s="69" t="s">
        <v>153</v>
      </c>
      <c r="AY9" s="61">
        <f t="shared" si="2"/>
        <v>-0.39781210040250875</v>
      </c>
      <c r="AZ9" s="54">
        <v>0</v>
      </c>
    </row>
    <row r="10" spans="2:54" ht="19.899999999999999" customHeight="1">
      <c r="B10" s="211"/>
      <c r="C10" s="211"/>
      <c r="D10" s="46" t="s">
        <v>134</v>
      </c>
      <c r="E10" s="46" t="s">
        <v>134</v>
      </c>
      <c r="F10" s="32">
        <v>122317</v>
      </c>
      <c r="G10" s="33">
        <v>1.4470999999999999E-2</v>
      </c>
      <c r="H10" s="33">
        <v>5.2654399999999997E-2</v>
      </c>
      <c r="I10" s="33">
        <v>0</v>
      </c>
      <c r="J10" s="34">
        <v>0.3754789</v>
      </c>
      <c r="L10" s="46" t="s">
        <v>134</v>
      </c>
      <c r="M10" s="46" t="s">
        <v>134</v>
      </c>
      <c r="N10" s="32">
        <v>285135</v>
      </c>
      <c r="O10" s="33">
        <v>0.1100589</v>
      </c>
      <c r="P10" s="33">
        <v>0.22412850000000001</v>
      </c>
      <c r="Q10" s="33">
        <v>0</v>
      </c>
      <c r="R10" s="34">
        <v>0.95218420000000004</v>
      </c>
      <c r="T10" s="69" t="s">
        <v>154</v>
      </c>
      <c r="U10" s="61">
        <f t="shared" si="0"/>
        <v>-0.42648703756996542</v>
      </c>
      <c r="V10" s="54">
        <v>0</v>
      </c>
      <c r="AE10" s="211"/>
      <c r="AF10" s="211"/>
      <c r="AG10" s="46" t="s">
        <v>134</v>
      </c>
      <c r="AH10" s="46" t="s">
        <v>134</v>
      </c>
      <c r="AI10" s="32">
        <v>122317</v>
      </c>
      <c r="AJ10" s="33">
        <v>1.4470999999999999E-2</v>
      </c>
      <c r="AK10" s="33">
        <v>5.2654399999999997E-2</v>
      </c>
      <c r="AL10" s="33">
        <v>0</v>
      </c>
      <c r="AM10" s="34">
        <v>0.3754789</v>
      </c>
      <c r="AN10" s="178">
        <f t="shared" si="1"/>
        <v>0.13148414167323133</v>
      </c>
      <c r="AP10" s="46" t="s">
        <v>134</v>
      </c>
      <c r="AQ10" s="46" t="s">
        <v>134</v>
      </c>
      <c r="AR10" s="32">
        <v>285135</v>
      </c>
      <c r="AS10" s="33">
        <v>0.1100589</v>
      </c>
      <c r="AT10" s="33">
        <v>0.22412850000000001</v>
      </c>
      <c r="AU10" s="33">
        <v>0</v>
      </c>
      <c r="AV10" s="34">
        <v>0.95218420000000004</v>
      </c>
      <c r="AX10" s="69" t="s">
        <v>154</v>
      </c>
      <c r="AY10" s="61">
        <f t="shared" si="2"/>
        <v>-0.42648703756996542</v>
      </c>
      <c r="AZ10" s="54">
        <v>0</v>
      </c>
    </row>
    <row r="11" spans="2:54" ht="19.899999999999999" customHeight="1">
      <c r="B11" s="211"/>
      <c r="C11" s="211"/>
      <c r="D11" s="46" t="s">
        <v>135</v>
      </c>
      <c r="E11" s="46" t="s">
        <v>135</v>
      </c>
      <c r="F11" s="32">
        <v>122317</v>
      </c>
      <c r="G11" s="33">
        <v>1.3187000000000001E-2</v>
      </c>
      <c r="H11" s="33">
        <v>5.61725E-2</v>
      </c>
      <c r="I11" s="33">
        <v>0</v>
      </c>
      <c r="J11" s="34">
        <v>0.51020410000000005</v>
      </c>
      <c r="L11" s="46" t="s">
        <v>135</v>
      </c>
      <c r="M11" s="46" t="s">
        <v>135</v>
      </c>
      <c r="N11" s="32">
        <v>285135</v>
      </c>
      <c r="O11" s="33">
        <v>1.12163E-2</v>
      </c>
      <c r="P11" s="33">
        <v>5.03066E-2</v>
      </c>
      <c r="Q11" s="33">
        <v>0</v>
      </c>
      <c r="R11" s="34">
        <v>0.51052629999999999</v>
      </c>
      <c r="T11" s="69" t="s">
        <v>155</v>
      </c>
      <c r="U11" s="61">
        <f t="shared" si="0"/>
        <v>3.9173786342149949E-2</v>
      </c>
      <c r="V11" s="54">
        <v>0</v>
      </c>
      <c r="AE11" s="211"/>
      <c r="AF11" s="211"/>
      <c r="AG11" s="46" t="s">
        <v>135</v>
      </c>
      <c r="AH11" s="46" t="s">
        <v>135</v>
      </c>
      <c r="AI11" s="32">
        <v>122317</v>
      </c>
      <c r="AJ11" s="33">
        <v>1.3187000000000001E-2</v>
      </c>
      <c r="AK11" s="33">
        <v>5.61725E-2</v>
      </c>
      <c r="AL11" s="33">
        <v>0</v>
      </c>
      <c r="AM11" s="34">
        <v>0.51020410000000005</v>
      </c>
      <c r="AN11" s="178">
        <f t="shared" si="1"/>
        <v>1.1756996514001945</v>
      </c>
      <c r="AP11" s="46" t="s">
        <v>135</v>
      </c>
      <c r="AQ11" s="46" t="s">
        <v>135</v>
      </c>
      <c r="AR11" s="32">
        <v>285135</v>
      </c>
      <c r="AS11" s="33">
        <v>1.12163E-2</v>
      </c>
      <c r="AT11" s="33">
        <v>5.03066E-2</v>
      </c>
      <c r="AU11" s="33">
        <v>0</v>
      </c>
      <c r="AV11" s="34">
        <v>0.51052629999999999</v>
      </c>
      <c r="AX11" s="69" t="s">
        <v>155</v>
      </c>
      <c r="AY11" s="61">
        <f t="shared" si="2"/>
        <v>3.9173786342149949E-2</v>
      </c>
      <c r="AZ11" s="54">
        <v>0</v>
      </c>
    </row>
    <row r="12" spans="2:54" ht="19.899999999999999" customHeight="1">
      <c r="B12" s="211"/>
      <c r="C12" s="211"/>
      <c r="D12" s="46" t="s">
        <v>136</v>
      </c>
      <c r="E12" s="46" t="s">
        <v>136</v>
      </c>
      <c r="F12" s="32">
        <v>122317</v>
      </c>
      <c r="G12" s="33">
        <v>1.31544E-2</v>
      </c>
      <c r="H12" s="33">
        <v>2.32663E-2</v>
      </c>
      <c r="I12" s="33">
        <v>0</v>
      </c>
      <c r="J12" s="34">
        <v>0.13888890000000001</v>
      </c>
      <c r="L12" s="46" t="s">
        <v>136</v>
      </c>
      <c r="M12" s="46" t="s">
        <v>136</v>
      </c>
      <c r="N12" s="32">
        <v>285135</v>
      </c>
      <c r="O12" s="33">
        <v>1.9921000000000001E-2</v>
      </c>
      <c r="P12" s="33">
        <v>4.8187399999999998E-2</v>
      </c>
      <c r="Q12" s="33">
        <v>0</v>
      </c>
      <c r="R12" s="34">
        <v>0.5</v>
      </c>
      <c r="T12" s="69" t="s">
        <v>156</v>
      </c>
      <c r="U12" s="61">
        <f t="shared" si="0"/>
        <v>-0.14042260009878105</v>
      </c>
      <c r="V12" s="54">
        <v>0</v>
      </c>
      <c r="AE12" s="211"/>
      <c r="AF12" s="211"/>
      <c r="AG12" s="46" t="s">
        <v>136</v>
      </c>
      <c r="AH12" s="46" t="s">
        <v>136</v>
      </c>
      <c r="AI12" s="32">
        <v>122317</v>
      </c>
      <c r="AJ12" s="33">
        <v>1.31544E-2</v>
      </c>
      <c r="AK12" s="33">
        <v>2.32663E-2</v>
      </c>
      <c r="AL12" s="33">
        <v>0</v>
      </c>
      <c r="AM12" s="34">
        <v>0.13888890000000001</v>
      </c>
      <c r="AN12" s="178">
        <f t="shared" si="1"/>
        <v>0.66032829677225036</v>
      </c>
      <c r="AP12" s="46" t="s">
        <v>136</v>
      </c>
      <c r="AQ12" s="46" t="s">
        <v>136</v>
      </c>
      <c r="AR12" s="32">
        <v>285135</v>
      </c>
      <c r="AS12" s="33">
        <v>1.9921000000000001E-2</v>
      </c>
      <c r="AT12" s="33">
        <v>4.8187399999999998E-2</v>
      </c>
      <c r="AU12" s="33">
        <v>0</v>
      </c>
      <c r="AV12" s="34">
        <v>0.5</v>
      </c>
      <c r="AX12" s="69" t="s">
        <v>156</v>
      </c>
      <c r="AY12" s="61">
        <f t="shared" si="2"/>
        <v>-0.14042260009878105</v>
      </c>
      <c r="AZ12" s="54">
        <v>0</v>
      </c>
    </row>
    <row r="13" spans="2:54" ht="19.899999999999999" customHeight="1">
      <c r="B13" s="211"/>
      <c r="C13" s="211"/>
      <c r="D13" s="46" t="s">
        <v>137</v>
      </c>
      <c r="E13" s="46" t="s">
        <v>137</v>
      </c>
      <c r="F13" s="32">
        <v>122317</v>
      </c>
      <c r="G13" s="33">
        <v>2.71431E-2</v>
      </c>
      <c r="H13" s="33">
        <v>4.9559199999999998E-2</v>
      </c>
      <c r="I13" s="33">
        <v>0</v>
      </c>
      <c r="J13" s="34">
        <v>0.3015873</v>
      </c>
      <c r="L13" s="46" t="s">
        <v>137</v>
      </c>
      <c r="M13" s="46" t="s">
        <v>137</v>
      </c>
      <c r="N13" s="32">
        <v>285135</v>
      </c>
      <c r="O13" s="33">
        <v>3.6702899999999997E-2</v>
      </c>
      <c r="P13" s="33">
        <v>9.8033800000000004E-2</v>
      </c>
      <c r="Q13" s="33">
        <v>0</v>
      </c>
      <c r="R13" s="34">
        <v>0.92857140000000005</v>
      </c>
      <c r="T13" s="69" t="s">
        <v>157</v>
      </c>
      <c r="U13" s="61">
        <f t="shared" si="0"/>
        <v>-9.7515346747754306E-2</v>
      </c>
      <c r="V13" s="54">
        <v>0</v>
      </c>
      <c r="AE13" s="211"/>
      <c r="AF13" s="211"/>
      <c r="AG13" s="46" t="s">
        <v>137</v>
      </c>
      <c r="AH13" s="46" t="s">
        <v>137</v>
      </c>
      <c r="AI13" s="32">
        <v>122317</v>
      </c>
      <c r="AJ13" s="33">
        <v>2.71431E-2</v>
      </c>
      <c r="AK13" s="33">
        <v>4.9559199999999998E-2</v>
      </c>
      <c r="AL13" s="33">
        <v>0</v>
      </c>
      <c r="AM13" s="34">
        <v>0.3015873</v>
      </c>
      <c r="AN13" s="178">
        <f t="shared" si="1"/>
        <v>0.73953556803413356</v>
      </c>
      <c r="AP13" s="46" t="s">
        <v>137</v>
      </c>
      <c r="AQ13" s="46" t="s">
        <v>137</v>
      </c>
      <c r="AR13" s="32">
        <v>285135</v>
      </c>
      <c r="AS13" s="33">
        <v>3.6702899999999997E-2</v>
      </c>
      <c r="AT13" s="33">
        <v>9.8033800000000004E-2</v>
      </c>
      <c r="AU13" s="33">
        <v>0</v>
      </c>
      <c r="AV13" s="34">
        <v>0.92857140000000005</v>
      </c>
      <c r="AX13" s="69" t="s">
        <v>157</v>
      </c>
      <c r="AY13" s="61">
        <f t="shared" si="2"/>
        <v>-9.7515346747754306E-2</v>
      </c>
      <c r="AZ13" s="54">
        <v>0</v>
      </c>
    </row>
    <row r="14" spans="2:54" ht="19.899999999999999" customHeight="1">
      <c r="B14" s="211"/>
      <c r="C14" s="211"/>
      <c r="D14" s="46" t="s">
        <v>138</v>
      </c>
      <c r="E14" s="46" t="s">
        <v>138</v>
      </c>
      <c r="F14" s="32">
        <v>122317</v>
      </c>
      <c r="G14" s="33">
        <v>0.84489689999999995</v>
      </c>
      <c r="H14" s="33">
        <v>0.125973</v>
      </c>
      <c r="I14" s="33">
        <v>0.125</v>
      </c>
      <c r="J14" s="34">
        <v>1</v>
      </c>
      <c r="L14" s="46" t="s">
        <v>138</v>
      </c>
      <c r="M14" s="46" t="s">
        <v>138</v>
      </c>
      <c r="N14" s="32">
        <v>285135</v>
      </c>
      <c r="O14" s="33">
        <v>0.55043059999999999</v>
      </c>
      <c r="P14" s="33">
        <v>0.32089380000000001</v>
      </c>
      <c r="Q14" s="33">
        <v>0</v>
      </c>
      <c r="R14" s="34">
        <v>1</v>
      </c>
      <c r="T14" s="69" t="s">
        <v>158</v>
      </c>
      <c r="U14" s="61">
        <f t="shared" si="0"/>
        <v>0.91764409284317727</v>
      </c>
      <c r="V14" s="54">
        <v>0</v>
      </c>
      <c r="AE14" s="211"/>
      <c r="AF14" s="211"/>
      <c r="AG14" s="46" t="s">
        <v>138</v>
      </c>
      <c r="AH14" s="46" t="s">
        <v>138</v>
      </c>
      <c r="AI14" s="32">
        <v>122317</v>
      </c>
      <c r="AJ14" s="33">
        <v>0.84489689999999995</v>
      </c>
      <c r="AK14" s="33">
        <v>0.125973</v>
      </c>
      <c r="AL14" s="33">
        <v>0.125</v>
      </c>
      <c r="AM14" s="34">
        <v>1</v>
      </c>
      <c r="AN14" s="178">
        <f t="shared" si="1"/>
        <v>1.5349744363776285</v>
      </c>
      <c r="AP14" s="46" t="s">
        <v>138</v>
      </c>
      <c r="AQ14" s="46" t="s">
        <v>138</v>
      </c>
      <c r="AR14" s="32">
        <v>285135</v>
      </c>
      <c r="AS14" s="33">
        <v>0.55043059999999999</v>
      </c>
      <c r="AT14" s="33">
        <v>0.32089380000000001</v>
      </c>
      <c r="AU14" s="33">
        <v>0</v>
      </c>
      <c r="AV14" s="34">
        <v>1</v>
      </c>
      <c r="AX14" s="69" t="s">
        <v>158</v>
      </c>
      <c r="AY14" s="61">
        <f t="shared" si="2"/>
        <v>0.91764409284317727</v>
      </c>
      <c r="AZ14" s="54">
        <v>0</v>
      </c>
    </row>
    <row r="15" spans="2:54" ht="19.899999999999999" customHeight="1">
      <c r="B15" s="211"/>
      <c r="C15" s="211"/>
      <c r="D15" s="46" t="s">
        <v>139</v>
      </c>
      <c r="E15" s="46" t="s">
        <v>139</v>
      </c>
      <c r="F15" s="32">
        <v>122317</v>
      </c>
      <c r="G15" s="33">
        <v>3.5376000000000001E-3</v>
      </c>
      <c r="H15" s="33">
        <v>2.4070899999999999E-2</v>
      </c>
      <c r="I15" s="33">
        <v>0</v>
      </c>
      <c r="J15" s="34">
        <v>0.3333333</v>
      </c>
      <c r="L15" s="46" t="s">
        <v>139</v>
      </c>
      <c r="M15" s="46" t="s">
        <v>139</v>
      </c>
      <c r="N15" s="32">
        <v>285135</v>
      </c>
      <c r="O15" s="33">
        <v>2.06415E-2</v>
      </c>
      <c r="P15" s="33">
        <v>9.5968100000000001E-2</v>
      </c>
      <c r="Q15" s="33">
        <v>0</v>
      </c>
      <c r="R15" s="34">
        <v>0.88709680000000002</v>
      </c>
      <c r="T15" s="69" t="s">
        <v>159</v>
      </c>
      <c r="U15" s="61">
        <f t="shared" si="0"/>
        <v>-0.17822484763166091</v>
      </c>
      <c r="V15" s="54">
        <v>0</v>
      </c>
      <c r="AE15" s="211"/>
      <c r="AF15" s="211"/>
      <c r="AG15" s="46" t="s">
        <v>139</v>
      </c>
      <c r="AH15" s="46" t="s">
        <v>139</v>
      </c>
      <c r="AI15" s="32">
        <v>122317</v>
      </c>
      <c r="AJ15" s="33">
        <v>3.5376000000000001E-3</v>
      </c>
      <c r="AK15" s="33">
        <v>2.4070899999999999E-2</v>
      </c>
      <c r="AL15" s="33">
        <v>0</v>
      </c>
      <c r="AM15" s="34">
        <v>0.3333333</v>
      </c>
      <c r="AN15" s="178">
        <f t="shared" si="1"/>
        <v>0.17138289368505197</v>
      </c>
      <c r="AP15" s="46" t="s">
        <v>139</v>
      </c>
      <c r="AQ15" s="46" t="s">
        <v>139</v>
      </c>
      <c r="AR15" s="32">
        <v>285135</v>
      </c>
      <c r="AS15" s="33">
        <v>2.06415E-2</v>
      </c>
      <c r="AT15" s="33">
        <v>9.5968100000000001E-2</v>
      </c>
      <c r="AU15" s="33">
        <v>0</v>
      </c>
      <c r="AV15" s="34">
        <v>0.88709680000000002</v>
      </c>
      <c r="AX15" s="69" t="s">
        <v>159</v>
      </c>
      <c r="AY15" s="61">
        <f t="shared" si="2"/>
        <v>-0.17822484763166091</v>
      </c>
      <c r="AZ15" s="54">
        <v>0</v>
      </c>
    </row>
    <row r="16" spans="2:54" ht="19.899999999999999" customHeight="1" thickBot="1">
      <c r="B16" s="212"/>
      <c r="C16" s="212"/>
      <c r="D16" s="47" t="s">
        <v>140</v>
      </c>
      <c r="E16" s="47" t="s">
        <v>140</v>
      </c>
      <c r="F16" s="35">
        <v>122317</v>
      </c>
      <c r="G16" s="36">
        <v>3.2179399999999997E-2</v>
      </c>
      <c r="H16" s="36">
        <v>4.82005E-2</v>
      </c>
      <c r="I16" s="36">
        <v>0</v>
      </c>
      <c r="J16" s="37">
        <v>0.18867919999999999</v>
      </c>
      <c r="L16" s="47" t="s">
        <v>140</v>
      </c>
      <c r="M16" s="47" t="s">
        <v>140</v>
      </c>
      <c r="N16" s="35">
        <v>285135</v>
      </c>
      <c r="O16" s="36">
        <v>6.9534299999999993E-2</v>
      </c>
      <c r="P16" s="36">
        <v>0.1103164</v>
      </c>
      <c r="Q16" s="36">
        <v>0</v>
      </c>
      <c r="R16" s="37">
        <v>0.63157890000000005</v>
      </c>
      <c r="T16" s="70" t="s">
        <v>160</v>
      </c>
      <c r="U16" s="62">
        <f t="shared" si="0"/>
        <v>-0.33861601720143153</v>
      </c>
      <c r="V16" s="55">
        <v>0</v>
      </c>
      <c r="AE16" s="212"/>
      <c r="AF16" s="212"/>
      <c r="AG16" s="47" t="s">
        <v>140</v>
      </c>
      <c r="AH16" s="47" t="s">
        <v>140</v>
      </c>
      <c r="AI16" s="35">
        <v>122317</v>
      </c>
      <c r="AJ16" s="36">
        <v>3.2179399999999997E-2</v>
      </c>
      <c r="AK16" s="36">
        <v>4.82005E-2</v>
      </c>
      <c r="AL16" s="36">
        <v>0</v>
      </c>
      <c r="AM16" s="37">
        <v>0.18867919999999999</v>
      </c>
      <c r="AN16" s="178">
        <f t="shared" si="1"/>
        <v>0.462784553810134</v>
      </c>
      <c r="AP16" s="47" t="s">
        <v>140</v>
      </c>
      <c r="AQ16" s="47" t="s">
        <v>140</v>
      </c>
      <c r="AR16" s="35">
        <v>285135</v>
      </c>
      <c r="AS16" s="36">
        <v>6.9534299999999993E-2</v>
      </c>
      <c r="AT16" s="36">
        <v>0.1103164</v>
      </c>
      <c r="AU16" s="36">
        <v>0</v>
      </c>
      <c r="AV16" s="37">
        <v>0.63157890000000005</v>
      </c>
      <c r="AX16" s="70" t="s">
        <v>160</v>
      </c>
      <c r="AY16" s="62">
        <f t="shared" si="2"/>
        <v>-0.33861601720143153</v>
      </c>
      <c r="AZ16" s="55">
        <v>0</v>
      </c>
    </row>
    <row r="17" spans="2:54" ht="19.899999999999999" customHeight="1">
      <c r="B17" s="210">
        <v>2</v>
      </c>
      <c r="C17" s="210">
        <v>34059</v>
      </c>
      <c r="D17" s="45" t="s">
        <v>130</v>
      </c>
      <c r="E17" s="45" t="s">
        <v>130</v>
      </c>
      <c r="F17" s="29">
        <v>34059</v>
      </c>
      <c r="G17" s="30">
        <v>2.1083999999999999E-3</v>
      </c>
      <c r="H17" s="30">
        <v>9.7351999999999994E-3</v>
      </c>
      <c r="I17" s="30">
        <v>0</v>
      </c>
      <c r="J17" s="31">
        <v>0.15</v>
      </c>
      <c r="L17" s="45" t="s">
        <v>130</v>
      </c>
      <c r="M17" s="45" t="s">
        <v>130</v>
      </c>
      <c r="N17" s="29">
        <v>285135</v>
      </c>
      <c r="O17" s="30">
        <v>5.3293000000000004E-3</v>
      </c>
      <c r="P17" s="30">
        <v>2.9197500000000001E-2</v>
      </c>
      <c r="Q17" s="30">
        <v>0</v>
      </c>
      <c r="R17" s="31">
        <v>0.4166667</v>
      </c>
      <c r="T17" s="68" t="s">
        <v>150</v>
      </c>
      <c r="U17" s="61">
        <f t="shared" ref="U17:U38" si="3">+(G17-O17)/P17</f>
        <v>-0.11031423923281104</v>
      </c>
      <c r="V17" s="54">
        <v>0</v>
      </c>
      <c r="AE17" s="210">
        <v>2</v>
      </c>
      <c r="AF17" s="210">
        <v>34059</v>
      </c>
      <c r="AG17" s="45" t="s">
        <v>130</v>
      </c>
      <c r="AH17" s="45" t="s">
        <v>130</v>
      </c>
      <c r="AI17" s="29">
        <v>34059</v>
      </c>
      <c r="AJ17" s="30">
        <v>2.1083999999999999E-3</v>
      </c>
      <c r="AK17" s="30">
        <v>9.7351999999999994E-3</v>
      </c>
      <c r="AL17" s="30">
        <v>0</v>
      </c>
      <c r="AM17" s="31">
        <v>0.15</v>
      </c>
      <c r="AN17">
        <f>+AJ17/AS17-1</f>
        <v>-0.60437580920571188</v>
      </c>
      <c r="AP17" s="45" t="s">
        <v>130</v>
      </c>
      <c r="AQ17" s="45" t="s">
        <v>130</v>
      </c>
      <c r="AR17" s="29">
        <v>285135</v>
      </c>
      <c r="AS17" s="30">
        <v>5.3293000000000004E-3</v>
      </c>
      <c r="AT17" s="30">
        <v>2.9197500000000001E-2</v>
      </c>
      <c r="AU17" s="30">
        <v>0</v>
      </c>
      <c r="AV17" s="31">
        <v>0.4166667</v>
      </c>
      <c r="AX17" s="68" t="s">
        <v>150</v>
      </c>
      <c r="AY17" s="60">
        <f>+(AJ17-AS17)/AT17</f>
        <v>-0.11031423923281104</v>
      </c>
      <c r="AZ17" s="53">
        <v>0</v>
      </c>
      <c r="BB17" s="113">
        <f>+AI17/AR17</f>
        <v>0.11944868220316691</v>
      </c>
    </row>
    <row r="18" spans="2:54" ht="19.899999999999999" customHeight="1">
      <c r="B18" s="211"/>
      <c r="C18" s="211"/>
      <c r="D18" s="46" t="s">
        <v>131</v>
      </c>
      <c r="E18" s="46" t="s">
        <v>131</v>
      </c>
      <c r="F18" s="32">
        <v>34059</v>
      </c>
      <c r="G18" s="33">
        <v>2.18357E-2</v>
      </c>
      <c r="H18" s="33">
        <v>4.24333E-2</v>
      </c>
      <c r="I18" s="33">
        <v>0</v>
      </c>
      <c r="J18" s="34">
        <v>0.35555560000000003</v>
      </c>
      <c r="L18" s="46" t="s">
        <v>131</v>
      </c>
      <c r="M18" s="46" t="s">
        <v>131</v>
      </c>
      <c r="N18" s="32">
        <v>285135</v>
      </c>
      <c r="O18" s="33">
        <v>4.1117800000000003E-2</v>
      </c>
      <c r="P18" s="33">
        <v>9.75636E-2</v>
      </c>
      <c r="Q18" s="33">
        <v>0</v>
      </c>
      <c r="R18" s="34">
        <v>0.8</v>
      </c>
      <c r="T18" s="69" t="s">
        <v>151</v>
      </c>
      <c r="U18" s="61">
        <f t="shared" si="3"/>
        <v>-0.19763620858598907</v>
      </c>
      <c r="V18" s="54">
        <v>0</v>
      </c>
      <c r="AE18" s="211"/>
      <c r="AF18" s="211"/>
      <c r="AG18" s="46" t="s">
        <v>131</v>
      </c>
      <c r="AH18" s="46" t="s">
        <v>131</v>
      </c>
      <c r="AI18" s="32">
        <v>34059</v>
      </c>
      <c r="AJ18" s="33">
        <v>2.18357E-2</v>
      </c>
      <c r="AK18" s="33">
        <v>4.24333E-2</v>
      </c>
      <c r="AL18" s="33">
        <v>0</v>
      </c>
      <c r="AM18" s="34">
        <v>0.35555560000000003</v>
      </c>
      <c r="AN18">
        <f t="shared" ref="AN18:AN27" si="4">+AJ18/AS18-1</f>
        <v>-0.46894775498689134</v>
      </c>
      <c r="AP18" s="46" t="s">
        <v>131</v>
      </c>
      <c r="AQ18" s="46" t="s">
        <v>131</v>
      </c>
      <c r="AR18" s="32">
        <v>285135</v>
      </c>
      <c r="AS18" s="33">
        <v>4.1117800000000003E-2</v>
      </c>
      <c r="AT18" s="33">
        <v>9.75636E-2</v>
      </c>
      <c r="AU18" s="33">
        <v>0</v>
      </c>
      <c r="AV18" s="34">
        <v>0.8</v>
      </c>
      <c r="AX18" s="69" t="s">
        <v>151</v>
      </c>
      <c r="AY18" s="61">
        <f>+(AJ18-AS18)/AT18</f>
        <v>-0.19763620858598907</v>
      </c>
      <c r="AZ18" s="54">
        <v>0</v>
      </c>
    </row>
    <row r="19" spans="2:54" ht="19.899999999999999" customHeight="1">
      <c r="B19" s="211"/>
      <c r="C19" s="211"/>
      <c r="D19" s="46" t="s">
        <v>132</v>
      </c>
      <c r="E19" s="46" t="s">
        <v>132</v>
      </c>
      <c r="F19" s="32">
        <v>34059</v>
      </c>
      <c r="G19" s="33">
        <v>2.2510200000000001E-2</v>
      </c>
      <c r="H19" s="33">
        <v>4.3803500000000002E-2</v>
      </c>
      <c r="I19" s="33">
        <v>0</v>
      </c>
      <c r="J19" s="34">
        <v>0.35714289999999999</v>
      </c>
      <c r="L19" s="46" t="s">
        <v>132</v>
      </c>
      <c r="M19" s="46" t="s">
        <v>132</v>
      </c>
      <c r="N19" s="32">
        <v>285135</v>
      </c>
      <c r="O19" s="33">
        <v>3.5534999999999997E-2</v>
      </c>
      <c r="P19" s="33">
        <v>8.58878E-2</v>
      </c>
      <c r="Q19" s="33">
        <v>0</v>
      </c>
      <c r="R19" s="34">
        <v>0.58964139999999998</v>
      </c>
      <c r="T19" s="69" t="s">
        <v>152</v>
      </c>
      <c r="U19" s="61">
        <f t="shared" si="3"/>
        <v>-0.15164901185034424</v>
      </c>
      <c r="V19" s="54">
        <v>0</v>
      </c>
      <c r="AE19" s="211"/>
      <c r="AF19" s="211"/>
      <c r="AG19" s="46" t="s">
        <v>132</v>
      </c>
      <c r="AH19" s="46" t="s">
        <v>132</v>
      </c>
      <c r="AI19" s="32">
        <v>34059</v>
      </c>
      <c r="AJ19" s="33">
        <v>2.2510200000000001E-2</v>
      </c>
      <c r="AK19" s="33">
        <v>4.3803500000000002E-2</v>
      </c>
      <c r="AL19" s="33">
        <v>0</v>
      </c>
      <c r="AM19" s="34">
        <v>0.35714289999999999</v>
      </c>
      <c r="AN19">
        <f t="shared" si="4"/>
        <v>-0.36653440270156179</v>
      </c>
      <c r="AP19" s="46" t="s">
        <v>132</v>
      </c>
      <c r="AQ19" s="46" t="s">
        <v>132</v>
      </c>
      <c r="AR19" s="32">
        <v>285135</v>
      </c>
      <c r="AS19" s="33">
        <v>3.5534999999999997E-2</v>
      </c>
      <c r="AT19" s="33">
        <v>8.58878E-2</v>
      </c>
      <c r="AU19" s="33">
        <v>0</v>
      </c>
      <c r="AV19" s="34">
        <v>0.58964139999999998</v>
      </c>
      <c r="AX19" s="69" t="s">
        <v>152</v>
      </c>
      <c r="AY19" s="61">
        <f t="shared" ref="AY19:AY27" si="5">+(AJ19-AS19)/AT19</f>
        <v>-0.15164901185034424</v>
      </c>
      <c r="AZ19" s="54">
        <v>0</v>
      </c>
    </row>
    <row r="20" spans="2:54" ht="19.899999999999999" customHeight="1">
      <c r="B20" s="211"/>
      <c r="C20" s="211"/>
      <c r="D20" s="46" t="s">
        <v>133</v>
      </c>
      <c r="E20" s="46" t="s">
        <v>133</v>
      </c>
      <c r="F20" s="32">
        <v>34059</v>
      </c>
      <c r="G20" s="33">
        <v>1.1692900000000001E-2</v>
      </c>
      <c r="H20" s="33">
        <v>5.1927800000000003E-2</v>
      </c>
      <c r="I20" s="33">
        <v>0</v>
      </c>
      <c r="J20" s="34">
        <v>0.56475900000000001</v>
      </c>
      <c r="L20" s="46" t="s">
        <v>133</v>
      </c>
      <c r="M20" s="46" t="s">
        <v>133</v>
      </c>
      <c r="N20" s="32">
        <v>285135</v>
      </c>
      <c r="O20" s="33">
        <v>9.9512199999999995E-2</v>
      </c>
      <c r="P20" s="33">
        <v>0.2434481</v>
      </c>
      <c r="Q20" s="33">
        <v>0</v>
      </c>
      <c r="R20" s="34">
        <v>0.95315680000000003</v>
      </c>
      <c r="T20" s="69" t="s">
        <v>153</v>
      </c>
      <c r="U20" s="61">
        <f t="shared" si="3"/>
        <v>-0.3607310962788372</v>
      </c>
      <c r="V20" s="54">
        <v>0</v>
      </c>
      <c r="AE20" s="211"/>
      <c r="AF20" s="211"/>
      <c r="AG20" s="46" t="s">
        <v>133</v>
      </c>
      <c r="AH20" s="46" t="s">
        <v>133</v>
      </c>
      <c r="AI20" s="32">
        <v>34059</v>
      </c>
      <c r="AJ20" s="33">
        <v>1.1692900000000001E-2</v>
      </c>
      <c r="AK20" s="33">
        <v>5.1927800000000003E-2</v>
      </c>
      <c r="AL20" s="33">
        <v>0</v>
      </c>
      <c r="AM20" s="34">
        <v>0.56475900000000001</v>
      </c>
      <c r="AN20">
        <f t="shared" si="4"/>
        <v>-0.88249782438736157</v>
      </c>
      <c r="AP20" s="46" t="s">
        <v>133</v>
      </c>
      <c r="AQ20" s="46" t="s">
        <v>133</v>
      </c>
      <c r="AR20" s="32">
        <v>285135</v>
      </c>
      <c r="AS20" s="33">
        <v>9.9512199999999995E-2</v>
      </c>
      <c r="AT20" s="33">
        <v>0.2434481</v>
      </c>
      <c r="AU20" s="33">
        <v>0</v>
      </c>
      <c r="AV20" s="34">
        <v>0.95315680000000003</v>
      </c>
      <c r="AX20" s="69" t="s">
        <v>153</v>
      </c>
      <c r="AY20" s="61">
        <f t="shared" si="5"/>
        <v>-0.3607310962788372</v>
      </c>
      <c r="AZ20" s="54">
        <v>0</v>
      </c>
    </row>
    <row r="21" spans="2:54" ht="19.899999999999999" customHeight="1">
      <c r="B21" s="211"/>
      <c r="C21" s="211"/>
      <c r="D21" s="46" t="s">
        <v>134</v>
      </c>
      <c r="E21" s="46" t="s">
        <v>134</v>
      </c>
      <c r="F21" s="32">
        <v>34059</v>
      </c>
      <c r="G21" s="33">
        <v>4.5093399999999999E-2</v>
      </c>
      <c r="H21" s="33">
        <v>0.1004903</v>
      </c>
      <c r="I21" s="33">
        <v>0</v>
      </c>
      <c r="J21" s="34">
        <v>0.6</v>
      </c>
      <c r="L21" s="46" t="s">
        <v>134</v>
      </c>
      <c r="M21" s="46" t="s">
        <v>134</v>
      </c>
      <c r="N21" s="32">
        <v>285135</v>
      </c>
      <c r="O21" s="33">
        <v>0.1100589</v>
      </c>
      <c r="P21" s="33">
        <v>0.22412850000000001</v>
      </c>
      <c r="Q21" s="33">
        <v>0</v>
      </c>
      <c r="R21" s="34">
        <v>0.95218420000000004</v>
      </c>
      <c r="T21" s="69" t="s">
        <v>154</v>
      </c>
      <c r="U21" s="61">
        <f t="shared" si="3"/>
        <v>-0.28985827326734442</v>
      </c>
      <c r="V21" s="54">
        <v>0</v>
      </c>
      <c r="AE21" s="211"/>
      <c r="AF21" s="211"/>
      <c r="AG21" s="46" t="s">
        <v>134</v>
      </c>
      <c r="AH21" s="46" t="s">
        <v>134</v>
      </c>
      <c r="AI21" s="32">
        <v>34059</v>
      </c>
      <c r="AJ21" s="33">
        <v>4.5093399999999999E-2</v>
      </c>
      <c r="AK21" s="33">
        <v>0.1004903</v>
      </c>
      <c r="AL21" s="33">
        <v>0</v>
      </c>
      <c r="AM21" s="34">
        <v>0.6</v>
      </c>
      <c r="AN21">
        <f t="shared" si="4"/>
        <v>-0.59027938676472325</v>
      </c>
      <c r="AP21" s="46" t="s">
        <v>134</v>
      </c>
      <c r="AQ21" s="46" t="s">
        <v>134</v>
      </c>
      <c r="AR21" s="32">
        <v>285135</v>
      </c>
      <c r="AS21" s="33">
        <v>0.1100589</v>
      </c>
      <c r="AT21" s="33">
        <v>0.22412850000000001</v>
      </c>
      <c r="AU21" s="33">
        <v>0</v>
      </c>
      <c r="AV21" s="34">
        <v>0.95218420000000004</v>
      </c>
      <c r="AX21" s="69" t="s">
        <v>154</v>
      </c>
      <c r="AY21" s="61">
        <f t="shared" si="5"/>
        <v>-0.28985827326734442</v>
      </c>
      <c r="AZ21" s="54">
        <v>0</v>
      </c>
    </row>
    <row r="22" spans="2:54" ht="19.899999999999999" customHeight="1">
      <c r="B22" s="211"/>
      <c r="C22" s="211"/>
      <c r="D22" s="46" t="s">
        <v>135</v>
      </c>
      <c r="E22" s="46" t="s">
        <v>135</v>
      </c>
      <c r="F22" s="32">
        <v>34059</v>
      </c>
      <c r="G22" s="33">
        <v>1.5295700000000001E-2</v>
      </c>
      <c r="H22" s="33">
        <v>5.4897599999999998E-2</v>
      </c>
      <c r="I22" s="33">
        <v>0</v>
      </c>
      <c r="J22" s="34">
        <v>0.51052629999999999</v>
      </c>
      <c r="L22" s="46" t="s">
        <v>135</v>
      </c>
      <c r="M22" s="46" t="s">
        <v>135</v>
      </c>
      <c r="N22" s="32">
        <v>285135</v>
      </c>
      <c r="O22" s="33">
        <v>1.12163E-2</v>
      </c>
      <c r="P22" s="33">
        <v>5.03066E-2</v>
      </c>
      <c r="Q22" s="33">
        <v>0</v>
      </c>
      <c r="R22" s="34">
        <v>0.51052629999999999</v>
      </c>
      <c r="T22" s="69" t="s">
        <v>155</v>
      </c>
      <c r="U22" s="61">
        <f t="shared" si="3"/>
        <v>8.1090751511730078E-2</v>
      </c>
      <c r="V22" s="54">
        <v>0</v>
      </c>
      <c r="AE22" s="211"/>
      <c r="AF22" s="211"/>
      <c r="AG22" s="46" t="s">
        <v>135</v>
      </c>
      <c r="AH22" s="46" t="s">
        <v>135</v>
      </c>
      <c r="AI22" s="32">
        <v>34059</v>
      </c>
      <c r="AJ22" s="33">
        <v>1.5295700000000001E-2</v>
      </c>
      <c r="AK22" s="33">
        <v>5.4897599999999998E-2</v>
      </c>
      <c r="AL22" s="33">
        <v>0</v>
      </c>
      <c r="AM22" s="34">
        <v>0.51052629999999999</v>
      </c>
      <c r="AN22">
        <f t="shared" si="4"/>
        <v>0.36370282535238907</v>
      </c>
      <c r="AP22" s="46" t="s">
        <v>135</v>
      </c>
      <c r="AQ22" s="46" t="s">
        <v>135</v>
      </c>
      <c r="AR22" s="32">
        <v>285135</v>
      </c>
      <c r="AS22" s="33">
        <v>1.12163E-2</v>
      </c>
      <c r="AT22" s="33">
        <v>5.03066E-2</v>
      </c>
      <c r="AU22" s="33">
        <v>0</v>
      </c>
      <c r="AV22" s="34">
        <v>0.51052629999999999</v>
      </c>
      <c r="AX22" s="69" t="s">
        <v>155</v>
      </c>
      <c r="AY22" s="61">
        <f t="shared" si="5"/>
        <v>8.1090751511730078E-2</v>
      </c>
      <c r="AZ22" s="54">
        <v>0</v>
      </c>
    </row>
    <row r="23" spans="2:54" ht="19.899999999999999" customHeight="1">
      <c r="B23" s="211"/>
      <c r="C23" s="211"/>
      <c r="D23" s="46" t="s">
        <v>136</v>
      </c>
      <c r="E23" s="46" t="s">
        <v>136</v>
      </c>
      <c r="F23" s="32">
        <v>34059</v>
      </c>
      <c r="G23" s="33">
        <v>1.21894E-2</v>
      </c>
      <c r="H23" s="33">
        <v>2.1419500000000001E-2</v>
      </c>
      <c r="I23" s="33">
        <v>0</v>
      </c>
      <c r="J23" s="34">
        <v>0.2142857</v>
      </c>
      <c r="L23" s="46" t="s">
        <v>136</v>
      </c>
      <c r="M23" s="46" t="s">
        <v>136</v>
      </c>
      <c r="N23" s="32">
        <v>285135</v>
      </c>
      <c r="O23" s="33">
        <v>1.9921000000000001E-2</v>
      </c>
      <c r="P23" s="33">
        <v>4.8187399999999998E-2</v>
      </c>
      <c r="Q23" s="33">
        <v>0</v>
      </c>
      <c r="R23" s="34">
        <v>0.5</v>
      </c>
      <c r="T23" s="69" t="s">
        <v>156</v>
      </c>
      <c r="U23" s="61">
        <f t="shared" si="3"/>
        <v>-0.16044858199446332</v>
      </c>
      <c r="V23" s="54">
        <v>0</v>
      </c>
      <c r="AE23" s="211"/>
      <c r="AF23" s="211"/>
      <c r="AG23" s="46" t="s">
        <v>136</v>
      </c>
      <c r="AH23" s="46" t="s">
        <v>136</v>
      </c>
      <c r="AI23" s="32">
        <v>34059</v>
      </c>
      <c r="AJ23" s="33">
        <v>1.21894E-2</v>
      </c>
      <c r="AK23" s="33">
        <v>2.1419500000000001E-2</v>
      </c>
      <c r="AL23" s="33">
        <v>0</v>
      </c>
      <c r="AM23" s="34">
        <v>0.2142857</v>
      </c>
      <c r="AN23">
        <f t="shared" si="4"/>
        <v>-0.38811304653380863</v>
      </c>
      <c r="AP23" s="46" t="s">
        <v>136</v>
      </c>
      <c r="AQ23" s="46" t="s">
        <v>136</v>
      </c>
      <c r="AR23" s="32">
        <v>285135</v>
      </c>
      <c r="AS23" s="33">
        <v>1.9921000000000001E-2</v>
      </c>
      <c r="AT23" s="33">
        <v>4.8187399999999998E-2</v>
      </c>
      <c r="AU23" s="33">
        <v>0</v>
      </c>
      <c r="AV23" s="34">
        <v>0.5</v>
      </c>
      <c r="AX23" s="69" t="s">
        <v>156</v>
      </c>
      <c r="AY23" s="61">
        <f t="shared" si="5"/>
        <v>-0.16044858199446332</v>
      </c>
      <c r="AZ23" s="54">
        <v>0</v>
      </c>
    </row>
    <row r="24" spans="2:54" ht="19.899999999999999" customHeight="1">
      <c r="B24" s="211"/>
      <c r="C24" s="211"/>
      <c r="D24" s="46" t="s">
        <v>137</v>
      </c>
      <c r="E24" s="46" t="s">
        <v>137</v>
      </c>
      <c r="F24" s="32">
        <v>34059</v>
      </c>
      <c r="G24" s="33">
        <v>1.8805100000000002E-2</v>
      </c>
      <c r="H24" s="33">
        <v>3.77474E-2</v>
      </c>
      <c r="I24" s="33">
        <v>0</v>
      </c>
      <c r="J24" s="34">
        <v>0.4210526</v>
      </c>
      <c r="L24" s="46" t="s">
        <v>137</v>
      </c>
      <c r="M24" s="46" t="s">
        <v>137</v>
      </c>
      <c r="N24" s="32">
        <v>285135</v>
      </c>
      <c r="O24" s="33">
        <v>3.6702899999999997E-2</v>
      </c>
      <c r="P24" s="33">
        <v>9.8033800000000004E-2</v>
      </c>
      <c r="Q24" s="33">
        <v>0</v>
      </c>
      <c r="R24" s="34">
        <v>0.92857140000000005</v>
      </c>
      <c r="T24" s="69" t="s">
        <v>157</v>
      </c>
      <c r="U24" s="61">
        <f t="shared" si="3"/>
        <v>-0.18256764503671177</v>
      </c>
      <c r="V24" s="54">
        <v>0</v>
      </c>
      <c r="AE24" s="211"/>
      <c r="AF24" s="211"/>
      <c r="AG24" s="46" t="s">
        <v>137</v>
      </c>
      <c r="AH24" s="46" t="s">
        <v>137</v>
      </c>
      <c r="AI24" s="32">
        <v>34059</v>
      </c>
      <c r="AJ24" s="33">
        <v>1.8805100000000002E-2</v>
      </c>
      <c r="AK24" s="33">
        <v>3.77474E-2</v>
      </c>
      <c r="AL24" s="33">
        <v>0</v>
      </c>
      <c r="AM24" s="34">
        <v>0.4210526</v>
      </c>
      <c r="AN24">
        <f t="shared" si="4"/>
        <v>-0.48763994125804766</v>
      </c>
      <c r="AP24" s="46" t="s">
        <v>137</v>
      </c>
      <c r="AQ24" s="46" t="s">
        <v>137</v>
      </c>
      <c r="AR24" s="32">
        <v>285135</v>
      </c>
      <c r="AS24" s="33">
        <v>3.6702899999999997E-2</v>
      </c>
      <c r="AT24" s="33">
        <v>9.8033800000000004E-2</v>
      </c>
      <c r="AU24" s="33">
        <v>0</v>
      </c>
      <c r="AV24" s="34">
        <v>0.92857140000000005</v>
      </c>
      <c r="AX24" s="69" t="s">
        <v>157</v>
      </c>
      <c r="AY24" s="61">
        <f t="shared" si="5"/>
        <v>-0.18256764503671177</v>
      </c>
      <c r="AZ24" s="54">
        <v>0</v>
      </c>
    </row>
    <row r="25" spans="2:54" ht="19.899999999999999" customHeight="1">
      <c r="B25" s="211"/>
      <c r="C25" s="211"/>
      <c r="D25" s="46" t="s">
        <v>138</v>
      </c>
      <c r="E25" s="46" t="s">
        <v>138</v>
      </c>
      <c r="F25" s="32">
        <v>34059</v>
      </c>
      <c r="G25" s="33">
        <v>0.53106889999999995</v>
      </c>
      <c r="H25" s="33">
        <v>0.16400690000000001</v>
      </c>
      <c r="I25" s="33">
        <v>0</v>
      </c>
      <c r="J25" s="34">
        <v>0.81081080000000005</v>
      </c>
      <c r="L25" s="46" t="s">
        <v>138</v>
      </c>
      <c r="M25" s="46" t="s">
        <v>138</v>
      </c>
      <c r="N25" s="32">
        <v>285135</v>
      </c>
      <c r="O25" s="33">
        <v>0.55043059999999999</v>
      </c>
      <c r="P25" s="33">
        <v>0.32089380000000001</v>
      </c>
      <c r="Q25" s="33">
        <v>0</v>
      </c>
      <c r="R25" s="34">
        <v>1</v>
      </c>
      <c r="T25" s="69" t="s">
        <v>158</v>
      </c>
      <c r="U25" s="61">
        <f t="shared" si="3"/>
        <v>-6.0336784319298273E-2</v>
      </c>
      <c r="V25" s="54">
        <v>0</v>
      </c>
      <c r="AE25" s="211"/>
      <c r="AF25" s="211"/>
      <c r="AG25" s="46" t="s">
        <v>138</v>
      </c>
      <c r="AH25" s="46" t="s">
        <v>138</v>
      </c>
      <c r="AI25" s="32">
        <v>34059</v>
      </c>
      <c r="AJ25" s="33">
        <v>0.53106889999999995</v>
      </c>
      <c r="AK25" s="33">
        <v>0.16400690000000001</v>
      </c>
      <c r="AL25" s="33">
        <v>0</v>
      </c>
      <c r="AM25" s="34">
        <v>0.81081080000000005</v>
      </c>
      <c r="AN25">
        <f t="shared" si="4"/>
        <v>-3.5175551649926473E-2</v>
      </c>
      <c r="AP25" s="46" t="s">
        <v>138</v>
      </c>
      <c r="AQ25" s="46" t="s">
        <v>138</v>
      </c>
      <c r="AR25" s="32">
        <v>285135</v>
      </c>
      <c r="AS25" s="33">
        <v>0.55043059999999999</v>
      </c>
      <c r="AT25" s="33">
        <v>0.32089380000000001</v>
      </c>
      <c r="AU25" s="33">
        <v>0</v>
      </c>
      <c r="AV25" s="34">
        <v>1</v>
      </c>
      <c r="AX25" s="69" t="s">
        <v>158</v>
      </c>
      <c r="AY25" s="61">
        <f t="shared" si="5"/>
        <v>-6.0336784319298273E-2</v>
      </c>
      <c r="AZ25" s="54">
        <v>0</v>
      </c>
    </row>
    <row r="26" spans="2:54" ht="19.899999999999999" customHeight="1">
      <c r="B26" s="211"/>
      <c r="C26" s="211"/>
      <c r="D26" s="46" t="s">
        <v>139</v>
      </c>
      <c r="E26" s="46" t="s">
        <v>139</v>
      </c>
      <c r="F26" s="32">
        <v>34059</v>
      </c>
      <c r="G26" s="33">
        <v>6.5832E-3</v>
      </c>
      <c r="H26" s="33">
        <v>3.2267999999999998E-2</v>
      </c>
      <c r="I26" s="33">
        <v>0</v>
      </c>
      <c r="J26" s="34">
        <v>0.3787375</v>
      </c>
      <c r="L26" s="46" t="s">
        <v>139</v>
      </c>
      <c r="M26" s="46" t="s">
        <v>139</v>
      </c>
      <c r="N26" s="32">
        <v>285135</v>
      </c>
      <c r="O26" s="33">
        <v>2.06415E-2</v>
      </c>
      <c r="P26" s="33">
        <v>9.5968100000000001E-2</v>
      </c>
      <c r="Q26" s="33">
        <v>0</v>
      </c>
      <c r="R26" s="34">
        <v>0.88709680000000002</v>
      </c>
      <c r="T26" s="69" t="s">
        <v>159</v>
      </c>
      <c r="U26" s="61">
        <f t="shared" si="3"/>
        <v>-0.14648930217436834</v>
      </c>
      <c r="V26" s="54">
        <v>0</v>
      </c>
      <c r="AE26" s="211"/>
      <c r="AF26" s="211"/>
      <c r="AG26" s="46" t="s">
        <v>139</v>
      </c>
      <c r="AH26" s="46" t="s">
        <v>139</v>
      </c>
      <c r="AI26" s="32">
        <v>34059</v>
      </c>
      <c r="AJ26" s="33">
        <v>6.5832E-3</v>
      </c>
      <c r="AK26" s="33">
        <v>3.2267999999999998E-2</v>
      </c>
      <c r="AL26" s="33">
        <v>0</v>
      </c>
      <c r="AM26" s="34">
        <v>0.3787375</v>
      </c>
      <c r="AN26">
        <f t="shared" si="4"/>
        <v>-0.68106968970278325</v>
      </c>
      <c r="AP26" s="46" t="s">
        <v>139</v>
      </c>
      <c r="AQ26" s="46" t="s">
        <v>139</v>
      </c>
      <c r="AR26" s="32">
        <v>285135</v>
      </c>
      <c r="AS26" s="33">
        <v>2.06415E-2</v>
      </c>
      <c r="AT26" s="33">
        <v>9.5968100000000001E-2</v>
      </c>
      <c r="AU26" s="33">
        <v>0</v>
      </c>
      <c r="AV26" s="34">
        <v>0.88709680000000002</v>
      </c>
      <c r="AX26" s="69" t="s">
        <v>159</v>
      </c>
      <c r="AY26" s="61">
        <f t="shared" si="5"/>
        <v>-0.14648930217436834</v>
      </c>
      <c r="AZ26" s="54">
        <v>0</v>
      </c>
    </row>
    <row r="27" spans="2:54" ht="19.899999999999999" customHeight="1" thickBot="1">
      <c r="B27" s="212"/>
      <c r="C27" s="212"/>
      <c r="D27" s="47" t="s">
        <v>140</v>
      </c>
      <c r="E27" s="47" t="s">
        <v>140</v>
      </c>
      <c r="F27" s="35">
        <v>34059</v>
      </c>
      <c r="G27" s="36">
        <v>0.31281710000000001</v>
      </c>
      <c r="H27" s="36">
        <v>0.1116598</v>
      </c>
      <c r="I27" s="36">
        <v>9.4736799999999996E-2</v>
      </c>
      <c r="J27" s="37">
        <v>0.63157890000000005</v>
      </c>
      <c r="L27" s="47" t="s">
        <v>140</v>
      </c>
      <c r="M27" s="47" t="s">
        <v>140</v>
      </c>
      <c r="N27" s="35">
        <v>285135</v>
      </c>
      <c r="O27" s="36">
        <v>6.9534299999999993E-2</v>
      </c>
      <c r="P27" s="36">
        <v>0.1103164</v>
      </c>
      <c r="Q27" s="36">
        <v>0</v>
      </c>
      <c r="R27" s="37">
        <v>0.63157890000000005</v>
      </c>
      <c r="T27" s="70" t="s">
        <v>160</v>
      </c>
      <c r="U27" s="61">
        <f t="shared" si="3"/>
        <v>2.2053185201837628</v>
      </c>
      <c r="V27" s="54">
        <v>0</v>
      </c>
      <c r="AE27" s="212"/>
      <c r="AF27" s="212"/>
      <c r="AG27" s="47" t="s">
        <v>140</v>
      </c>
      <c r="AH27" s="47" t="s">
        <v>140</v>
      </c>
      <c r="AI27" s="35">
        <v>34059</v>
      </c>
      <c r="AJ27" s="36">
        <v>0.31281710000000001</v>
      </c>
      <c r="AK27" s="36">
        <v>0.1116598</v>
      </c>
      <c r="AL27" s="36">
        <v>9.4736799999999996E-2</v>
      </c>
      <c r="AM27" s="37">
        <v>0.63157890000000005</v>
      </c>
      <c r="AN27">
        <f t="shared" si="4"/>
        <v>3.4987452235803058</v>
      </c>
      <c r="AP27" s="47" t="s">
        <v>140</v>
      </c>
      <c r="AQ27" s="47" t="s">
        <v>140</v>
      </c>
      <c r="AR27" s="35">
        <v>285135</v>
      </c>
      <c r="AS27" s="36">
        <v>6.9534299999999993E-2</v>
      </c>
      <c r="AT27" s="36">
        <v>0.1103164</v>
      </c>
      <c r="AU27" s="36">
        <v>0</v>
      </c>
      <c r="AV27" s="37">
        <v>0.63157890000000005</v>
      </c>
      <c r="AX27" s="70" t="s">
        <v>160</v>
      </c>
      <c r="AY27" s="62">
        <f t="shared" si="5"/>
        <v>2.2053185201837628</v>
      </c>
      <c r="AZ27" s="55">
        <v>0</v>
      </c>
    </row>
    <row r="28" spans="2:54" ht="19.899999999999999" customHeight="1">
      <c r="B28" s="210">
        <v>3</v>
      </c>
      <c r="C28" s="210">
        <v>5864</v>
      </c>
      <c r="D28" s="45" t="s">
        <v>130</v>
      </c>
      <c r="E28" s="45" t="s">
        <v>130</v>
      </c>
      <c r="F28" s="29">
        <v>5864</v>
      </c>
      <c r="G28" s="30">
        <v>1.1239499999999999E-2</v>
      </c>
      <c r="H28" s="30">
        <v>3.2139899999999999E-2</v>
      </c>
      <c r="I28" s="30">
        <v>0</v>
      </c>
      <c r="J28" s="31">
        <v>0.22222220000000001</v>
      </c>
      <c r="L28" s="45" t="s">
        <v>130</v>
      </c>
      <c r="M28" s="45" t="s">
        <v>130</v>
      </c>
      <c r="N28" s="29">
        <v>285135</v>
      </c>
      <c r="O28" s="30">
        <v>5.3293000000000004E-3</v>
      </c>
      <c r="P28" s="30">
        <v>2.9197500000000001E-2</v>
      </c>
      <c r="Q28" s="30">
        <v>0</v>
      </c>
      <c r="R28" s="31">
        <v>0.4166667</v>
      </c>
      <c r="T28" s="68" t="s">
        <v>150</v>
      </c>
      <c r="U28" s="60">
        <f t="shared" si="3"/>
        <v>0.2024214401917972</v>
      </c>
      <c r="V28" s="53">
        <v>0</v>
      </c>
      <c r="AE28" s="210">
        <v>3</v>
      </c>
      <c r="AF28" s="210">
        <v>12765</v>
      </c>
      <c r="AG28" s="45" t="s">
        <v>130</v>
      </c>
      <c r="AH28" s="45" t="s">
        <v>130</v>
      </c>
      <c r="AI28" s="29">
        <v>12765</v>
      </c>
      <c r="AJ28" s="30">
        <v>9.3717000000000002E-3</v>
      </c>
      <c r="AK28" s="30">
        <v>2.9062000000000001E-2</v>
      </c>
      <c r="AL28" s="30">
        <v>0</v>
      </c>
      <c r="AM28" s="31">
        <v>0.2254902</v>
      </c>
      <c r="AP28" s="45" t="s">
        <v>130</v>
      </c>
      <c r="AQ28" s="45" t="s">
        <v>130</v>
      </c>
      <c r="AR28" s="29">
        <v>285135</v>
      </c>
      <c r="AS28" s="30">
        <v>5.3293000000000004E-3</v>
      </c>
      <c r="AT28" s="30">
        <v>2.9197500000000001E-2</v>
      </c>
      <c r="AU28" s="30">
        <v>0</v>
      </c>
      <c r="AV28" s="31">
        <v>0.4166667</v>
      </c>
      <c r="AX28" s="68" t="s">
        <v>150</v>
      </c>
      <c r="AY28" s="60">
        <f>+(AJ28-AS28)/AT28</f>
        <v>0.13845020977823441</v>
      </c>
      <c r="AZ28" s="53">
        <v>0</v>
      </c>
    </row>
    <row r="29" spans="2:54" ht="19.899999999999999" customHeight="1">
      <c r="B29" s="211"/>
      <c r="C29" s="211"/>
      <c r="D29" s="46" t="s">
        <v>131</v>
      </c>
      <c r="E29" s="46" t="s">
        <v>131</v>
      </c>
      <c r="F29" s="32">
        <v>5864</v>
      </c>
      <c r="G29" s="33">
        <v>2.0251000000000002E-3</v>
      </c>
      <c r="H29" s="33">
        <v>1.32237E-2</v>
      </c>
      <c r="I29" s="33">
        <v>0</v>
      </c>
      <c r="J29" s="34">
        <v>0.3658537</v>
      </c>
      <c r="L29" s="46" t="s">
        <v>131</v>
      </c>
      <c r="M29" s="46" t="s">
        <v>131</v>
      </c>
      <c r="N29" s="32">
        <v>285135</v>
      </c>
      <c r="O29" s="33">
        <v>4.1117800000000003E-2</v>
      </c>
      <c r="P29" s="33">
        <v>9.75636E-2</v>
      </c>
      <c r="Q29" s="33">
        <v>0</v>
      </c>
      <c r="R29" s="34">
        <v>0.8</v>
      </c>
      <c r="T29" s="69" t="s">
        <v>151</v>
      </c>
      <c r="U29" s="61">
        <f t="shared" si="3"/>
        <v>-0.40068939645523538</v>
      </c>
      <c r="V29" s="54">
        <v>0</v>
      </c>
      <c r="AE29" s="211"/>
      <c r="AF29" s="211"/>
      <c r="AG29" s="46" t="s">
        <v>131</v>
      </c>
      <c r="AH29" s="46" t="s">
        <v>131</v>
      </c>
      <c r="AI29" s="32">
        <v>12765</v>
      </c>
      <c r="AJ29" s="33">
        <v>1.5458899999999999E-2</v>
      </c>
      <c r="AK29" s="33">
        <v>4.93462E-2</v>
      </c>
      <c r="AL29" s="33">
        <v>0</v>
      </c>
      <c r="AM29" s="34">
        <v>0.66666669999999995</v>
      </c>
      <c r="AP29" s="46" t="s">
        <v>131</v>
      </c>
      <c r="AQ29" s="46" t="s">
        <v>131</v>
      </c>
      <c r="AR29" s="32">
        <v>285135</v>
      </c>
      <c r="AS29" s="33">
        <v>4.1117800000000003E-2</v>
      </c>
      <c r="AT29" s="33">
        <v>9.75636E-2</v>
      </c>
      <c r="AU29" s="33">
        <v>0</v>
      </c>
      <c r="AV29" s="34">
        <v>0.8</v>
      </c>
      <c r="AX29" s="69" t="s">
        <v>151</v>
      </c>
      <c r="AY29" s="61">
        <f>+(AJ29-AS29)/AT29</f>
        <v>-0.26299665039010456</v>
      </c>
      <c r="AZ29" s="54">
        <v>0</v>
      </c>
      <c r="BB29" s="113">
        <f>+AI29/AR29</f>
        <v>4.4768267662686094E-2</v>
      </c>
    </row>
    <row r="30" spans="2:54" ht="19.899999999999999" customHeight="1">
      <c r="B30" s="211"/>
      <c r="C30" s="211"/>
      <c r="D30" s="46" t="s">
        <v>132</v>
      </c>
      <c r="E30" s="46" t="s">
        <v>132</v>
      </c>
      <c r="F30" s="32">
        <v>5864</v>
      </c>
      <c r="G30" s="33">
        <v>2.0987700000000001E-2</v>
      </c>
      <c r="H30" s="33">
        <v>4.9613699999999997E-2</v>
      </c>
      <c r="I30" s="33">
        <v>0</v>
      </c>
      <c r="J30" s="34">
        <v>0.44292239999999999</v>
      </c>
      <c r="L30" s="46" t="s">
        <v>132</v>
      </c>
      <c r="M30" s="46" t="s">
        <v>132</v>
      </c>
      <c r="N30" s="32">
        <v>285135</v>
      </c>
      <c r="O30" s="33">
        <v>3.5534999999999997E-2</v>
      </c>
      <c r="P30" s="33">
        <v>8.58878E-2</v>
      </c>
      <c r="Q30" s="33">
        <v>0</v>
      </c>
      <c r="R30" s="34">
        <v>0.58964139999999998</v>
      </c>
      <c r="T30" s="69" t="s">
        <v>152</v>
      </c>
      <c r="U30" s="61">
        <f t="shared" si="3"/>
        <v>-0.16937562727185929</v>
      </c>
      <c r="V30" s="54">
        <v>0</v>
      </c>
      <c r="AE30" s="211"/>
      <c r="AF30" s="211"/>
      <c r="AG30" s="46" t="s">
        <v>132</v>
      </c>
      <c r="AH30" s="46" t="s">
        <v>132</v>
      </c>
      <c r="AI30" s="32">
        <v>12765</v>
      </c>
      <c r="AJ30" s="33">
        <v>2.9192900000000001E-2</v>
      </c>
      <c r="AK30" s="33">
        <v>6.2441499999999997E-2</v>
      </c>
      <c r="AL30" s="33">
        <v>0</v>
      </c>
      <c r="AM30" s="34">
        <v>0.55000000000000004</v>
      </c>
      <c r="AP30" s="46" t="s">
        <v>132</v>
      </c>
      <c r="AQ30" s="46" t="s">
        <v>132</v>
      </c>
      <c r="AR30" s="32">
        <v>285135</v>
      </c>
      <c r="AS30" s="33">
        <v>3.5534999999999997E-2</v>
      </c>
      <c r="AT30" s="33">
        <v>8.58878E-2</v>
      </c>
      <c r="AU30" s="33">
        <v>0</v>
      </c>
      <c r="AV30" s="34">
        <v>0.58964139999999998</v>
      </c>
      <c r="AX30" s="69" t="s">
        <v>152</v>
      </c>
      <c r="AY30" s="61">
        <f t="shared" ref="AY30:AY38" si="6">+(AJ30-AS30)/AT30</f>
        <v>-7.3841686479336949E-2</v>
      </c>
      <c r="AZ30" s="54">
        <v>0</v>
      </c>
    </row>
    <row r="31" spans="2:54" ht="19.899999999999999" customHeight="1">
      <c r="B31" s="211"/>
      <c r="C31" s="211"/>
      <c r="D31" s="46" t="s">
        <v>133</v>
      </c>
      <c r="E31" s="46" t="s">
        <v>133</v>
      </c>
      <c r="F31" s="32">
        <v>5864</v>
      </c>
      <c r="G31" s="33">
        <v>1.3412200000000001E-2</v>
      </c>
      <c r="H31" s="33">
        <v>6.2416199999999998E-2</v>
      </c>
      <c r="I31" s="33">
        <v>0</v>
      </c>
      <c r="J31" s="34">
        <v>0.59854010000000002</v>
      </c>
      <c r="L31" s="46" t="s">
        <v>133</v>
      </c>
      <c r="M31" s="46" t="s">
        <v>133</v>
      </c>
      <c r="N31" s="32">
        <v>285135</v>
      </c>
      <c r="O31" s="33">
        <v>9.9512199999999995E-2</v>
      </c>
      <c r="P31" s="33">
        <v>0.2434481</v>
      </c>
      <c r="Q31" s="33">
        <v>0</v>
      </c>
      <c r="R31" s="34">
        <v>0.95315680000000003</v>
      </c>
      <c r="T31" s="69" t="s">
        <v>153</v>
      </c>
      <c r="U31" s="61">
        <f t="shared" si="3"/>
        <v>-0.35366881072392842</v>
      </c>
      <c r="V31" s="54">
        <v>0</v>
      </c>
      <c r="AE31" s="211"/>
      <c r="AF31" s="211"/>
      <c r="AG31" s="46" t="s">
        <v>133</v>
      </c>
      <c r="AH31" s="46" t="s">
        <v>133</v>
      </c>
      <c r="AI31" s="32">
        <v>12765</v>
      </c>
      <c r="AJ31" s="33">
        <v>1.28062E-2</v>
      </c>
      <c r="AK31" s="33">
        <v>6.7484699999999995E-2</v>
      </c>
      <c r="AL31" s="33">
        <v>0</v>
      </c>
      <c r="AM31" s="34">
        <v>0.78048779999999995</v>
      </c>
      <c r="AP31" s="46" t="s">
        <v>133</v>
      </c>
      <c r="AQ31" s="46" t="s">
        <v>133</v>
      </c>
      <c r="AR31" s="32">
        <v>285135</v>
      </c>
      <c r="AS31" s="33">
        <v>9.9512199999999995E-2</v>
      </c>
      <c r="AT31" s="33">
        <v>0.2434481</v>
      </c>
      <c r="AU31" s="33">
        <v>0</v>
      </c>
      <c r="AV31" s="34">
        <v>0.95315680000000003</v>
      </c>
      <c r="AX31" s="69" t="s">
        <v>153</v>
      </c>
      <c r="AY31" s="61">
        <f t="shared" si="6"/>
        <v>-0.35615804764958114</v>
      </c>
      <c r="AZ31" s="54">
        <v>0</v>
      </c>
    </row>
    <row r="32" spans="2:54" ht="19.899999999999999" customHeight="1">
      <c r="B32" s="211"/>
      <c r="C32" s="211"/>
      <c r="D32" s="46" t="s">
        <v>134</v>
      </c>
      <c r="E32" s="46" t="s">
        <v>134</v>
      </c>
      <c r="F32" s="32">
        <v>5864</v>
      </c>
      <c r="G32" s="33">
        <v>6.9668099999999997E-2</v>
      </c>
      <c r="H32" s="33">
        <v>0.1406809</v>
      </c>
      <c r="I32" s="33">
        <v>0</v>
      </c>
      <c r="J32" s="34">
        <v>0.61840320000000004</v>
      </c>
      <c r="L32" s="46" t="s">
        <v>134</v>
      </c>
      <c r="M32" s="46" t="s">
        <v>134</v>
      </c>
      <c r="N32" s="32">
        <v>285135</v>
      </c>
      <c r="O32" s="33">
        <v>0.1100589</v>
      </c>
      <c r="P32" s="33">
        <v>0.22412850000000001</v>
      </c>
      <c r="Q32" s="33">
        <v>0</v>
      </c>
      <c r="R32" s="34">
        <v>0.95218420000000004</v>
      </c>
      <c r="T32" s="69" t="s">
        <v>154</v>
      </c>
      <c r="U32" s="61">
        <f t="shared" si="3"/>
        <v>-0.18021269048782285</v>
      </c>
      <c r="V32" s="54">
        <v>0</v>
      </c>
      <c r="AE32" s="211"/>
      <c r="AF32" s="211"/>
      <c r="AG32" s="46" t="s">
        <v>134</v>
      </c>
      <c r="AH32" s="46" t="s">
        <v>134</v>
      </c>
      <c r="AI32" s="32">
        <v>12765</v>
      </c>
      <c r="AJ32" s="33">
        <v>6.5024499999999999E-2</v>
      </c>
      <c r="AK32" s="33">
        <v>0.14884249999999999</v>
      </c>
      <c r="AL32" s="33">
        <v>0</v>
      </c>
      <c r="AM32" s="34">
        <v>0.80327870000000001</v>
      </c>
      <c r="AP32" s="46" t="s">
        <v>134</v>
      </c>
      <c r="AQ32" s="46" t="s">
        <v>134</v>
      </c>
      <c r="AR32" s="32">
        <v>285135</v>
      </c>
      <c r="AS32" s="33">
        <v>0.1100589</v>
      </c>
      <c r="AT32" s="33">
        <v>0.22412850000000001</v>
      </c>
      <c r="AU32" s="33">
        <v>0</v>
      </c>
      <c r="AV32" s="34">
        <v>0.95218420000000004</v>
      </c>
      <c r="AX32" s="69" t="s">
        <v>154</v>
      </c>
      <c r="AY32" s="61">
        <f t="shared" si="6"/>
        <v>-0.20093116225736576</v>
      </c>
      <c r="AZ32" s="54">
        <v>0</v>
      </c>
    </row>
    <row r="33" spans="2:54" ht="19.899999999999999" customHeight="1">
      <c r="B33" s="211"/>
      <c r="C33" s="211"/>
      <c r="D33" s="46" t="s">
        <v>135</v>
      </c>
      <c r="E33" s="46" t="s">
        <v>135</v>
      </c>
      <c r="F33" s="32">
        <v>5864</v>
      </c>
      <c r="G33" s="33">
        <v>3.2418999999999998E-3</v>
      </c>
      <c r="H33" s="33">
        <v>1.5665100000000001E-2</v>
      </c>
      <c r="I33" s="33">
        <v>0</v>
      </c>
      <c r="J33" s="34">
        <v>0.29333330000000002</v>
      </c>
      <c r="L33" s="46" t="s">
        <v>135</v>
      </c>
      <c r="M33" s="46" t="s">
        <v>135</v>
      </c>
      <c r="N33" s="32">
        <v>285135</v>
      </c>
      <c r="O33" s="33">
        <v>1.12163E-2</v>
      </c>
      <c r="P33" s="33">
        <v>5.03066E-2</v>
      </c>
      <c r="Q33" s="33">
        <v>0</v>
      </c>
      <c r="R33" s="34">
        <v>0.51052629999999999</v>
      </c>
      <c r="T33" s="69" t="s">
        <v>155</v>
      </c>
      <c r="U33" s="61">
        <f t="shared" si="3"/>
        <v>-0.15851598001057515</v>
      </c>
      <c r="V33" s="54">
        <v>0</v>
      </c>
      <c r="AE33" s="211"/>
      <c r="AF33" s="211"/>
      <c r="AG33" s="46" t="s">
        <v>135</v>
      </c>
      <c r="AH33" s="46" t="s">
        <v>135</v>
      </c>
      <c r="AI33" s="32">
        <v>12765</v>
      </c>
      <c r="AJ33" s="33">
        <v>2.4235300000000001E-2</v>
      </c>
      <c r="AK33" s="33">
        <v>7.6505799999999999E-2</v>
      </c>
      <c r="AL33" s="33">
        <v>0</v>
      </c>
      <c r="AM33" s="34">
        <v>0.50684929999999995</v>
      </c>
      <c r="AP33" s="46" t="s">
        <v>135</v>
      </c>
      <c r="AQ33" s="46" t="s">
        <v>135</v>
      </c>
      <c r="AR33" s="32">
        <v>285135</v>
      </c>
      <c r="AS33" s="33">
        <v>1.12163E-2</v>
      </c>
      <c r="AT33" s="33">
        <v>5.03066E-2</v>
      </c>
      <c r="AU33" s="33">
        <v>0</v>
      </c>
      <c r="AV33" s="34">
        <v>0.51052629999999999</v>
      </c>
      <c r="AX33" s="69" t="s">
        <v>155</v>
      </c>
      <c r="AY33" s="61">
        <f t="shared" si="6"/>
        <v>0.2587930808283605</v>
      </c>
      <c r="AZ33" s="54">
        <v>0</v>
      </c>
    </row>
    <row r="34" spans="2:54" ht="19.899999999999999" customHeight="1">
      <c r="B34" s="211"/>
      <c r="C34" s="211"/>
      <c r="D34" s="46" t="s">
        <v>136</v>
      </c>
      <c r="E34" s="46" t="s">
        <v>136</v>
      </c>
      <c r="F34" s="32">
        <v>5864</v>
      </c>
      <c r="G34" s="33">
        <v>8.3458099999999993E-2</v>
      </c>
      <c r="H34" s="33">
        <v>8.9357500000000006E-2</v>
      </c>
      <c r="I34" s="33">
        <v>0</v>
      </c>
      <c r="J34" s="34">
        <v>0.4166667</v>
      </c>
      <c r="L34" s="46" t="s">
        <v>136</v>
      </c>
      <c r="M34" s="46" t="s">
        <v>136</v>
      </c>
      <c r="N34" s="32">
        <v>285135</v>
      </c>
      <c r="O34" s="33">
        <v>1.9921000000000001E-2</v>
      </c>
      <c r="P34" s="33">
        <v>4.8187399999999998E-2</v>
      </c>
      <c r="Q34" s="33">
        <v>0</v>
      </c>
      <c r="R34" s="34">
        <v>0.5</v>
      </c>
      <c r="T34" s="69" t="s">
        <v>156</v>
      </c>
      <c r="U34" s="61">
        <f t="shared" si="3"/>
        <v>1.3185417764809886</v>
      </c>
      <c r="V34" s="54">
        <v>0</v>
      </c>
      <c r="AE34" s="211"/>
      <c r="AF34" s="211"/>
      <c r="AG34" s="46" t="s">
        <v>136</v>
      </c>
      <c r="AH34" s="46" t="s">
        <v>136</v>
      </c>
      <c r="AI34" s="32">
        <v>12765</v>
      </c>
      <c r="AJ34" s="33">
        <v>0.16591500000000001</v>
      </c>
      <c r="AK34" s="33">
        <v>0.123165</v>
      </c>
      <c r="AL34" s="33">
        <v>0</v>
      </c>
      <c r="AM34" s="34">
        <v>0.5</v>
      </c>
      <c r="AP34" s="46" t="s">
        <v>136</v>
      </c>
      <c r="AQ34" s="46" t="s">
        <v>136</v>
      </c>
      <c r="AR34" s="32">
        <v>285135</v>
      </c>
      <c r="AS34" s="33">
        <v>1.9921000000000001E-2</v>
      </c>
      <c r="AT34" s="33">
        <v>4.8187399999999998E-2</v>
      </c>
      <c r="AU34" s="33">
        <v>0</v>
      </c>
      <c r="AV34" s="34">
        <v>0.5</v>
      </c>
      <c r="AX34" s="69" t="s">
        <v>156</v>
      </c>
      <c r="AY34" s="61">
        <f t="shared" si="6"/>
        <v>3.0297131615318529</v>
      </c>
      <c r="AZ34" s="54">
        <v>0</v>
      </c>
    </row>
    <row r="35" spans="2:54" ht="19.899999999999999" customHeight="1">
      <c r="B35" s="211"/>
      <c r="C35" s="211"/>
      <c r="D35" s="46" t="s">
        <v>137</v>
      </c>
      <c r="E35" s="46" t="s">
        <v>137</v>
      </c>
      <c r="F35" s="32">
        <v>5864</v>
      </c>
      <c r="G35" s="33">
        <v>3.8122200000000002E-2</v>
      </c>
      <c r="H35" s="33">
        <v>6.6809300000000002E-2</v>
      </c>
      <c r="I35" s="33">
        <v>0</v>
      </c>
      <c r="J35" s="34">
        <v>0.5</v>
      </c>
      <c r="L35" s="46" t="s">
        <v>137</v>
      </c>
      <c r="M35" s="46" t="s">
        <v>137</v>
      </c>
      <c r="N35" s="32">
        <v>285135</v>
      </c>
      <c r="O35" s="33">
        <v>3.6702899999999997E-2</v>
      </c>
      <c r="P35" s="33">
        <v>9.8033800000000004E-2</v>
      </c>
      <c r="Q35" s="33">
        <v>0</v>
      </c>
      <c r="R35" s="34">
        <v>0.92857140000000005</v>
      </c>
      <c r="T35" s="69" t="s">
        <v>157</v>
      </c>
      <c r="U35" s="61">
        <f t="shared" si="3"/>
        <v>1.4477659745924418E-2</v>
      </c>
      <c r="V35" s="54">
        <v>0</v>
      </c>
      <c r="AE35" s="211"/>
      <c r="AF35" s="211"/>
      <c r="AG35" s="46" t="s">
        <v>137</v>
      </c>
      <c r="AH35" s="46" t="s">
        <v>137</v>
      </c>
      <c r="AI35" s="32">
        <v>12765</v>
      </c>
      <c r="AJ35" s="33">
        <v>4.8075699999999999E-2</v>
      </c>
      <c r="AK35" s="33">
        <v>7.96824E-2</v>
      </c>
      <c r="AL35" s="33">
        <v>0</v>
      </c>
      <c r="AM35" s="34">
        <v>0.61904760000000003</v>
      </c>
      <c r="AP35" s="46" t="s">
        <v>137</v>
      </c>
      <c r="AQ35" s="46" t="s">
        <v>137</v>
      </c>
      <c r="AR35" s="32">
        <v>285135</v>
      </c>
      <c r="AS35" s="33">
        <v>3.6702899999999997E-2</v>
      </c>
      <c r="AT35" s="33">
        <v>9.8033800000000004E-2</v>
      </c>
      <c r="AU35" s="33">
        <v>0</v>
      </c>
      <c r="AV35" s="34">
        <v>0.92857140000000005</v>
      </c>
      <c r="AX35" s="69" t="s">
        <v>157</v>
      </c>
      <c r="AY35" s="61">
        <f t="shared" si="6"/>
        <v>0.11600896833541087</v>
      </c>
      <c r="AZ35" s="54">
        <v>0</v>
      </c>
    </row>
    <row r="36" spans="2:54" ht="19.899999999999999" customHeight="1">
      <c r="B36" s="211"/>
      <c r="C36" s="211"/>
      <c r="D36" s="46" t="s">
        <v>138</v>
      </c>
      <c r="E36" s="46" t="s">
        <v>138</v>
      </c>
      <c r="F36" s="32">
        <v>5864</v>
      </c>
      <c r="G36" s="33">
        <v>0.14335729999999999</v>
      </c>
      <c r="H36" s="33">
        <v>0.1643154</v>
      </c>
      <c r="I36" s="33">
        <v>0</v>
      </c>
      <c r="J36" s="34">
        <v>0.64285709999999996</v>
      </c>
      <c r="L36" s="46" t="s">
        <v>138</v>
      </c>
      <c r="M36" s="46" t="s">
        <v>138</v>
      </c>
      <c r="N36" s="32">
        <v>285135</v>
      </c>
      <c r="O36" s="33">
        <v>0.55043059999999999</v>
      </c>
      <c r="P36" s="33">
        <v>0.32089380000000001</v>
      </c>
      <c r="Q36" s="33">
        <v>0</v>
      </c>
      <c r="R36" s="34">
        <v>1</v>
      </c>
      <c r="T36" s="69" t="s">
        <v>158</v>
      </c>
      <c r="U36" s="61">
        <f t="shared" si="3"/>
        <v>-1.2685608135775761</v>
      </c>
      <c r="V36" s="54">
        <v>0</v>
      </c>
      <c r="AE36" s="211"/>
      <c r="AF36" s="211"/>
      <c r="AG36" s="46" t="s">
        <v>138</v>
      </c>
      <c r="AH36" s="46" t="s">
        <v>138</v>
      </c>
      <c r="AI36" s="32">
        <v>12765</v>
      </c>
      <c r="AJ36" s="33">
        <v>0.30386239999999998</v>
      </c>
      <c r="AK36" s="33">
        <v>0.25672230000000001</v>
      </c>
      <c r="AL36" s="33">
        <v>0</v>
      </c>
      <c r="AM36" s="34">
        <v>0.85714290000000004</v>
      </c>
      <c r="AP36" s="46" t="s">
        <v>138</v>
      </c>
      <c r="AQ36" s="46" t="s">
        <v>138</v>
      </c>
      <c r="AR36" s="32">
        <v>285135</v>
      </c>
      <c r="AS36" s="33">
        <v>0.55043059999999999</v>
      </c>
      <c r="AT36" s="33">
        <v>0.32089380000000001</v>
      </c>
      <c r="AU36" s="33">
        <v>0</v>
      </c>
      <c r="AV36" s="34">
        <v>1</v>
      </c>
      <c r="AX36" s="69" t="s">
        <v>158</v>
      </c>
      <c r="AY36" s="61">
        <f t="shared" si="6"/>
        <v>-0.76837944516223122</v>
      </c>
      <c r="AZ36" s="54">
        <v>0</v>
      </c>
    </row>
    <row r="37" spans="2:54" ht="19.899999999999999" customHeight="1">
      <c r="B37" s="211"/>
      <c r="C37" s="211"/>
      <c r="D37" s="46" t="s">
        <v>139</v>
      </c>
      <c r="E37" s="46" t="s">
        <v>139</v>
      </c>
      <c r="F37" s="32">
        <v>5864</v>
      </c>
      <c r="G37" s="33">
        <v>0.59722819999999999</v>
      </c>
      <c r="H37" s="33">
        <v>0.17017360000000001</v>
      </c>
      <c r="I37" s="33">
        <v>0.27777780000000002</v>
      </c>
      <c r="J37" s="34">
        <v>0.88709680000000002</v>
      </c>
      <c r="L37" s="46" t="s">
        <v>139</v>
      </c>
      <c r="M37" s="46" t="s">
        <v>139</v>
      </c>
      <c r="N37" s="32">
        <v>285135</v>
      </c>
      <c r="O37" s="33">
        <v>2.06415E-2</v>
      </c>
      <c r="P37" s="33">
        <v>9.5968100000000001E-2</v>
      </c>
      <c r="Q37" s="33">
        <v>0</v>
      </c>
      <c r="R37" s="34">
        <v>0.88709680000000002</v>
      </c>
      <c r="T37" s="69" t="s">
        <v>159</v>
      </c>
      <c r="U37" s="61">
        <f t="shared" si="3"/>
        <v>6.0081079025217754</v>
      </c>
      <c r="V37" s="54">
        <v>0</v>
      </c>
      <c r="AE37" s="211"/>
      <c r="AF37" s="211"/>
      <c r="AG37" s="46" t="s">
        <v>139</v>
      </c>
      <c r="AH37" s="46" t="s">
        <v>139</v>
      </c>
      <c r="AI37" s="32">
        <v>12765</v>
      </c>
      <c r="AJ37" s="33">
        <v>0.3017727</v>
      </c>
      <c r="AK37" s="33">
        <v>0.30747380000000002</v>
      </c>
      <c r="AL37" s="33">
        <v>0</v>
      </c>
      <c r="AM37" s="34">
        <v>0.88709680000000002</v>
      </c>
      <c r="AP37" s="46" t="s">
        <v>139</v>
      </c>
      <c r="AQ37" s="46" t="s">
        <v>139</v>
      </c>
      <c r="AR37" s="32">
        <v>285135</v>
      </c>
      <c r="AS37" s="33">
        <v>2.06415E-2</v>
      </c>
      <c r="AT37" s="33">
        <v>9.5968100000000001E-2</v>
      </c>
      <c r="AU37" s="33">
        <v>0</v>
      </c>
      <c r="AV37" s="34">
        <v>0.88709680000000002</v>
      </c>
      <c r="AX37" s="69" t="s">
        <v>159</v>
      </c>
      <c r="AY37" s="61">
        <f t="shared" si="6"/>
        <v>2.9294234229915985</v>
      </c>
      <c r="AZ37" s="54">
        <v>0</v>
      </c>
    </row>
    <row r="38" spans="2:54" ht="19.899999999999999" customHeight="1" thickBot="1">
      <c r="B38" s="212"/>
      <c r="C38" s="212"/>
      <c r="D38" s="47" t="s">
        <v>140</v>
      </c>
      <c r="E38" s="47" t="s">
        <v>140</v>
      </c>
      <c r="F38" s="35">
        <v>5864</v>
      </c>
      <c r="G38" s="36">
        <v>1.7259699999999999E-2</v>
      </c>
      <c r="H38" s="36">
        <v>4.7256199999999998E-2</v>
      </c>
      <c r="I38" s="36">
        <v>0</v>
      </c>
      <c r="J38" s="37">
        <v>0.46753250000000002</v>
      </c>
      <c r="L38" s="47" t="s">
        <v>140</v>
      </c>
      <c r="M38" s="47" t="s">
        <v>140</v>
      </c>
      <c r="N38" s="35">
        <v>285135</v>
      </c>
      <c r="O38" s="36">
        <v>6.9534299999999993E-2</v>
      </c>
      <c r="P38" s="36">
        <v>0.1103164</v>
      </c>
      <c r="Q38" s="36">
        <v>0</v>
      </c>
      <c r="R38" s="37">
        <v>0.63157890000000005</v>
      </c>
      <c r="T38" s="70" t="s">
        <v>160</v>
      </c>
      <c r="U38" s="62">
        <f t="shared" si="3"/>
        <v>-0.47386064084759832</v>
      </c>
      <c r="V38" s="55">
        <v>0</v>
      </c>
      <c r="AE38" s="212"/>
      <c r="AF38" s="212"/>
      <c r="AG38" s="47" t="s">
        <v>140</v>
      </c>
      <c r="AH38" s="47" t="s">
        <v>140</v>
      </c>
      <c r="AI38" s="35">
        <v>12765</v>
      </c>
      <c r="AJ38" s="36">
        <v>2.42846E-2</v>
      </c>
      <c r="AK38" s="36">
        <v>5.7712600000000003E-2</v>
      </c>
      <c r="AL38" s="36">
        <v>0</v>
      </c>
      <c r="AM38" s="37">
        <v>0.54545449999999995</v>
      </c>
      <c r="AP38" s="47" t="s">
        <v>140</v>
      </c>
      <c r="AQ38" s="47" t="s">
        <v>140</v>
      </c>
      <c r="AR38" s="35">
        <v>285135</v>
      </c>
      <c r="AS38" s="36">
        <v>6.9534299999999993E-2</v>
      </c>
      <c r="AT38" s="36">
        <v>0.1103164</v>
      </c>
      <c r="AU38" s="36">
        <v>0</v>
      </c>
      <c r="AV38" s="37">
        <v>0.63157890000000005</v>
      </c>
      <c r="AX38" s="70" t="s">
        <v>160</v>
      </c>
      <c r="AY38" s="62">
        <f t="shared" si="6"/>
        <v>-0.4101810791505161</v>
      </c>
      <c r="AZ38" s="55">
        <v>0</v>
      </c>
    </row>
    <row r="39" spans="2:54" ht="22.15" customHeight="1">
      <c r="B39" s="210">
        <v>4</v>
      </c>
      <c r="C39" s="210">
        <v>14575</v>
      </c>
      <c r="D39" s="45" t="s">
        <v>130</v>
      </c>
      <c r="E39" s="45" t="s">
        <v>130</v>
      </c>
      <c r="F39" s="29">
        <v>14575</v>
      </c>
      <c r="G39" s="30">
        <v>3.1900000000000001E-3</v>
      </c>
      <c r="H39" s="30">
        <v>1.4589400000000001E-2</v>
      </c>
      <c r="I39" s="30">
        <v>0</v>
      </c>
      <c r="J39" s="31">
        <v>0.1842105</v>
      </c>
      <c r="L39" s="45" t="s">
        <v>130</v>
      </c>
      <c r="M39" s="45" t="s">
        <v>130</v>
      </c>
      <c r="N39" s="29">
        <v>285135</v>
      </c>
      <c r="O39" s="30">
        <v>5.3293000000000004E-3</v>
      </c>
      <c r="P39" s="30">
        <v>2.9197500000000001E-2</v>
      </c>
      <c r="Q39" s="30">
        <v>0</v>
      </c>
      <c r="R39" s="31">
        <v>0.4166667</v>
      </c>
      <c r="T39" s="68" t="s">
        <v>150</v>
      </c>
      <c r="U39" s="60">
        <f>+(G39-O39)/P39</f>
        <v>-7.3269971744156184E-2</v>
      </c>
      <c r="V39" s="53">
        <v>0</v>
      </c>
      <c r="AE39" s="210">
        <v>4</v>
      </c>
      <c r="AF39" s="210">
        <v>17934</v>
      </c>
      <c r="AG39" s="45" t="s">
        <v>130</v>
      </c>
      <c r="AH39" s="45" t="s">
        <v>130</v>
      </c>
      <c r="AI39" s="29">
        <v>17934</v>
      </c>
      <c r="AJ39" s="30">
        <v>4.6080900000000001E-2</v>
      </c>
      <c r="AK39" s="30">
        <v>9.7129199999999999E-2</v>
      </c>
      <c r="AL39" s="30">
        <v>0</v>
      </c>
      <c r="AM39" s="31">
        <v>0.4166667</v>
      </c>
      <c r="AP39" s="45" t="s">
        <v>130</v>
      </c>
      <c r="AQ39" s="45" t="s">
        <v>130</v>
      </c>
      <c r="AR39" s="29">
        <v>285135</v>
      </c>
      <c r="AS39" s="30">
        <v>5.3293000000000004E-3</v>
      </c>
      <c r="AT39" s="30">
        <v>2.9197500000000001E-2</v>
      </c>
      <c r="AU39" s="30">
        <v>0</v>
      </c>
      <c r="AV39" s="31">
        <v>0.4166667</v>
      </c>
      <c r="AX39" s="68" t="s">
        <v>150</v>
      </c>
      <c r="AY39" s="60">
        <f>+(AJ39-AS39)/AT39</f>
        <v>1.3957222364928503</v>
      </c>
      <c r="AZ39" s="53">
        <v>0</v>
      </c>
    </row>
    <row r="40" spans="2:54" ht="22.15" customHeight="1">
      <c r="B40" s="211"/>
      <c r="C40" s="211"/>
      <c r="D40" s="46" t="s">
        <v>131</v>
      </c>
      <c r="E40" s="46" t="s">
        <v>131</v>
      </c>
      <c r="F40" s="32">
        <v>14575</v>
      </c>
      <c r="G40" s="33">
        <v>0.38118809999999997</v>
      </c>
      <c r="H40" s="33">
        <v>0.15480930000000001</v>
      </c>
      <c r="I40" s="33">
        <v>0.13457079999999999</v>
      </c>
      <c r="J40" s="34">
        <v>0.8</v>
      </c>
      <c r="L40" s="46" t="s">
        <v>131</v>
      </c>
      <c r="M40" s="46" t="s">
        <v>131</v>
      </c>
      <c r="N40" s="32">
        <v>285135</v>
      </c>
      <c r="O40" s="33">
        <v>4.1117800000000003E-2</v>
      </c>
      <c r="P40" s="33">
        <v>9.75636E-2</v>
      </c>
      <c r="Q40" s="33">
        <v>0</v>
      </c>
      <c r="R40" s="34">
        <v>0.8</v>
      </c>
      <c r="T40" s="69" t="s">
        <v>151</v>
      </c>
      <c r="U40" s="61">
        <f t="shared" ref="U40:U49" si="7">+(G40-O40)/P40</f>
        <v>3.4856268116387668</v>
      </c>
      <c r="V40" s="54">
        <v>0</v>
      </c>
      <c r="AE40" s="211"/>
      <c r="AF40" s="211"/>
      <c r="AG40" s="46" t="s">
        <v>131</v>
      </c>
      <c r="AH40" s="46" t="s">
        <v>131</v>
      </c>
      <c r="AI40" s="32">
        <v>17934</v>
      </c>
      <c r="AJ40" s="33">
        <v>0.31755050000000001</v>
      </c>
      <c r="AK40" s="33">
        <v>0.19786090000000001</v>
      </c>
      <c r="AL40" s="33">
        <v>0</v>
      </c>
      <c r="AM40" s="34">
        <v>0.8</v>
      </c>
      <c r="AP40" s="46" t="s">
        <v>131</v>
      </c>
      <c r="AQ40" s="46" t="s">
        <v>131</v>
      </c>
      <c r="AR40" s="32">
        <v>285135</v>
      </c>
      <c r="AS40" s="33">
        <v>4.1117800000000003E-2</v>
      </c>
      <c r="AT40" s="33">
        <v>9.75636E-2</v>
      </c>
      <c r="AU40" s="33">
        <v>0</v>
      </c>
      <c r="AV40" s="34">
        <v>0.8</v>
      </c>
      <c r="AX40" s="69" t="s">
        <v>151</v>
      </c>
      <c r="AY40" s="61">
        <f>+(AJ40-AS40)/AT40</f>
        <v>2.8333589576440397</v>
      </c>
      <c r="AZ40" s="54">
        <v>0</v>
      </c>
    </row>
    <row r="41" spans="2:54" ht="22.15" customHeight="1">
      <c r="B41" s="211"/>
      <c r="C41" s="211"/>
      <c r="D41" s="46" t="s">
        <v>132</v>
      </c>
      <c r="E41" s="46" t="s">
        <v>132</v>
      </c>
      <c r="F41" s="32">
        <v>14575</v>
      </c>
      <c r="G41" s="33">
        <v>2.65185E-2</v>
      </c>
      <c r="H41" s="33">
        <v>5.5312500000000001E-2</v>
      </c>
      <c r="I41" s="33">
        <v>0</v>
      </c>
      <c r="J41" s="34">
        <v>0.4479167</v>
      </c>
      <c r="L41" s="46" t="s">
        <v>132</v>
      </c>
      <c r="M41" s="46" t="s">
        <v>132</v>
      </c>
      <c r="N41" s="32">
        <v>285135</v>
      </c>
      <c r="O41" s="33">
        <v>3.5534999999999997E-2</v>
      </c>
      <c r="P41" s="33">
        <v>8.58878E-2</v>
      </c>
      <c r="Q41" s="33">
        <v>0</v>
      </c>
      <c r="R41" s="34">
        <v>0.58964139999999998</v>
      </c>
      <c r="T41" s="69" t="s">
        <v>152</v>
      </c>
      <c r="U41" s="61">
        <f t="shared" si="7"/>
        <v>-0.1049799855159871</v>
      </c>
      <c r="V41" s="54">
        <v>0</v>
      </c>
      <c r="AE41" s="211"/>
      <c r="AF41" s="211"/>
      <c r="AG41" s="46" t="s">
        <v>132</v>
      </c>
      <c r="AH41" s="46" t="s">
        <v>132</v>
      </c>
      <c r="AI41" s="32">
        <v>17934</v>
      </c>
      <c r="AJ41" s="33">
        <v>2.92654E-2</v>
      </c>
      <c r="AK41" s="33">
        <v>6.3566300000000006E-2</v>
      </c>
      <c r="AL41" s="33">
        <v>0</v>
      </c>
      <c r="AM41" s="34">
        <v>0.58823530000000002</v>
      </c>
      <c r="AP41" s="46" t="s">
        <v>132</v>
      </c>
      <c r="AQ41" s="46" t="s">
        <v>132</v>
      </c>
      <c r="AR41" s="32">
        <v>285135</v>
      </c>
      <c r="AS41" s="33">
        <v>3.5534999999999997E-2</v>
      </c>
      <c r="AT41" s="33">
        <v>8.58878E-2</v>
      </c>
      <c r="AU41" s="33">
        <v>0</v>
      </c>
      <c r="AV41" s="34">
        <v>0.58964139999999998</v>
      </c>
      <c r="AX41" s="69" t="s">
        <v>152</v>
      </c>
      <c r="AY41" s="61">
        <f t="shared" ref="AY41:AY49" si="8">+(AJ41-AS41)/AT41</f>
        <v>-7.2997561935455285E-2</v>
      </c>
      <c r="AZ41" s="54">
        <v>0</v>
      </c>
      <c r="BB41" s="113">
        <f>+AI41/AR41</f>
        <v>6.2896522699773791E-2</v>
      </c>
    </row>
    <row r="42" spans="2:54" ht="22.15" customHeight="1">
      <c r="B42" s="211"/>
      <c r="C42" s="211"/>
      <c r="D42" s="46" t="s">
        <v>133</v>
      </c>
      <c r="E42" s="46" t="s">
        <v>133</v>
      </c>
      <c r="F42" s="32">
        <v>14575</v>
      </c>
      <c r="G42" s="33">
        <v>3.1218999999999999E-3</v>
      </c>
      <c r="H42" s="33">
        <v>2.8835300000000001E-2</v>
      </c>
      <c r="I42" s="33">
        <v>0</v>
      </c>
      <c r="J42" s="34">
        <v>0.56000000000000005</v>
      </c>
      <c r="L42" s="46" t="s">
        <v>133</v>
      </c>
      <c r="M42" s="46" t="s">
        <v>133</v>
      </c>
      <c r="N42" s="32">
        <v>285135</v>
      </c>
      <c r="O42" s="33">
        <v>9.9512199999999995E-2</v>
      </c>
      <c r="P42" s="33">
        <v>0.2434481</v>
      </c>
      <c r="Q42" s="33">
        <v>0</v>
      </c>
      <c r="R42" s="34">
        <v>0.95315680000000003</v>
      </c>
      <c r="T42" s="69" t="s">
        <v>153</v>
      </c>
      <c r="U42" s="61">
        <f t="shared" si="7"/>
        <v>-0.39593777893522275</v>
      </c>
      <c r="V42" s="54">
        <v>0</v>
      </c>
      <c r="AE42" s="211"/>
      <c r="AF42" s="211"/>
      <c r="AG42" s="46" t="s">
        <v>133</v>
      </c>
      <c r="AH42" s="46" t="s">
        <v>133</v>
      </c>
      <c r="AI42" s="32">
        <v>17934</v>
      </c>
      <c r="AJ42" s="33">
        <v>3.9661000000000002E-3</v>
      </c>
      <c r="AK42" s="33">
        <v>3.6472200000000003E-2</v>
      </c>
      <c r="AL42" s="33">
        <v>0</v>
      </c>
      <c r="AM42" s="34">
        <v>0.75</v>
      </c>
      <c r="AP42" s="46" t="s">
        <v>133</v>
      </c>
      <c r="AQ42" s="46" t="s">
        <v>133</v>
      </c>
      <c r="AR42" s="32">
        <v>285135</v>
      </c>
      <c r="AS42" s="33">
        <v>9.9512199999999995E-2</v>
      </c>
      <c r="AT42" s="33">
        <v>0.2434481</v>
      </c>
      <c r="AU42" s="33">
        <v>0</v>
      </c>
      <c r="AV42" s="34">
        <v>0.95315680000000003</v>
      </c>
      <c r="AX42" s="69" t="s">
        <v>153</v>
      </c>
      <c r="AY42" s="61">
        <f t="shared" si="8"/>
        <v>-0.39247009937641736</v>
      </c>
      <c r="AZ42" s="54">
        <v>0</v>
      </c>
    </row>
    <row r="43" spans="2:54" ht="22.15" customHeight="1">
      <c r="B43" s="211"/>
      <c r="C43" s="211"/>
      <c r="D43" s="46" t="s">
        <v>134</v>
      </c>
      <c r="E43" s="46" t="s">
        <v>134</v>
      </c>
      <c r="F43" s="32">
        <v>14575</v>
      </c>
      <c r="G43" s="33">
        <v>1.44172E-2</v>
      </c>
      <c r="H43" s="33">
        <v>6.1224000000000001E-2</v>
      </c>
      <c r="I43" s="33">
        <v>0</v>
      </c>
      <c r="J43" s="34">
        <v>0.6</v>
      </c>
      <c r="L43" s="46" t="s">
        <v>134</v>
      </c>
      <c r="M43" s="46" t="s">
        <v>134</v>
      </c>
      <c r="N43" s="32">
        <v>285135</v>
      </c>
      <c r="O43" s="33">
        <v>0.1100589</v>
      </c>
      <c r="P43" s="33">
        <v>0.22412850000000001</v>
      </c>
      <c r="Q43" s="33">
        <v>0</v>
      </c>
      <c r="R43" s="34">
        <v>0.95218420000000004</v>
      </c>
      <c r="T43" s="69" t="s">
        <v>154</v>
      </c>
      <c r="U43" s="61">
        <f t="shared" si="7"/>
        <v>-0.42672707843937741</v>
      </c>
      <c r="V43" s="54">
        <v>0</v>
      </c>
      <c r="AE43" s="211"/>
      <c r="AF43" s="211"/>
      <c r="AG43" s="46" t="s">
        <v>134</v>
      </c>
      <c r="AH43" s="46" t="s">
        <v>134</v>
      </c>
      <c r="AI43" s="32">
        <v>17934</v>
      </c>
      <c r="AJ43" s="33">
        <v>1.8389099999999999E-2</v>
      </c>
      <c r="AK43" s="33">
        <v>7.6619599999999996E-2</v>
      </c>
      <c r="AL43" s="33">
        <v>0</v>
      </c>
      <c r="AM43" s="34">
        <v>0.81188119999999997</v>
      </c>
      <c r="AP43" s="46" t="s">
        <v>134</v>
      </c>
      <c r="AQ43" s="46" t="s">
        <v>134</v>
      </c>
      <c r="AR43" s="32">
        <v>285135</v>
      </c>
      <c r="AS43" s="33">
        <v>0.1100589</v>
      </c>
      <c r="AT43" s="33">
        <v>0.22412850000000001</v>
      </c>
      <c r="AU43" s="33">
        <v>0</v>
      </c>
      <c r="AV43" s="34">
        <v>0.95218420000000004</v>
      </c>
      <c r="AX43" s="69" t="s">
        <v>154</v>
      </c>
      <c r="AY43" s="61">
        <f t="shared" si="8"/>
        <v>-0.40900554815652623</v>
      </c>
      <c r="AZ43" s="54">
        <v>0</v>
      </c>
    </row>
    <row r="44" spans="2:54" ht="22.15" customHeight="1">
      <c r="B44" s="211"/>
      <c r="C44" s="211"/>
      <c r="D44" s="46" t="s">
        <v>135</v>
      </c>
      <c r="E44" s="46" t="s">
        <v>135</v>
      </c>
      <c r="F44" s="32">
        <v>14575</v>
      </c>
      <c r="G44" s="33">
        <v>2.01829E-2</v>
      </c>
      <c r="H44" s="33">
        <v>7.1443499999999993E-2</v>
      </c>
      <c r="I44" s="33">
        <v>0</v>
      </c>
      <c r="J44" s="34">
        <v>0.5027933</v>
      </c>
      <c r="L44" s="46" t="s">
        <v>135</v>
      </c>
      <c r="M44" s="46" t="s">
        <v>135</v>
      </c>
      <c r="N44" s="32">
        <v>285135</v>
      </c>
      <c r="O44" s="33">
        <v>1.12163E-2</v>
      </c>
      <c r="P44" s="33">
        <v>5.03066E-2</v>
      </c>
      <c r="Q44" s="33">
        <v>0</v>
      </c>
      <c r="R44" s="34">
        <v>0.51052629999999999</v>
      </c>
      <c r="T44" s="69" t="s">
        <v>155</v>
      </c>
      <c r="U44" s="61">
        <f t="shared" si="7"/>
        <v>0.17823903821764936</v>
      </c>
      <c r="V44" s="54">
        <v>0</v>
      </c>
      <c r="AE44" s="211"/>
      <c r="AF44" s="211"/>
      <c r="AG44" s="46" t="s">
        <v>135</v>
      </c>
      <c r="AH44" s="46" t="s">
        <v>135</v>
      </c>
      <c r="AI44" s="32">
        <v>17934</v>
      </c>
      <c r="AJ44" s="33">
        <v>1.7782200000000001E-2</v>
      </c>
      <c r="AK44" s="33">
        <v>6.6715499999999997E-2</v>
      </c>
      <c r="AL44" s="33">
        <v>0</v>
      </c>
      <c r="AM44" s="34">
        <v>0.5027933</v>
      </c>
      <c r="AP44" s="46" t="s">
        <v>135</v>
      </c>
      <c r="AQ44" s="46" t="s">
        <v>135</v>
      </c>
      <c r="AR44" s="32">
        <v>285135</v>
      </c>
      <c r="AS44" s="33">
        <v>1.12163E-2</v>
      </c>
      <c r="AT44" s="33">
        <v>5.03066E-2</v>
      </c>
      <c r="AU44" s="33">
        <v>0</v>
      </c>
      <c r="AV44" s="34">
        <v>0.51052629999999999</v>
      </c>
      <c r="AX44" s="69" t="s">
        <v>155</v>
      </c>
      <c r="AY44" s="61">
        <f t="shared" si="8"/>
        <v>0.13051766567408651</v>
      </c>
      <c r="AZ44" s="54">
        <v>0</v>
      </c>
    </row>
    <row r="45" spans="2:54" ht="22.15" customHeight="1">
      <c r="B45" s="211"/>
      <c r="C45" s="211"/>
      <c r="D45" s="46" t="s">
        <v>136</v>
      </c>
      <c r="E45" s="46" t="s">
        <v>136</v>
      </c>
      <c r="F45" s="32">
        <v>14575</v>
      </c>
      <c r="G45" s="33">
        <v>1.5988700000000002E-2</v>
      </c>
      <c r="H45" s="33">
        <v>2.9221299999999999E-2</v>
      </c>
      <c r="I45" s="33">
        <v>0</v>
      </c>
      <c r="J45" s="34">
        <v>0.25490200000000002</v>
      </c>
      <c r="L45" s="46" t="s">
        <v>136</v>
      </c>
      <c r="M45" s="46" t="s">
        <v>136</v>
      </c>
      <c r="N45" s="32">
        <v>285135</v>
      </c>
      <c r="O45" s="33">
        <v>1.9921000000000001E-2</v>
      </c>
      <c r="P45" s="33">
        <v>4.8187399999999998E-2</v>
      </c>
      <c r="Q45" s="33">
        <v>0</v>
      </c>
      <c r="R45" s="34">
        <v>0.5</v>
      </c>
      <c r="T45" s="69" t="s">
        <v>156</v>
      </c>
      <c r="U45" s="61">
        <f t="shared" si="7"/>
        <v>-8.1604319801441866E-2</v>
      </c>
      <c r="V45" s="54">
        <v>0</v>
      </c>
      <c r="AE45" s="211"/>
      <c r="AF45" s="211"/>
      <c r="AG45" s="46" t="s">
        <v>136</v>
      </c>
      <c r="AH45" s="46" t="s">
        <v>136</v>
      </c>
      <c r="AI45" s="32">
        <v>17934</v>
      </c>
      <c r="AJ45" s="33">
        <v>2.22317E-2</v>
      </c>
      <c r="AK45" s="33">
        <v>4.9376400000000001E-2</v>
      </c>
      <c r="AL45" s="33">
        <v>0</v>
      </c>
      <c r="AM45" s="34">
        <v>0.5</v>
      </c>
      <c r="AP45" s="46" t="s">
        <v>136</v>
      </c>
      <c r="AQ45" s="46" t="s">
        <v>136</v>
      </c>
      <c r="AR45" s="32">
        <v>285135</v>
      </c>
      <c r="AS45" s="33">
        <v>1.9921000000000001E-2</v>
      </c>
      <c r="AT45" s="33">
        <v>4.8187399999999998E-2</v>
      </c>
      <c r="AU45" s="33">
        <v>0</v>
      </c>
      <c r="AV45" s="34">
        <v>0.5</v>
      </c>
      <c r="AX45" s="69" t="s">
        <v>156</v>
      </c>
      <c r="AY45" s="61">
        <f t="shared" si="8"/>
        <v>4.7952369291557523E-2</v>
      </c>
      <c r="AZ45" s="54">
        <v>0</v>
      </c>
    </row>
    <row r="46" spans="2:54" ht="22.15" customHeight="1">
      <c r="B46" s="211"/>
      <c r="C46" s="211"/>
      <c r="D46" s="46" t="s">
        <v>137</v>
      </c>
      <c r="E46" s="46" t="s">
        <v>137</v>
      </c>
      <c r="F46" s="32">
        <v>14575</v>
      </c>
      <c r="G46" s="33">
        <v>2.2168400000000001E-2</v>
      </c>
      <c r="H46" s="33">
        <v>5.1576299999999999E-2</v>
      </c>
      <c r="I46" s="33">
        <v>0</v>
      </c>
      <c r="J46" s="34">
        <v>0.46153850000000002</v>
      </c>
      <c r="L46" s="46" t="s">
        <v>137</v>
      </c>
      <c r="M46" s="46" t="s">
        <v>137</v>
      </c>
      <c r="N46" s="32">
        <v>285135</v>
      </c>
      <c r="O46" s="33">
        <v>3.6702899999999997E-2</v>
      </c>
      <c r="P46" s="33">
        <v>9.8033800000000004E-2</v>
      </c>
      <c r="Q46" s="33">
        <v>0</v>
      </c>
      <c r="R46" s="34">
        <v>0.92857140000000005</v>
      </c>
      <c r="T46" s="69" t="s">
        <v>157</v>
      </c>
      <c r="U46" s="61">
        <f t="shared" si="7"/>
        <v>-0.14826008988736533</v>
      </c>
      <c r="V46" s="54">
        <v>0</v>
      </c>
      <c r="AE46" s="211"/>
      <c r="AF46" s="211"/>
      <c r="AG46" s="46" t="s">
        <v>137</v>
      </c>
      <c r="AH46" s="46" t="s">
        <v>137</v>
      </c>
      <c r="AI46" s="32">
        <v>17934</v>
      </c>
      <c r="AJ46" s="33">
        <v>2.7596200000000001E-2</v>
      </c>
      <c r="AK46" s="33">
        <v>6.4440999999999998E-2</v>
      </c>
      <c r="AL46" s="33">
        <v>0</v>
      </c>
      <c r="AM46" s="34">
        <v>0.76</v>
      </c>
      <c r="AP46" s="46" t="s">
        <v>137</v>
      </c>
      <c r="AQ46" s="46" t="s">
        <v>137</v>
      </c>
      <c r="AR46" s="32">
        <v>285135</v>
      </c>
      <c r="AS46" s="33">
        <v>3.6702899999999997E-2</v>
      </c>
      <c r="AT46" s="33">
        <v>9.8033800000000004E-2</v>
      </c>
      <c r="AU46" s="33">
        <v>0</v>
      </c>
      <c r="AV46" s="34">
        <v>0.92857140000000005</v>
      </c>
      <c r="AX46" s="69" t="s">
        <v>157</v>
      </c>
      <c r="AY46" s="61">
        <f t="shared" si="8"/>
        <v>-9.2893471435362043E-2</v>
      </c>
      <c r="AZ46" s="54">
        <v>0</v>
      </c>
    </row>
    <row r="47" spans="2:54" ht="22.15" customHeight="1">
      <c r="B47" s="211"/>
      <c r="C47" s="211"/>
      <c r="D47" s="46" t="s">
        <v>138</v>
      </c>
      <c r="E47" s="46" t="s">
        <v>138</v>
      </c>
      <c r="F47" s="32">
        <v>14575</v>
      </c>
      <c r="G47" s="33">
        <v>0.48573230000000001</v>
      </c>
      <c r="H47" s="33">
        <v>0.18788779999999999</v>
      </c>
      <c r="I47" s="33">
        <v>0</v>
      </c>
      <c r="J47" s="34">
        <v>0.78217820000000005</v>
      </c>
      <c r="L47" s="46" t="s">
        <v>138</v>
      </c>
      <c r="M47" s="46" t="s">
        <v>138</v>
      </c>
      <c r="N47" s="32">
        <v>285135</v>
      </c>
      <c r="O47" s="33">
        <v>0.55043059999999999</v>
      </c>
      <c r="P47" s="33">
        <v>0.32089380000000001</v>
      </c>
      <c r="Q47" s="33">
        <v>0</v>
      </c>
      <c r="R47" s="34">
        <v>1</v>
      </c>
      <c r="T47" s="69" t="s">
        <v>158</v>
      </c>
      <c r="U47" s="61">
        <f t="shared" si="7"/>
        <v>-0.2016190403180117</v>
      </c>
      <c r="V47" s="54">
        <v>0</v>
      </c>
      <c r="AE47" s="211"/>
      <c r="AF47" s="211"/>
      <c r="AG47" s="46" t="s">
        <v>138</v>
      </c>
      <c r="AH47" s="46" t="s">
        <v>138</v>
      </c>
      <c r="AI47" s="32">
        <v>17934</v>
      </c>
      <c r="AJ47" s="33">
        <v>0.47977059999999999</v>
      </c>
      <c r="AK47" s="33">
        <v>0.20412649999999999</v>
      </c>
      <c r="AL47" s="33">
        <v>0</v>
      </c>
      <c r="AM47" s="34">
        <v>0.87628870000000003</v>
      </c>
      <c r="AP47" s="46" t="s">
        <v>138</v>
      </c>
      <c r="AQ47" s="46" t="s">
        <v>138</v>
      </c>
      <c r="AR47" s="32">
        <v>285135</v>
      </c>
      <c r="AS47" s="33">
        <v>0.55043059999999999</v>
      </c>
      <c r="AT47" s="33">
        <v>0.32089380000000001</v>
      </c>
      <c r="AU47" s="33">
        <v>0</v>
      </c>
      <c r="AV47" s="34">
        <v>1</v>
      </c>
      <c r="AX47" s="69" t="s">
        <v>158</v>
      </c>
      <c r="AY47" s="61">
        <f t="shared" si="8"/>
        <v>-0.22019746096683701</v>
      </c>
      <c r="AZ47" s="54">
        <v>0</v>
      </c>
    </row>
    <row r="48" spans="2:54" ht="22.15" customHeight="1">
      <c r="B48" s="211"/>
      <c r="C48" s="211"/>
      <c r="D48" s="46" t="s">
        <v>139</v>
      </c>
      <c r="E48" s="46" t="s">
        <v>139</v>
      </c>
      <c r="F48" s="32">
        <v>14575</v>
      </c>
      <c r="G48" s="33">
        <v>7.3377999999999996E-4</v>
      </c>
      <c r="H48" s="33">
        <v>9.5448000000000009E-3</v>
      </c>
      <c r="I48" s="33">
        <v>0</v>
      </c>
      <c r="J48" s="34">
        <v>0.36065570000000002</v>
      </c>
      <c r="L48" s="46" t="s">
        <v>139</v>
      </c>
      <c r="M48" s="46" t="s">
        <v>139</v>
      </c>
      <c r="N48" s="32">
        <v>285135</v>
      </c>
      <c r="O48" s="33">
        <v>2.06415E-2</v>
      </c>
      <c r="P48" s="33">
        <v>9.5968100000000001E-2</v>
      </c>
      <c r="Q48" s="33">
        <v>0</v>
      </c>
      <c r="R48" s="34">
        <v>0.88709680000000002</v>
      </c>
      <c r="T48" s="69" t="s">
        <v>159</v>
      </c>
      <c r="U48" s="61">
        <f t="shared" si="7"/>
        <v>-0.20744101425369471</v>
      </c>
      <c r="V48" s="54">
        <v>0</v>
      </c>
      <c r="AE48" s="211"/>
      <c r="AF48" s="211"/>
      <c r="AG48" s="46" t="s">
        <v>139</v>
      </c>
      <c r="AH48" s="46" t="s">
        <v>139</v>
      </c>
      <c r="AI48" s="32">
        <v>17934</v>
      </c>
      <c r="AJ48" s="33">
        <v>1.1232799999999999E-2</v>
      </c>
      <c r="AK48" s="33">
        <v>6.5885799999999994E-2</v>
      </c>
      <c r="AL48" s="33">
        <v>0</v>
      </c>
      <c r="AM48" s="34">
        <v>0.76595740000000001</v>
      </c>
      <c r="AP48" s="46" t="s">
        <v>139</v>
      </c>
      <c r="AQ48" s="46" t="s">
        <v>139</v>
      </c>
      <c r="AR48" s="32">
        <v>285135</v>
      </c>
      <c r="AS48" s="33">
        <v>2.06415E-2</v>
      </c>
      <c r="AT48" s="33">
        <v>9.5968100000000001E-2</v>
      </c>
      <c r="AU48" s="33">
        <v>0</v>
      </c>
      <c r="AV48" s="34">
        <v>0.88709680000000002</v>
      </c>
      <c r="AX48" s="69" t="s">
        <v>159</v>
      </c>
      <c r="AY48" s="61">
        <f t="shared" si="8"/>
        <v>-9.803986949830204E-2</v>
      </c>
      <c r="AZ48" s="54">
        <v>0</v>
      </c>
    </row>
    <row r="49" spans="2:54" ht="22.15" customHeight="1" thickBot="1">
      <c r="B49" s="212"/>
      <c r="C49" s="212"/>
      <c r="D49" s="47" t="s">
        <v>140</v>
      </c>
      <c r="E49" s="47" t="s">
        <v>140</v>
      </c>
      <c r="F49" s="35">
        <v>14575</v>
      </c>
      <c r="G49" s="36">
        <v>2.6758299999999999E-2</v>
      </c>
      <c r="H49" s="36">
        <v>5.4126300000000002E-2</v>
      </c>
      <c r="I49" s="36">
        <v>0</v>
      </c>
      <c r="J49" s="37">
        <v>0.5</v>
      </c>
      <c r="L49" s="47" t="s">
        <v>140</v>
      </c>
      <c r="M49" s="47" t="s">
        <v>140</v>
      </c>
      <c r="N49" s="35">
        <v>285135</v>
      </c>
      <c r="O49" s="36">
        <v>6.9534299999999993E-2</v>
      </c>
      <c r="P49" s="36">
        <v>0.1103164</v>
      </c>
      <c r="Q49" s="36">
        <v>0</v>
      </c>
      <c r="R49" s="37">
        <v>0.63157890000000005</v>
      </c>
      <c r="T49" s="70" t="s">
        <v>160</v>
      </c>
      <c r="U49" s="62">
        <f t="shared" si="7"/>
        <v>-0.38775739599914427</v>
      </c>
      <c r="V49" s="55">
        <v>0</v>
      </c>
      <c r="AE49" s="212"/>
      <c r="AF49" s="212"/>
      <c r="AG49" s="47" t="s">
        <v>140</v>
      </c>
      <c r="AH49" s="47" t="s">
        <v>140</v>
      </c>
      <c r="AI49" s="35">
        <v>17934</v>
      </c>
      <c r="AJ49" s="36">
        <v>2.6134299999999999E-2</v>
      </c>
      <c r="AK49" s="36">
        <v>5.6093299999999999E-2</v>
      </c>
      <c r="AL49" s="36">
        <v>0</v>
      </c>
      <c r="AM49" s="37">
        <v>0.60119049999999996</v>
      </c>
      <c r="AP49" s="47" t="s">
        <v>140</v>
      </c>
      <c r="AQ49" s="47" t="s">
        <v>140</v>
      </c>
      <c r="AR49" s="35">
        <v>285135</v>
      </c>
      <c r="AS49" s="36">
        <v>6.9534299999999993E-2</v>
      </c>
      <c r="AT49" s="36">
        <v>0.1103164</v>
      </c>
      <c r="AU49" s="36">
        <v>0</v>
      </c>
      <c r="AV49" s="37">
        <v>0.63157890000000005</v>
      </c>
      <c r="AX49" s="70" t="s">
        <v>160</v>
      </c>
      <c r="AY49" s="62">
        <f t="shared" si="8"/>
        <v>-0.39341385324394196</v>
      </c>
      <c r="AZ49" s="55">
        <v>0</v>
      </c>
    </row>
    <row r="50" spans="2:54" ht="23.45" customHeight="1">
      <c r="B50" s="210">
        <v>5</v>
      </c>
      <c r="C50" s="210">
        <v>6503</v>
      </c>
      <c r="D50" s="45" t="s">
        <v>130</v>
      </c>
      <c r="E50" s="45" t="s">
        <v>130</v>
      </c>
      <c r="F50" s="29">
        <v>6503</v>
      </c>
      <c r="G50" s="30">
        <v>3.3582999999999998E-3</v>
      </c>
      <c r="H50" s="30">
        <v>1.7643099999999998E-2</v>
      </c>
      <c r="I50" s="30">
        <v>0</v>
      </c>
      <c r="J50" s="31">
        <v>0.2142857</v>
      </c>
      <c r="L50" s="45" t="s">
        <v>130</v>
      </c>
      <c r="M50" s="45" t="s">
        <v>130</v>
      </c>
      <c r="N50" s="29">
        <v>285135</v>
      </c>
      <c r="O50" s="30">
        <v>5.3293000000000004E-3</v>
      </c>
      <c r="P50" s="30">
        <v>2.9197500000000001E-2</v>
      </c>
      <c r="Q50" s="30">
        <v>0</v>
      </c>
      <c r="R50" s="31">
        <v>0.4166667</v>
      </c>
      <c r="T50" s="68" t="s">
        <v>150</v>
      </c>
      <c r="U50" s="60">
        <f>+(G50-O50)/P50</f>
        <v>-6.7505779604418198E-2</v>
      </c>
      <c r="V50" s="53">
        <v>0</v>
      </c>
      <c r="AE50" s="210">
        <v>5</v>
      </c>
      <c r="AF50" s="210">
        <v>23431</v>
      </c>
      <c r="AG50" s="45" t="s">
        <v>130</v>
      </c>
      <c r="AH50" s="45" t="s">
        <v>130</v>
      </c>
      <c r="AI50" s="29">
        <v>23431</v>
      </c>
      <c r="AJ50" s="30">
        <v>3.5750000000000001E-3</v>
      </c>
      <c r="AK50" s="30">
        <v>1.5861699999999999E-2</v>
      </c>
      <c r="AL50" s="30">
        <v>0</v>
      </c>
      <c r="AM50" s="31">
        <v>0.2142857</v>
      </c>
      <c r="AP50" s="45" t="s">
        <v>130</v>
      </c>
      <c r="AQ50" s="45" t="s">
        <v>130</v>
      </c>
      <c r="AR50" s="29">
        <v>285135</v>
      </c>
      <c r="AS50" s="30">
        <v>5.3293000000000004E-3</v>
      </c>
      <c r="AT50" s="30">
        <v>2.9197500000000001E-2</v>
      </c>
      <c r="AU50" s="30">
        <v>0</v>
      </c>
      <c r="AV50" s="31">
        <v>0.4166667</v>
      </c>
      <c r="AX50" s="68" t="s">
        <v>150</v>
      </c>
      <c r="AY50" s="60">
        <f>+(AJ50-AS50)/AT50</f>
        <v>-6.0083911293775161E-2</v>
      </c>
      <c r="AZ50" s="53">
        <v>0</v>
      </c>
    </row>
    <row r="51" spans="2:54" ht="23.45" customHeight="1">
      <c r="B51" s="211"/>
      <c r="C51" s="211"/>
      <c r="D51" s="46" t="s">
        <v>131</v>
      </c>
      <c r="E51" s="46" t="s">
        <v>131</v>
      </c>
      <c r="F51" s="32">
        <v>6503</v>
      </c>
      <c r="G51" s="33">
        <v>1.6636399999999999E-2</v>
      </c>
      <c r="H51" s="33">
        <v>5.72509E-2</v>
      </c>
      <c r="I51" s="33">
        <v>0</v>
      </c>
      <c r="J51" s="34">
        <v>0.5</v>
      </c>
      <c r="L51" s="46" t="s">
        <v>131</v>
      </c>
      <c r="M51" s="46" t="s">
        <v>131</v>
      </c>
      <c r="N51" s="32">
        <v>285135</v>
      </c>
      <c r="O51" s="33">
        <v>4.1117800000000003E-2</v>
      </c>
      <c r="P51" s="33">
        <v>9.75636E-2</v>
      </c>
      <c r="Q51" s="33">
        <v>0</v>
      </c>
      <c r="R51" s="34">
        <v>0.8</v>
      </c>
      <c r="T51" s="69" t="s">
        <v>151</v>
      </c>
      <c r="U51" s="61">
        <f t="shared" ref="U51:U60" si="9">+(G51-O51)/P51</f>
        <v>-0.25092760004755876</v>
      </c>
      <c r="V51" s="54">
        <v>0</v>
      </c>
      <c r="AE51" s="211"/>
      <c r="AF51" s="211"/>
      <c r="AG51" s="46" t="s">
        <v>131</v>
      </c>
      <c r="AH51" s="46" t="s">
        <v>131</v>
      </c>
      <c r="AI51" s="32">
        <v>23431</v>
      </c>
      <c r="AJ51" s="33">
        <v>3.1455900000000002E-2</v>
      </c>
      <c r="AK51" s="33">
        <v>6.5488500000000005E-2</v>
      </c>
      <c r="AL51" s="33">
        <v>0</v>
      </c>
      <c r="AM51" s="34">
        <v>0.52830189999999999</v>
      </c>
      <c r="AP51" s="46" t="s">
        <v>131</v>
      </c>
      <c r="AQ51" s="46" t="s">
        <v>131</v>
      </c>
      <c r="AR51" s="32">
        <v>285135</v>
      </c>
      <c r="AS51" s="33">
        <v>4.1117800000000003E-2</v>
      </c>
      <c r="AT51" s="33">
        <v>9.75636E-2</v>
      </c>
      <c r="AU51" s="33">
        <v>0</v>
      </c>
      <c r="AV51" s="34">
        <v>0.8</v>
      </c>
      <c r="AX51" s="69" t="s">
        <v>151</v>
      </c>
      <c r="AY51" s="61">
        <f>+(AJ51-AS51)/AT51</f>
        <v>-9.9031811044282922E-2</v>
      </c>
      <c r="AZ51" s="54">
        <v>0</v>
      </c>
    </row>
    <row r="52" spans="2:54" ht="23.45" customHeight="1">
      <c r="B52" s="211"/>
      <c r="C52" s="211"/>
      <c r="D52" s="46" t="s">
        <v>132</v>
      </c>
      <c r="E52" s="46" t="s">
        <v>132</v>
      </c>
      <c r="F52" s="32">
        <v>6503</v>
      </c>
      <c r="G52" s="33">
        <v>4.9386600000000003E-2</v>
      </c>
      <c r="H52" s="33">
        <v>8.86353E-2</v>
      </c>
      <c r="I52" s="33">
        <v>0</v>
      </c>
      <c r="J52" s="34">
        <v>0.48</v>
      </c>
      <c r="L52" s="46" t="s">
        <v>132</v>
      </c>
      <c r="M52" s="46" t="s">
        <v>132</v>
      </c>
      <c r="N52" s="32">
        <v>285135</v>
      </c>
      <c r="O52" s="33">
        <v>3.5534999999999997E-2</v>
      </c>
      <c r="P52" s="33">
        <v>8.58878E-2</v>
      </c>
      <c r="Q52" s="33">
        <v>0</v>
      </c>
      <c r="R52" s="34">
        <v>0.58964139999999998</v>
      </c>
      <c r="T52" s="69" t="s">
        <v>152</v>
      </c>
      <c r="U52" s="61">
        <f t="shared" si="9"/>
        <v>0.16127552457974248</v>
      </c>
      <c r="V52" s="54">
        <v>0</v>
      </c>
      <c r="AE52" s="211"/>
      <c r="AF52" s="211"/>
      <c r="AG52" s="46" t="s">
        <v>132</v>
      </c>
      <c r="AH52" s="46" t="s">
        <v>132</v>
      </c>
      <c r="AI52" s="32">
        <v>23431</v>
      </c>
      <c r="AJ52" s="33">
        <v>0.24443980000000001</v>
      </c>
      <c r="AK52" s="33">
        <v>0.16014349999999999</v>
      </c>
      <c r="AL52" s="33">
        <v>0</v>
      </c>
      <c r="AM52" s="34">
        <v>0.58964139999999998</v>
      </c>
      <c r="AP52" s="46" t="s">
        <v>132</v>
      </c>
      <c r="AQ52" s="46" t="s">
        <v>132</v>
      </c>
      <c r="AR52" s="32">
        <v>285135</v>
      </c>
      <c r="AS52" s="33">
        <v>3.5534999999999997E-2</v>
      </c>
      <c r="AT52" s="33">
        <v>8.58878E-2</v>
      </c>
      <c r="AU52" s="33">
        <v>0</v>
      </c>
      <c r="AV52" s="34">
        <v>0.58964139999999998</v>
      </c>
      <c r="AX52" s="69" t="s">
        <v>152</v>
      </c>
      <c r="AY52" s="61">
        <f t="shared" ref="AY52:AY60" si="10">+(AJ52-AS52)/AT52</f>
        <v>2.4322988829612586</v>
      </c>
      <c r="AZ52" s="54">
        <v>0</v>
      </c>
      <c r="BB52" s="113">
        <f>+AI52/AR52</f>
        <v>8.2175110035597174E-2</v>
      </c>
    </row>
    <row r="53" spans="2:54" ht="23.45" customHeight="1">
      <c r="B53" s="211"/>
      <c r="C53" s="211"/>
      <c r="D53" s="46" t="s">
        <v>133</v>
      </c>
      <c r="E53" s="46" t="s">
        <v>133</v>
      </c>
      <c r="F53" s="32">
        <v>6503</v>
      </c>
      <c r="G53" s="33">
        <v>1.3856999999999999E-3</v>
      </c>
      <c r="H53" s="33">
        <v>2.2095E-2</v>
      </c>
      <c r="I53" s="33">
        <v>0</v>
      </c>
      <c r="J53" s="34">
        <v>0.64285709999999996</v>
      </c>
      <c r="L53" s="46" t="s">
        <v>133</v>
      </c>
      <c r="M53" s="46" t="s">
        <v>133</v>
      </c>
      <c r="N53" s="32">
        <v>285135</v>
      </c>
      <c r="O53" s="33">
        <v>9.9512199999999995E-2</v>
      </c>
      <c r="P53" s="33">
        <v>0.2434481</v>
      </c>
      <c r="Q53" s="33">
        <v>0</v>
      </c>
      <c r="R53" s="34">
        <v>0.95315680000000003</v>
      </c>
      <c r="T53" s="69" t="s">
        <v>153</v>
      </c>
      <c r="U53" s="61">
        <f t="shared" si="9"/>
        <v>-0.4030694838037347</v>
      </c>
      <c r="V53" s="54">
        <v>0</v>
      </c>
      <c r="AE53" s="211"/>
      <c r="AF53" s="211"/>
      <c r="AG53" s="46" t="s">
        <v>133</v>
      </c>
      <c r="AH53" s="46" t="s">
        <v>133</v>
      </c>
      <c r="AI53" s="32">
        <v>23431</v>
      </c>
      <c r="AJ53" s="33">
        <v>2.6416999999999999E-3</v>
      </c>
      <c r="AK53" s="33">
        <v>2.7334000000000001E-2</v>
      </c>
      <c r="AL53" s="33">
        <v>0</v>
      </c>
      <c r="AM53" s="34">
        <v>0.66666669999999995</v>
      </c>
      <c r="AP53" s="46" t="s">
        <v>133</v>
      </c>
      <c r="AQ53" s="46" t="s">
        <v>133</v>
      </c>
      <c r="AR53" s="32">
        <v>285135</v>
      </c>
      <c r="AS53" s="33">
        <v>9.9512199999999995E-2</v>
      </c>
      <c r="AT53" s="33">
        <v>0.2434481</v>
      </c>
      <c r="AU53" s="33">
        <v>0</v>
      </c>
      <c r="AV53" s="34">
        <v>0.95315680000000003</v>
      </c>
      <c r="AX53" s="69" t="s">
        <v>153</v>
      </c>
      <c r="AY53" s="61">
        <f t="shared" si="10"/>
        <v>-0.39791027327795941</v>
      </c>
      <c r="AZ53" s="54">
        <v>0</v>
      </c>
    </row>
    <row r="54" spans="2:54" ht="23.45" customHeight="1">
      <c r="B54" s="211"/>
      <c r="C54" s="211"/>
      <c r="D54" s="46" t="s">
        <v>134</v>
      </c>
      <c r="E54" s="46" t="s">
        <v>134</v>
      </c>
      <c r="F54" s="32">
        <v>6503</v>
      </c>
      <c r="G54" s="33">
        <v>1.1743999999999999E-2</v>
      </c>
      <c r="H54" s="33">
        <v>6.02976E-2</v>
      </c>
      <c r="I54" s="33">
        <v>0</v>
      </c>
      <c r="J54" s="34">
        <v>0.63157890000000005</v>
      </c>
      <c r="L54" s="46" t="s">
        <v>134</v>
      </c>
      <c r="M54" s="46" t="s">
        <v>134</v>
      </c>
      <c r="N54" s="32">
        <v>285135</v>
      </c>
      <c r="O54" s="33">
        <v>0.1100589</v>
      </c>
      <c r="P54" s="33">
        <v>0.22412850000000001</v>
      </c>
      <c r="Q54" s="33">
        <v>0</v>
      </c>
      <c r="R54" s="34">
        <v>0.95218420000000004</v>
      </c>
      <c r="T54" s="69" t="s">
        <v>154</v>
      </c>
      <c r="U54" s="61">
        <f t="shared" si="9"/>
        <v>-0.43865416490986192</v>
      </c>
      <c r="V54" s="54">
        <v>0</v>
      </c>
      <c r="AE54" s="211"/>
      <c r="AF54" s="211"/>
      <c r="AG54" s="46" t="s">
        <v>134</v>
      </c>
      <c r="AH54" s="46" t="s">
        <v>134</v>
      </c>
      <c r="AI54" s="32">
        <v>23431</v>
      </c>
      <c r="AJ54" s="33">
        <v>1.3174699999999999E-2</v>
      </c>
      <c r="AK54" s="33">
        <v>5.8538899999999998E-2</v>
      </c>
      <c r="AL54" s="33">
        <v>0</v>
      </c>
      <c r="AM54" s="34">
        <v>0.69230769999999997</v>
      </c>
      <c r="AP54" s="46" t="s">
        <v>134</v>
      </c>
      <c r="AQ54" s="46" t="s">
        <v>134</v>
      </c>
      <c r="AR54" s="32">
        <v>285135</v>
      </c>
      <c r="AS54" s="33">
        <v>0.1100589</v>
      </c>
      <c r="AT54" s="33">
        <v>0.22412850000000001</v>
      </c>
      <c r="AU54" s="33">
        <v>0</v>
      </c>
      <c r="AV54" s="34">
        <v>0.95218420000000004</v>
      </c>
      <c r="AX54" s="69" t="s">
        <v>154</v>
      </c>
      <c r="AY54" s="61">
        <f t="shared" si="10"/>
        <v>-0.43227077323945862</v>
      </c>
      <c r="AZ54" s="54">
        <v>0</v>
      </c>
    </row>
    <row r="55" spans="2:54" ht="23.45" customHeight="1">
      <c r="B55" s="211"/>
      <c r="C55" s="211"/>
      <c r="D55" s="46" t="s">
        <v>135</v>
      </c>
      <c r="E55" s="46" t="s">
        <v>135</v>
      </c>
      <c r="F55" s="32">
        <v>6503</v>
      </c>
      <c r="G55" s="33">
        <v>5.5507000000000004E-3</v>
      </c>
      <c r="H55" s="33">
        <v>3.6548299999999999E-2</v>
      </c>
      <c r="I55" s="33">
        <v>0</v>
      </c>
      <c r="J55" s="34">
        <v>0.48484850000000002</v>
      </c>
      <c r="L55" s="46" t="s">
        <v>135</v>
      </c>
      <c r="M55" s="46" t="s">
        <v>135</v>
      </c>
      <c r="N55" s="32">
        <v>285135</v>
      </c>
      <c r="O55" s="33">
        <v>1.12163E-2</v>
      </c>
      <c r="P55" s="33">
        <v>5.03066E-2</v>
      </c>
      <c r="Q55" s="33">
        <v>0</v>
      </c>
      <c r="R55" s="34">
        <v>0.51052629999999999</v>
      </c>
      <c r="T55" s="69" t="s">
        <v>155</v>
      </c>
      <c r="U55" s="61">
        <f t="shared" si="9"/>
        <v>-0.11262140554122123</v>
      </c>
      <c r="V55" s="54">
        <v>0</v>
      </c>
      <c r="AE55" s="211"/>
      <c r="AF55" s="211"/>
      <c r="AG55" s="46" t="s">
        <v>135</v>
      </c>
      <c r="AH55" s="46" t="s">
        <v>135</v>
      </c>
      <c r="AI55" s="32">
        <v>23431</v>
      </c>
      <c r="AJ55" s="33">
        <v>7.7628000000000003E-3</v>
      </c>
      <c r="AK55" s="33">
        <v>4.1024499999999998E-2</v>
      </c>
      <c r="AL55" s="33">
        <v>0</v>
      </c>
      <c r="AM55" s="34">
        <v>0.50502009999999997</v>
      </c>
      <c r="AP55" s="46" t="s">
        <v>135</v>
      </c>
      <c r="AQ55" s="46" t="s">
        <v>135</v>
      </c>
      <c r="AR55" s="32">
        <v>285135</v>
      </c>
      <c r="AS55" s="33">
        <v>1.12163E-2</v>
      </c>
      <c r="AT55" s="33">
        <v>5.03066E-2</v>
      </c>
      <c r="AU55" s="33">
        <v>0</v>
      </c>
      <c r="AV55" s="34">
        <v>0.51052629999999999</v>
      </c>
      <c r="AX55" s="69" t="s">
        <v>155</v>
      </c>
      <c r="AY55" s="61">
        <f t="shared" si="10"/>
        <v>-6.8649044061812964E-2</v>
      </c>
      <c r="AZ55" s="54">
        <v>0</v>
      </c>
    </row>
    <row r="56" spans="2:54" ht="23.45" customHeight="1">
      <c r="B56" s="211"/>
      <c r="C56" s="211"/>
      <c r="D56" s="46" t="s">
        <v>136</v>
      </c>
      <c r="E56" s="46" t="s">
        <v>136</v>
      </c>
      <c r="F56" s="32">
        <v>6503</v>
      </c>
      <c r="G56" s="33">
        <v>2.2105699999999999E-2</v>
      </c>
      <c r="H56" s="33">
        <v>4.44219E-2</v>
      </c>
      <c r="I56" s="33">
        <v>0</v>
      </c>
      <c r="J56" s="34">
        <v>0.3333333</v>
      </c>
      <c r="L56" s="46" t="s">
        <v>136</v>
      </c>
      <c r="M56" s="46" t="s">
        <v>136</v>
      </c>
      <c r="N56" s="32">
        <v>285135</v>
      </c>
      <c r="O56" s="33">
        <v>1.9921000000000001E-2</v>
      </c>
      <c r="P56" s="33">
        <v>4.8187399999999998E-2</v>
      </c>
      <c r="Q56" s="33">
        <v>0</v>
      </c>
      <c r="R56" s="34">
        <v>0.5</v>
      </c>
      <c r="T56" s="69" t="s">
        <v>156</v>
      </c>
      <c r="U56" s="61">
        <f t="shared" si="9"/>
        <v>4.5337577873053904E-2</v>
      </c>
      <c r="V56" s="54">
        <v>0</v>
      </c>
      <c r="AE56" s="211"/>
      <c r="AF56" s="211"/>
      <c r="AG56" s="46" t="s">
        <v>136</v>
      </c>
      <c r="AH56" s="46" t="s">
        <v>136</v>
      </c>
      <c r="AI56" s="32">
        <v>23431</v>
      </c>
      <c r="AJ56" s="33">
        <v>1.7704299999999999E-2</v>
      </c>
      <c r="AK56" s="33">
        <v>3.4540399999999999E-2</v>
      </c>
      <c r="AL56" s="33">
        <v>0</v>
      </c>
      <c r="AM56" s="34">
        <v>0.3333333</v>
      </c>
      <c r="AP56" s="46" t="s">
        <v>136</v>
      </c>
      <c r="AQ56" s="46" t="s">
        <v>136</v>
      </c>
      <c r="AR56" s="32">
        <v>285135</v>
      </c>
      <c r="AS56" s="33">
        <v>1.9921000000000001E-2</v>
      </c>
      <c r="AT56" s="33">
        <v>4.8187399999999998E-2</v>
      </c>
      <c r="AU56" s="33">
        <v>0</v>
      </c>
      <c r="AV56" s="34">
        <v>0.5</v>
      </c>
      <c r="AX56" s="69" t="s">
        <v>156</v>
      </c>
      <c r="AY56" s="61">
        <f t="shared" si="10"/>
        <v>-4.6001651884102525E-2</v>
      </c>
      <c r="AZ56" s="54">
        <v>0</v>
      </c>
    </row>
    <row r="57" spans="2:54" ht="23.45" customHeight="1">
      <c r="B57" s="211"/>
      <c r="C57" s="211"/>
      <c r="D57" s="46" t="s">
        <v>137</v>
      </c>
      <c r="E57" s="46" t="s">
        <v>137</v>
      </c>
      <c r="F57" s="32">
        <v>6503</v>
      </c>
      <c r="G57" s="33">
        <v>0.55051159999999999</v>
      </c>
      <c r="H57" s="33">
        <v>0.1883986</v>
      </c>
      <c r="I57" s="33">
        <v>0.26881719999999998</v>
      </c>
      <c r="J57" s="34">
        <v>0.92857140000000005</v>
      </c>
      <c r="L57" s="46" t="s">
        <v>137</v>
      </c>
      <c r="M57" s="46" t="s">
        <v>137</v>
      </c>
      <c r="N57" s="32">
        <v>285135</v>
      </c>
      <c r="O57" s="33">
        <v>3.6702899999999997E-2</v>
      </c>
      <c r="P57" s="33">
        <v>9.8033800000000004E-2</v>
      </c>
      <c r="Q57" s="33">
        <v>0</v>
      </c>
      <c r="R57" s="34">
        <v>0.92857140000000005</v>
      </c>
      <c r="T57" s="69" t="s">
        <v>157</v>
      </c>
      <c r="U57" s="61">
        <f t="shared" si="9"/>
        <v>5.2411382604775083</v>
      </c>
      <c r="V57" s="54">
        <v>0</v>
      </c>
      <c r="AE57" s="211"/>
      <c r="AF57" s="211"/>
      <c r="AG57" s="46" t="s">
        <v>137</v>
      </c>
      <c r="AH57" s="46" t="s">
        <v>137</v>
      </c>
      <c r="AI57" s="32">
        <v>23431</v>
      </c>
      <c r="AJ57" s="33">
        <v>0.199909</v>
      </c>
      <c r="AK57" s="33">
        <v>0.25215270000000001</v>
      </c>
      <c r="AL57" s="33">
        <v>0</v>
      </c>
      <c r="AM57" s="34">
        <v>0.92857140000000005</v>
      </c>
      <c r="AP57" s="46" t="s">
        <v>137</v>
      </c>
      <c r="AQ57" s="46" t="s">
        <v>137</v>
      </c>
      <c r="AR57" s="32">
        <v>285135</v>
      </c>
      <c r="AS57" s="33">
        <v>3.6702899999999997E-2</v>
      </c>
      <c r="AT57" s="33">
        <v>9.8033800000000004E-2</v>
      </c>
      <c r="AU57" s="33">
        <v>0</v>
      </c>
      <c r="AV57" s="34">
        <v>0.92857140000000005</v>
      </c>
      <c r="AX57" s="69" t="s">
        <v>157</v>
      </c>
      <c r="AY57" s="61">
        <f t="shared" si="10"/>
        <v>1.6647941832306818</v>
      </c>
      <c r="AZ57" s="54">
        <v>0</v>
      </c>
    </row>
    <row r="58" spans="2:54" ht="23.45" customHeight="1">
      <c r="B58" s="211"/>
      <c r="C58" s="211"/>
      <c r="D58" s="46" t="s">
        <v>138</v>
      </c>
      <c r="E58" s="46" t="s">
        <v>138</v>
      </c>
      <c r="F58" s="32">
        <v>6503</v>
      </c>
      <c r="G58" s="33">
        <v>0.31618190000000002</v>
      </c>
      <c r="H58" s="33">
        <v>0.21080779999999999</v>
      </c>
      <c r="I58" s="33">
        <v>0</v>
      </c>
      <c r="J58" s="34">
        <v>0.69767440000000003</v>
      </c>
      <c r="L58" s="46" t="s">
        <v>138</v>
      </c>
      <c r="M58" s="46" t="s">
        <v>138</v>
      </c>
      <c r="N58" s="32">
        <v>285135</v>
      </c>
      <c r="O58" s="33">
        <v>0.55043059999999999</v>
      </c>
      <c r="P58" s="33">
        <v>0.32089380000000001</v>
      </c>
      <c r="Q58" s="33">
        <v>0</v>
      </c>
      <c r="R58" s="34">
        <v>1</v>
      </c>
      <c r="T58" s="69" t="s">
        <v>158</v>
      </c>
      <c r="U58" s="61">
        <f t="shared" si="9"/>
        <v>-0.7299882390996647</v>
      </c>
      <c r="V58" s="54">
        <v>0</v>
      </c>
      <c r="AE58" s="211"/>
      <c r="AF58" s="211"/>
      <c r="AG58" s="46" t="s">
        <v>138</v>
      </c>
      <c r="AH58" s="46" t="s">
        <v>138</v>
      </c>
      <c r="AI58" s="32">
        <v>23431</v>
      </c>
      <c r="AJ58" s="33">
        <v>0.44294549999999999</v>
      </c>
      <c r="AK58" s="33">
        <v>0.202459</v>
      </c>
      <c r="AL58" s="33">
        <v>0</v>
      </c>
      <c r="AM58" s="34">
        <v>0.81294960000000005</v>
      </c>
      <c r="AP58" s="46" t="s">
        <v>138</v>
      </c>
      <c r="AQ58" s="46" t="s">
        <v>138</v>
      </c>
      <c r="AR58" s="32">
        <v>285135</v>
      </c>
      <c r="AS58" s="33">
        <v>0.55043059999999999</v>
      </c>
      <c r="AT58" s="33">
        <v>0.32089380000000001</v>
      </c>
      <c r="AU58" s="33">
        <v>0</v>
      </c>
      <c r="AV58" s="34">
        <v>1</v>
      </c>
      <c r="AX58" s="69" t="s">
        <v>158</v>
      </c>
      <c r="AY58" s="61">
        <f t="shared" si="10"/>
        <v>-0.3349553652953095</v>
      </c>
      <c r="AZ58" s="54">
        <v>0</v>
      </c>
    </row>
    <row r="59" spans="2:54" ht="23.45" customHeight="1">
      <c r="B59" s="211"/>
      <c r="C59" s="211"/>
      <c r="D59" s="46" t="s">
        <v>139</v>
      </c>
      <c r="E59" s="46" t="s">
        <v>139</v>
      </c>
      <c r="F59" s="32">
        <v>6503</v>
      </c>
      <c r="G59" s="33">
        <v>8.3084000000000005E-3</v>
      </c>
      <c r="H59" s="33">
        <v>4.3821100000000002E-2</v>
      </c>
      <c r="I59" s="33">
        <v>0</v>
      </c>
      <c r="J59" s="34">
        <v>0.48148150000000001</v>
      </c>
      <c r="L59" s="46" t="s">
        <v>139</v>
      </c>
      <c r="M59" s="46" t="s">
        <v>139</v>
      </c>
      <c r="N59" s="32">
        <v>285135</v>
      </c>
      <c r="O59" s="33">
        <v>2.06415E-2</v>
      </c>
      <c r="P59" s="33">
        <v>9.5968100000000001E-2</v>
      </c>
      <c r="Q59" s="33">
        <v>0</v>
      </c>
      <c r="R59" s="34">
        <v>0.88709680000000002</v>
      </c>
      <c r="T59" s="69" t="s">
        <v>159</v>
      </c>
      <c r="U59" s="61">
        <f t="shared" si="9"/>
        <v>-0.1285124952979167</v>
      </c>
      <c r="V59" s="54">
        <v>0</v>
      </c>
      <c r="AE59" s="211"/>
      <c r="AF59" s="211"/>
      <c r="AG59" s="46" t="s">
        <v>139</v>
      </c>
      <c r="AH59" s="46" t="s">
        <v>139</v>
      </c>
      <c r="AI59" s="32">
        <v>23431</v>
      </c>
      <c r="AJ59" s="33">
        <v>6.9427999999999998E-3</v>
      </c>
      <c r="AK59" s="33">
        <v>3.7724800000000003E-2</v>
      </c>
      <c r="AL59" s="33">
        <v>0</v>
      </c>
      <c r="AM59" s="34">
        <v>0.48148150000000001</v>
      </c>
      <c r="AP59" s="46" t="s">
        <v>139</v>
      </c>
      <c r="AQ59" s="46" t="s">
        <v>139</v>
      </c>
      <c r="AR59" s="32">
        <v>285135</v>
      </c>
      <c r="AS59" s="33">
        <v>2.06415E-2</v>
      </c>
      <c r="AT59" s="33">
        <v>9.5968100000000001E-2</v>
      </c>
      <c r="AU59" s="33">
        <v>0</v>
      </c>
      <c r="AV59" s="34">
        <v>0.88709680000000002</v>
      </c>
      <c r="AX59" s="69" t="s">
        <v>159</v>
      </c>
      <c r="AY59" s="61">
        <f t="shared" si="10"/>
        <v>-0.14274222371808967</v>
      </c>
      <c r="AZ59" s="54">
        <v>0</v>
      </c>
    </row>
    <row r="60" spans="2:54" ht="23.45" customHeight="1" thickBot="1">
      <c r="B60" s="212"/>
      <c r="C60" s="212"/>
      <c r="D60" s="47" t="s">
        <v>140</v>
      </c>
      <c r="E60" s="47" t="s">
        <v>140</v>
      </c>
      <c r="F60" s="35">
        <v>6503</v>
      </c>
      <c r="G60" s="36">
        <v>1.48308E-2</v>
      </c>
      <c r="H60" s="36">
        <v>5.2161600000000002E-2</v>
      </c>
      <c r="I60" s="36">
        <v>0</v>
      </c>
      <c r="J60" s="37">
        <v>0.54545449999999995</v>
      </c>
      <c r="L60" s="47" t="s">
        <v>140</v>
      </c>
      <c r="M60" s="47" t="s">
        <v>140</v>
      </c>
      <c r="N60" s="35">
        <v>285135</v>
      </c>
      <c r="O60" s="36">
        <v>6.9534299999999993E-2</v>
      </c>
      <c r="P60" s="36">
        <v>0.1103164</v>
      </c>
      <c r="Q60" s="36">
        <v>0</v>
      </c>
      <c r="R60" s="37">
        <v>0.63157890000000005</v>
      </c>
      <c r="T60" s="70" t="s">
        <v>160</v>
      </c>
      <c r="U60" s="62">
        <f t="shared" si="9"/>
        <v>-0.4958782193762668</v>
      </c>
      <c r="V60" s="55">
        <v>0</v>
      </c>
      <c r="AE60" s="212"/>
      <c r="AF60" s="212"/>
      <c r="AG60" s="47" t="s">
        <v>140</v>
      </c>
      <c r="AH60" s="47" t="s">
        <v>140</v>
      </c>
      <c r="AI60" s="35">
        <v>23431</v>
      </c>
      <c r="AJ60" s="36">
        <v>2.9448599999999998E-2</v>
      </c>
      <c r="AK60" s="36">
        <v>6.21361E-2</v>
      </c>
      <c r="AL60" s="36">
        <v>0</v>
      </c>
      <c r="AM60" s="37">
        <v>0.56521739999999998</v>
      </c>
      <c r="AP60" s="47" t="s">
        <v>140</v>
      </c>
      <c r="AQ60" s="47" t="s">
        <v>140</v>
      </c>
      <c r="AR60" s="35">
        <v>285135</v>
      </c>
      <c r="AS60" s="36">
        <v>6.9534299999999993E-2</v>
      </c>
      <c r="AT60" s="36">
        <v>0.1103164</v>
      </c>
      <c r="AU60" s="36">
        <v>0</v>
      </c>
      <c r="AV60" s="37">
        <v>0.63157890000000005</v>
      </c>
      <c r="AX60" s="70" t="s">
        <v>160</v>
      </c>
      <c r="AY60" s="62">
        <f t="shared" si="10"/>
        <v>-0.36337026951568396</v>
      </c>
      <c r="AZ60" s="55">
        <v>0</v>
      </c>
    </row>
    <row r="61" spans="2:54" ht="21.6" customHeight="1">
      <c r="B61" s="210">
        <v>6</v>
      </c>
      <c r="C61" s="210">
        <v>35543</v>
      </c>
      <c r="D61" s="45" t="s">
        <v>130</v>
      </c>
      <c r="E61" s="45" t="s">
        <v>130</v>
      </c>
      <c r="F61" s="29">
        <v>35543</v>
      </c>
      <c r="G61" s="30">
        <v>1.8789E-3</v>
      </c>
      <c r="H61" s="30">
        <v>9.4537000000000006E-3</v>
      </c>
      <c r="I61" s="30">
        <v>0</v>
      </c>
      <c r="J61" s="31">
        <v>0.14457829999999999</v>
      </c>
      <c r="L61" s="45" t="s">
        <v>130</v>
      </c>
      <c r="M61" s="45" t="s">
        <v>130</v>
      </c>
      <c r="N61" s="29">
        <v>285135</v>
      </c>
      <c r="O61" s="30">
        <v>5.3293000000000004E-3</v>
      </c>
      <c r="P61" s="30">
        <v>2.9197500000000001E-2</v>
      </c>
      <c r="Q61" s="30">
        <v>0</v>
      </c>
      <c r="R61" s="31">
        <v>0.4166667</v>
      </c>
      <c r="T61" s="68" t="s">
        <v>150</v>
      </c>
      <c r="U61" s="60">
        <f>+(G61-O61)/P61</f>
        <v>-0.11817450124154466</v>
      </c>
      <c r="V61" s="53">
        <v>0</v>
      </c>
      <c r="AE61" s="210">
        <v>6</v>
      </c>
      <c r="AF61" s="210">
        <v>35543</v>
      </c>
      <c r="AG61" s="45" t="s">
        <v>130</v>
      </c>
      <c r="AH61" s="45" t="s">
        <v>130</v>
      </c>
      <c r="AI61" s="29">
        <v>35543</v>
      </c>
      <c r="AJ61" s="30">
        <v>1.8789E-3</v>
      </c>
      <c r="AK61" s="30">
        <v>9.4537000000000006E-3</v>
      </c>
      <c r="AL61" s="30">
        <v>0</v>
      </c>
      <c r="AM61" s="31">
        <v>0.14457829999999999</v>
      </c>
      <c r="AP61" s="45" t="s">
        <v>130</v>
      </c>
      <c r="AQ61" s="45" t="s">
        <v>130</v>
      </c>
      <c r="AR61" s="29">
        <v>285135</v>
      </c>
      <c r="AS61" s="30">
        <v>5.3293000000000004E-3</v>
      </c>
      <c r="AT61" s="30">
        <v>2.9197500000000001E-2</v>
      </c>
      <c r="AU61" s="30">
        <v>0</v>
      </c>
      <c r="AV61" s="31">
        <v>0.4166667</v>
      </c>
      <c r="AX61" s="68" t="s">
        <v>150</v>
      </c>
      <c r="AY61" s="60">
        <f>+(AJ61-AS61)/AT61</f>
        <v>-0.11817450124154466</v>
      </c>
      <c r="AZ61" s="53">
        <v>0</v>
      </c>
    </row>
    <row r="62" spans="2:54" ht="21.6" customHeight="1">
      <c r="B62" s="211"/>
      <c r="C62" s="211"/>
      <c r="D62" s="46" t="s">
        <v>131</v>
      </c>
      <c r="E62" s="46" t="s">
        <v>131</v>
      </c>
      <c r="F62" s="32">
        <v>35543</v>
      </c>
      <c r="G62" s="33">
        <v>1.2960599999999999E-2</v>
      </c>
      <c r="H62" s="33">
        <v>3.16964E-2</v>
      </c>
      <c r="I62" s="33">
        <v>0</v>
      </c>
      <c r="J62" s="34">
        <v>0.32835819999999999</v>
      </c>
      <c r="L62" s="46" t="s">
        <v>131</v>
      </c>
      <c r="M62" s="46" t="s">
        <v>131</v>
      </c>
      <c r="N62" s="32">
        <v>285135</v>
      </c>
      <c r="O62" s="33">
        <v>4.1117800000000003E-2</v>
      </c>
      <c r="P62" s="33">
        <v>9.75636E-2</v>
      </c>
      <c r="Q62" s="33">
        <v>0</v>
      </c>
      <c r="R62" s="34">
        <v>0.8</v>
      </c>
      <c r="T62" s="69" t="s">
        <v>151</v>
      </c>
      <c r="U62" s="61">
        <f t="shared" ref="U62:U71" si="11">+(G62-O62)/P62</f>
        <v>-0.28860353656486643</v>
      </c>
      <c r="V62" s="54">
        <v>0</v>
      </c>
      <c r="AE62" s="211"/>
      <c r="AF62" s="211"/>
      <c r="AG62" s="46" t="s">
        <v>131</v>
      </c>
      <c r="AH62" s="46" t="s">
        <v>131</v>
      </c>
      <c r="AI62" s="32">
        <v>35543</v>
      </c>
      <c r="AJ62" s="33">
        <v>1.2960599999999999E-2</v>
      </c>
      <c r="AK62" s="33">
        <v>3.16964E-2</v>
      </c>
      <c r="AL62" s="33">
        <v>0</v>
      </c>
      <c r="AM62" s="34">
        <v>0.32835819999999999</v>
      </c>
      <c r="AP62" s="46" t="s">
        <v>131</v>
      </c>
      <c r="AQ62" s="46" t="s">
        <v>131</v>
      </c>
      <c r="AR62" s="32">
        <v>285135</v>
      </c>
      <c r="AS62" s="33">
        <v>4.1117800000000003E-2</v>
      </c>
      <c r="AT62" s="33">
        <v>9.75636E-2</v>
      </c>
      <c r="AU62" s="33">
        <v>0</v>
      </c>
      <c r="AV62" s="34">
        <v>0.8</v>
      </c>
      <c r="AX62" s="69" t="s">
        <v>151</v>
      </c>
      <c r="AY62" s="61">
        <f>+(AJ62-AS62)/AT62</f>
        <v>-0.28860353656486643</v>
      </c>
      <c r="AZ62" s="54">
        <v>0</v>
      </c>
      <c r="BB62" s="113">
        <f>+AI62/AR62</f>
        <v>0.12465323443281252</v>
      </c>
    </row>
    <row r="63" spans="2:54" ht="21.6" customHeight="1">
      <c r="B63" s="211"/>
      <c r="C63" s="211"/>
      <c r="D63" s="46" t="s">
        <v>132</v>
      </c>
      <c r="E63" s="46" t="s">
        <v>132</v>
      </c>
      <c r="F63" s="32">
        <v>35543</v>
      </c>
      <c r="G63" s="33">
        <v>9.8463999999999999E-3</v>
      </c>
      <c r="H63" s="33">
        <v>2.5643200000000001E-2</v>
      </c>
      <c r="I63" s="33">
        <v>0</v>
      </c>
      <c r="J63" s="34">
        <v>0.2631579</v>
      </c>
      <c r="L63" s="46" t="s">
        <v>132</v>
      </c>
      <c r="M63" s="46" t="s">
        <v>132</v>
      </c>
      <c r="N63" s="32">
        <v>285135</v>
      </c>
      <c r="O63" s="33">
        <v>3.5534999999999997E-2</v>
      </c>
      <c r="P63" s="33">
        <v>8.58878E-2</v>
      </c>
      <c r="Q63" s="33">
        <v>0</v>
      </c>
      <c r="R63" s="34">
        <v>0.58964139999999998</v>
      </c>
      <c r="T63" s="69" t="s">
        <v>152</v>
      </c>
      <c r="U63" s="61">
        <f t="shared" si="11"/>
        <v>-0.2990948656270157</v>
      </c>
      <c r="V63" s="54">
        <v>0</v>
      </c>
      <c r="AE63" s="211"/>
      <c r="AF63" s="211"/>
      <c r="AG63" s="46" t="s">
        <v>132</v>
      </c>
      <c r="AH63" s="46" t="s">
        <v>132</v>
      </c>
      <c r="AI63" s="32">
        <v>35543</v>
      </c>
      <c r="AJ63" s="33">
        <v>9.8463999999999999E-3</v>
      </c>
      <c r="AK63" s="33">
        <v>2.5643200000000001E-2</v>
      </c>
      <c r="AL63" s="33">
        <v>0</v>
      </c>
      <c r="AM63" s="34">
        <v>0.2631579</v>
      </c>
      <c r="AP63" s="46" t="s">
        <v>132</v>
      </c>
      <c r="AQ63" s="46" t="s">
        <v>132</v>
      </c>
      <c r="AR63" s="32">
        <v>285135</v>
      </c>
      <c r="AS63" s="33">
        <v>3.5534999999999997E-2</v>
      </c>
      <c r="AT63" s="33">
        <v>8.58878E-2</v>
      </c>
      <c r="AU63" s="33">
        <v>0</v>
      </c>
      <c r="AV63" s="34">
        <v>0.58964139999999998</v>
      </c>
      <c r="AX63" s="69" t="s">
        <v>152</v>
      </c>
      <c r="AY63" s="61">
        <f t="shared" ref="AY63:AY71" si="12">+(AJ63-AS63)/AT63</f>
        <v>-0.2990948656270157</v>
      </c>
      <c r="AZ63" s="54">
        <v>0</v>
      </c>
    </row>
    <row r="64" spans="2:54" ht="21.6" customHeight="1">
      <c r="B64" s="211"/>
      <c r="C64" s="211"/>
      <c r="D64" s="46" t="s">
        <v>133</v>
      </c>
      <c r="E64" s="46" t="s">
        <v>133</v>
      </c>
      <c r="F64" s="32">
        <v>35543</v>
      </c>
      <c r="G64" s="33">
        <v>2.8063100000000001E-2</v>
      </c>
      <c r="H64" s="33">
        <v>7.0414500000000005E-2</v>
      </c>
      <c r="I64" s="33">
        <v>0</v>
      </c>
      <c r="J64" s="34">
        <v>0.42635659999999997</v>
      </c>
      <c r="L64" s="46" t="s">
        <v>133</v>
      </c>
      <c r="M64" s="46" t="s">
        <v>133</v>
      </c>
      <c r="N64" s="32">
        <v>285135</v>
      </c>
      <c r="O64" s="33">
        <v>9.9512199999999995E-2</v>
      </c>
      <c r="P64" s="33">
        <v>0.2434481</v>
      </c>
      <c r="Q64" s="33">
        <v>0</v>
      </c>
      <c r="R64" s="34">
        <v>0.95315680000000003</v>
      </c>
      <c r="T64" s="69" t="s">
        <v>153</v>
      </c>
      <c r="U64" s="61">
        <f t="shared" si="11"/>
        <v>-0.29348801654233486</v>
      </c>
      <c r="V64" s="54">
        <v>0</v>
      </c>
      <c r="AE64" s="211"/>
      <c r="AF64" s="211"/>
      <c r="AG64" s="46" t="s">
        <v>133</v>
      </c>
      <c r="AH64" s="46" t="s">
        <v>133</v>
      </c>
      <c r="AI64" s="32">
        <v>35543</v>
      </c>
      <c r="AJ64" s="33">
        <v>2.8063100000000001E-2</v>
      </c>
      <c r="AK64" s="33">
        <v>7.0414500000000005E-2</v>
      </c>
      <c r="AL64" s="33">
        <v>0</v>
      </c>
      <c r="AM64" s="34">
        <v>0.42635659999999997</v>
      </c>
      <c r="AP64" s="46" t="s">
        <v>133</v>
      </c>
      <c r="AQ64" s="46" t="s">
        <v>133</v>
      </c>
      <c r="AR64" s="32">
        <v>285135</v>
      </c>
      <c r="AS64" s="33">
        <v>9.9512199999999995E-2</v>
      </c>
      <c r="AT64" s="33">
        <v>0.2434481</v>
      </c>
      <c r="AU64" s="33">
        <v>0</v>
      </c>
      <c r="AV64" s="34">
        <v>0.95315680000000003</v>
      </c>
      <c r="AX64" s="69" t="s">
        <v>153</v>
      </c>
      <c r="AY64" s="61">
        <f t="shared" si="12"/>
        <v>-0.29348801654233486</v>
      </c>
      <c r="AZ64" s="54">
        <v>0</v>
      </c>
    </row>
    <row r="65" spans="2:54" ht="21.6" customHeight="1">
      <c r="B65" s="211"/>
      <c r="C65" s="211"/>
      <c r="D65" s="46" t="s">
        <v>134</v>
      </c>
      <c r="E65" s="46" t="s">
        <v>134</v>
      </c>
      <c r="F65" s="32">
        <v>35543</v>
      </c>
      <c r="G65" s="33">
        <v>0.64010239999999996</v>
      </c>
      <c r="H65" s="33">
        <v>0.161195</v>
      </c>
      <c r="I65" s="33">
        <v>0.20821110000000001</v>
      </c>
      <c r="J65" s="34">
        <v>0.95218420000000004</v>
      </c>
      <c r="L65" s="46" t="s">
        <v>134</v>
      </c>
      <c r="M65" s="46" t="s">
        <v>134</v>
      </c>
      <c r="N65" s="32">
        <v>285135</v>
      </c>
      <c r="O65" s="33">
        <v>0.1100589</v>
      </c>
      <c r="P65" s="33">
        <v>0.22412850000000001</v>
      </c>
      <c r="Q65" s="33">
        <v>0</v>
      </c>
      <c r="R65" s="34">
        <v>0.95218420000000004</v>
      </c>
      <c r="T65" s="69" t="s">
        <v>154</v>
      </c>
      <c r="U65" s="61">
        <f t="shared" si="11"/>
        <v>2.3649089696312604</v>
      </c>
      <c r="V65" s="54">
        <v>0</v>
      </c>
      <c r="AE65" s="211"/>
      <c r="AF65" s="211"/>
      <c r="AG65" s="46" t="s">
        <v>134</v>
      </c>
      <c r="AH65" s="46" t="s">
        <v>134</v>
      </c>
      <c r="AI65" s="32">
        <v>35543</v>
      </c>
      <c r="AJ65" s="33">
        <v>0.64010239999999996</v>
      </c>
      <c r="AK65" s="33">
        <v>0.161195</v>
      </c>
      <c r="AL65" s="33">
        <v>0.20821110000000001</v>
      </c>
      <c r="AM65" s="34">
        <v>0.95218420000000004</v>
      </c>
      <c r="AP65" s="46" t="s">
        <v>134</v>
      </c>
      <c r="AQ65" s="46" t="s">
        <v>134</v>
      </c>
      <c r="AR65" s="32">
        <v>285135</v>
      </c>
      <c r="AS65" s="33">
        <v>0.1100589</v>
      </c>
      <c r="AT65" s="33">
        <v>0.22412850000000001</v>
      </c>
      <c r="AU65" s="33">
        <v>0</v>
      </c>
      <c r="AV65" s="34">
        <v>0.95218420000000004</v>
      </c>
      <c r="AX65" s="69" t="s">
        <v>154</v>
      </c>
      <c r="AY65" s="61">
        <f t="shared" si="12"/>
        <v>2.3649089696312604</v>
      </c>
      <c r="AZ65" s="54">
        <v>0</v>
      </c>
    </row>
    <row r="66" spans="2:54" ht="21.6" customHeight="1">
      <c r="B66" s="211"/>
      <c r="C66" s="211"/>
      <c r="D66" s="46" t="s">
        <v>135</v>
      </c>
      <c r="E66" s="46" t="s">
        <v>135</v>
      </c>
      <c r="F66" s="32">
        <v>35543</v>
      </c>
      <c r="G66" s="33">
        <v>3.7810000000000001E-3</v>
      </c>
      <c r="H66" s="33">
        <v>2.21972E-2</v>
      </c>
      <c r="I66" s="33">
        <v>0</v>
      </c>
      <c r="J66" s="34">
        <v>0.48529410000000001</v>
      </c>
      <c r="L66" s="46" t="s">
        <v>135</v>
      </c>
      <c r="M66" s="46" t="s">
        <v>135</v>
      </c>
      <c r="N66" s="32">
        <v>285135</v>
      </c>
      <c r="O66" s="33">
        <v>1.12163E-2</v>
      </c>
      <c r="P66" s="33">
        <v>5.03066E-2</v>
      </c>
      <c r="Q66" s="33">
        <v>0</v>
      </c>
      <c r="R66" s="34">
        <v>0.51052629999999999</v>
      </c>
      <c r="T66" s="69" t="s">
        <v>155</v>
      </c>
      <c r="U66" s="61">
        <f t="shared" si="11"/>
        <v>-0.14779969228689677</v>
      </c>
      <c r="V66" s="54">
        <v>0</v>
      </c>
      <c r="AE66" s="211"/>
      <c r="AF66" s="211"/>
      <c r="AG66" s="46" t="s">
        <v>135</v>
      </c>
      <c r="AH66" s="46" t="s">
        <v>135</v>
      </c>
      <c r="AI66" s="32">
        <v>35543</v>
      </c>
      <c r="AJ66" s="33">
        <v>3.7810000000000001E-3</v>
      </c>
      <c r="AK66" s="33">
        <v>2.21972E-2</v>
      </c>
      <c r="AL66" s="33">
        <v>0</v>
      </c>
      <c r="AM66" s="34">
        <v>0.48529410000000001</v>
      </c>
      <c r="AP66" s="46" t="s">
        <v>135</v>
      </c>
      <c r="AQ66" s="46" t="s">
        <v>135</v>
      </c>
      <c r="AR66" s="32">
        <v>285135</v>
      </c>
      <c r="AS66" s="33">
        <v>1.12163E-2</v>
      </c>
      <c r="AT66" s="33">
        <v>5.03066E-2</v>
      </c>
      <c r="AU66" s="33">
        <v>0</v>
      </c>
      <c r="AV66" s="34">
        <v>0.51052629999999999</v>
      </c>
      <c r="AX66" s="69" t="s">
        <v>155</v>
      </c>
      <c r="AY66" s="61">
        <f t="shared" si="12"/>
        <v>-0.14779969228689677</v>
      </c>
      <c r="AZ66" s="54">
        <v>0</v>
      </c>
    </row>
    <row r="67" spans="2:54" ht="21.6" customHeight="1">
      <c r="B67" s="211"/>
      <c r="C67" s="211"/>
      <c r="D67" s="46" t="s">
        <v>136</v>
      </c>
      <c r="E67" s="46" t="s">
        <v>136</v>
      </c>
      <c r="F67" s="32">
        <v>35543</v>
      </c>
      <c r="G67" s="33">
        <v>1.29084E-2</v>
      </c>
      <c r="H67" s="33">
        <v>2.3158100000000001E-2</v>
      </c>
      <c r="I67" s="33">
        <v>0</v>
      </c>
      <c r="J67" s="34">
        <v>0.19333330000000001</v>
      </c>
      <c r="L67" s="46" t="s">
        <v>136</v>
      </c>
      <c r="M67" s="46" t="s">
        <v>136</v>
      </c>
      <c r="N67" s="32">
        <v>285135</v>
      </c>
      <c r="O67" s="33">
        <v>1.9921000000000001E-2</v>
      </c>
      <c r="P67" s="33">
        <v>4.8187399999999998E-2</v>
      </c>
      <c r="Q67" s="33">
        <v>0</v>
      </c>
      <c r="R67" s="34">
        <v>0.5</v>
      </c>
      <c r="T67" s="69" t="s">
        <v>156</v>
      </c>
      <c r="U67" s="61">
        <f t="shared" si="11"/>
        <v>-0.14552766905871661</v>
      </c>
      <c r="V67" s="54">
        <v>0</v>
      </c>
      <c r="AE67" s="211"/>
      <c r="AF67" s="211"/>
      <c r="AG67" s="46" t="s">
        <v>136</v>
      </c>
      <c r="AH67" s="46" t="s">
        <v>136</v>
      </c>
      <c r="AI67" s="32">
        <v>35543</v>
      </c>
      <c r="AJ67" s="33">
        <v>1.29084E-2</v>
      </c>
      <c r="AK67" s="33">
        <v>2.3158100000000001E-2</v>
      </c>
      <c r="AL67" s="33">
        <v>0</v>
      </c>
      <c r="AM67" s="34">
        <v>0.19333330000000001</v>
      </c>
      <c r="AP67" s="46" t="s">
        <v>136</v>
      </c>
      <c r="AQ67" s="46" t="s">
        <v>136</v>
      </c>
      <c r="AR67" s="32">
        <v>285135</v>
      </c>
      <c r="AS67" s="33">
        <v>1.9921000000000001E-2</v>
      </c>
      <c r="AT67" s="33">
        <v>4.8187399999999998E-2</v>
      </c>
      <c r="AU67" s="33">
        <v>0</v>
      </c>
      <c r="AV67" s="34">
        <v>0.5</v>
      </c>
      <c r="AX67" s="69" t="s">
        <v>156</v>
      </c>
      <c r="AY67" s="61">
        <f t="shared" si="12"/>
        <v>-0.14552766905871661</v>
      </c>
      <c r="AZ67" s="54">
        <v>0</v>
      </c>
    </row>
    <row r="68" spans="2:54" ht="21.6" customHeight="1">
      <c r="B68" s="211"/>
      <c r="C68" s="211"/>
      <c r="D68" s="46" t="s">
        <v>137</v>
      </c>
      <c r="E68" s="46" t="s">
        <v>137</v>
      </c>
      <c r="F68" s="32">
        <v>35543</v>
      </c>
      <c r="G68" s="33">
        <v>1.42156E-2</v>
      </c>
      <c r="H68" s="33">
        <v>3.0277800000000001E-2</v>
      </c>
      <c r="I68" s="33">
        <v>0</v>
      </c>
      <c r="J68" s="34">
        <v>0.35714289999999999</v>
      </c>
      <c r="L68" s="46" t="s">
        <v>137</v>
      </c>
      <c r="M68" s="46" t="s">
        <v>137</v>
      </c>
      <c r="N68" s="32">
        <v>285135</v>
      </c>
      <c r="O68" s="33">
        <v>3.6702899999999997E-2</v>
      </c>
      <c r="P68" s="33">
        <v>9.8033800000000004E-2</v>
      </c>
      <c r="Q68" s="33">
        <v>0</v>
      </c>
      <c r="R68" s="34">
        <v>0.92857140000000005</v>
      </c>
      <c r="T68" s="69" t="s">
        <v>157</v>
      </c>
      <c r="U68" s="61">
        <f t="shared" si="11"/>
        <v>-0.22938313112416323</v>
      </c>
      <c r="V68" s="54">
        <v>0</v>
      </c>
      <c r="AE68" s="211"/>
      <c r="AF68" s="211"/>
      <c r="AG68" s="46" t="s">
        <v>137</v>
      </c>
      <c r="AH68" s="46" t="s">
        <v>137</v>
      </c>
      <c r="AI68" s="32">
        <v>35543</v>
      </c>
      <c r="AJ68" s="33">
        <v>1.42156E-2</v>
      </c>
      <c r="AK68" s="33">
        <v>3.0277800000000001E-2</v>
      </c>
      <c r="AL68" s="33">
        <v>0</v>
      </c>
      <c r="AM68" s="34">
        <v>0.35714289999999999</v>
      </c>
      <c r="AP68" s="46" t="s">
        <v>137</v>
      </c>
      <c r="AQ68" s="46" t="s">
        <v>137</v>
      </c>
      <c r="AR68" s="32">
        <v>285135</v>
      </c>
      <c r="AS68" s="33">
        <v>3.6702899999999997E-2</v>
      </c>
      <c r="AT68" s="33">
        <v>9.8033800000000004E-2</v>
      </c>
      <c r="AU68" s="33">
        <v>0</v>
      </c>
      <c r="AV68" s="34">
        <v>0.92857140000000005</v>
      </c>
      <c r="AX68" s="69" t="s">
        <v>157</v>
      </c>
      <c r="AY68" s="61">
        <f t="shared" si="12"/>
        <v>-0.22938313112416323</v>
      </c>
      <c r="AZ68" s="54">
        <v>0</v>
      </c>
    </row>
    <row r="69" spans="2:54" ht="21.6" customHeight="1">
      <c r="B69" s="211"/>
      <c r="C69" s="211"/>
      <c r="D69" s="46" t="s">
        <v>138</v>
      </c>
      <c r="E69" s="46" t="s">
        <v>138</v>
      </c>
      <c r="F69" s="32">
        <v>35543</v>
      </c>
      <c r="G69" s="33">
        <v>0.20442360000000001</v>
      </c>
      <c r="H69" s="33">
        <v>0.14429510000000001</v>
      </c>
      <c r="I69" s="33">
        <v>0</v>
      </c>
      <c r="J69" s="34">
        <v>0.62365590000000004</v>
      </c>
      <c r="L69" s="46" t="s">
        <v>138</v>
      </c>
      <c r="M69" s="46" t="s">
        <v>138</v>
      </c>
      <c r="N69" s="32">
        <v>285135</v>
      </c>
      <c r="O69" s="33">
        <v>0.55043059999999999</v>
      </c>
      <c r="P69" s="33">
        <v>0.32089380000000001</v>
      </c>
      <c r="Q69" s="33">
        <v>0</v>
      </c>
      <c r="R69" s="34">
        <v>1</v>
      </c>
      <c r="T69" s="69" t="s">
        <v>158</v>
      </c>
      <c r="U69" s="61">
        <f t="shared" si="11"/>
        <v>-1.07826015959174</v>
      </c>
      <c r="V69" s="54">
        <v>0</v>
      </c>
      <c r="AE69" s="211"/>
      <c r="AF69" s="211"/>
      <c r="AG69" s="46" t="s">
        <v>138</v>
      </c>
      <c r="AH69" s="46" t="s">
        <v>138</v>
      </c>
      <c r="AI69" s="32">
        <v>35543</v>
      </c>
      <c r="AJ69" s="33">
        <v>0.20442360000000001</v>
      </c>
      <c r="AK69" s="33">
        <v>0.14429510000000001</v>
      </c>
      <c r="AL69" s="33">
        <v>0</v>
      </c>
      <c r="AM69" s="34">
        <v>0.62365590000000004</v>
      </c>
      <c r="AP69" s="46" t="s">
        <v>138</v>
      </c>
      <c r="AQ69" s="46" t="s">
        <v>138</v>
      </c>
      <c r="AR69" s="32">
        <v>285135</v>
      </c>
      <c r="AS69" s="33">
        <v>0.55043059999999999</v>
      </c>
      <c r="AT69" s="33">
        <v>0.32089380000000001</v>
      </c>
      <c r="AU69" s="33">
        <v>0</v>
      </c>
      <c r="AV69" s="34">
        <v>1</v>
      </c>
      <c r="AX69" s="69" t="s">
        <v>158</v>
      </c>
      <c r="AY69" s="61">
        <f t="shared" si="12"/>
        <v>-1.07826015959174</v>
      </c>
      <c r="AZ69" s="54">
        <v>0</v>
      </c>
    </row>
    <row r="70" spans="2:54" ht="21.6" customHeight="1">
      <c r="B70" s="211"/>
      <c r="C70" s="211"/>
      <c r="D70" s="46" t="s">
        <v>139</v>
      </c>
      <c r="E70" s="46" t="s">
        <v>139</v>
      </c>
      <c r="F70" s="32">
        <v>35543</v>
      </c>
      <c r="G70" s="33">
        <v>1.8245999999999998E-2</v>
      </c>
      <c r="H70" s="33">
        <v>5.1794399999999997E-2</v>
      </c>
      <c r="I70" s="33">
        <v>0</v>
      </c>
      <c r="J70" s="34">
        <v>0.3714286</v>
      </c>
      <c r="L70" s="46" t="s">
        <v>139</v>
      </c>
      <c r="M70" s="46" t="s">
        <v>139</v>
      </c>
      <c r="N70" s="32">
        <v>285135</v>
      </c>
      <c r="O70" s="33">
        <v>2.06415E-2</v>
      </c>
      <c r="P70" s="33">
        <v>9.5968100000000001E-2</v>
      </c>
      <c r="Q70" s="33">
        <v>0</v>
      </c>
      <c r="R70" s="34">
        <v>0.88709680000000002</v>
      </c>
      <c r="T70" s="69" t="s">
        <v>159</v>
      </c>
      <c r="U70" s="61">
        <f t="shared" si="11"/>
        <v>-2.4961419471678629E-2</v>
      </c>
      <c r="V70" s="54">
        <v>0</v>
      </c>
      <c r="AE70" s="211"/>
      <c r="AF70" s="211"/>
      <c r="AG70" s="46" t="s">
        <v>139</v>
      </c>
      <c r="AH70" s="46" t="s">
        <v>139</v>
      </c>
      <c r="AI70" s="32">
        <v>35543</v>
      </c>
      <c r="AJ70" s="33">
        <v>1.8245999999999998E-2</v>
      </c>
      <c r="AK70" s="33">
        <v>5.1794399999999997E-2</v>
      </c>
      <c r="AL70" s="33">
        <v>0</v>
      </c>
      <c r="AM70" s="34">
        <v>0.3714286</v>
      </c>
      <c r="AP70" s="46" t="s">
        <v>139</v>
      </c>
      <c r="AQ70" s="46" t="s">
        <v>139</v>
      </c>
      <c r="AR70" s="32">
        <v>285135</v>
      </c>
      <c r="AS70" s="33">
        <v>2.06415E-2</v>
      </c>
      <c r="AT70" s="33">
        <v>9.5968100000000001E-2</v>
      </c>
      <c r="AU70" s="33">
        <v>0</v>
      </c>
      <c r="AV70" s="34">
        <v>0.88709680000000002</v>
      </c>
      <c r="AX70" s="69" t="s">
        <v>159</v>
      </c>
      <c r="AY70" s="61">
        <f t="shared" si="12"/>
        <v>-2.4961419471678629E-2</v>
      </c>
      <c r="AZ70" s="54">
        <v>0</v>
      </c>
    </row>
    <row r="71" spans="2:54" ht="21.6" customHeight="1" thickBot="1">
      <c r="B71" s="212"/>
      <c r="C71" s="212"/>
      <c r="D71" s="47" t="s">
        <v>140</v>
      </c>
      <c r="E71" s="47" t="s">
        <v>140</v>
      </c>
      <c r="F71" s="35">
        <v>35543</v>
      </c>
      <c r="G71" s="36">
        <v>5.3574200000000002E-2</v>
      </c>
      <c r="H71" s="36">
        <v>6.4945199999999995E-2</v>
      </c>
      <c r="I71" s="36">
        <v>0</v>
      </c>
      <c r="J71" s="37">
        <v>0.3823529</v>
      </c>
      <c r="L71" s="47" t="s">
        <v>140</v>
      </c>
      <c r="M71" s="47" t="s">
        <v>140</v>
      </c>
      <c r="N71" s="35">
        <v>285135</v>
      </c>
      <c r="O71" s="36">
        <v>6.9534299999999993E-2</v>
      </c>
      <c r="P71" s="36">
        <v>0.1103164</v>
      </c>
      <c r="Q71" s="36">
        <v>0</v>
      </c>
      <c r="R71" s="37">
        <v>0.63157890000000005</v>
      </c>
      <c r="T71" s="70" t="s">
        <v>160</v>
      </c>
      <c r="U71" s="62">
        <f t="shared" si="11"/>
        <v>-0.14467567832162753</v>
      </c>
      <c r="V71" s="55">
        <v>0</v>
      </c>
      <c r="AE71" s="212"/>
      <c r="AF71" s="212"/>
      <c r="AG71" s="47" t="s">
        <v>140</v>
      </c>
      <c r="AH71" s="47" t="s">
        <v>140</v>
      </c>
      <c r="AI71" s="35">
        <v>35543</v>
      </c>
      <c r="AJ71" s="36">
        <v>5.3574200000000002E-2</v>
      </c>
      <c r="AK71" s="36">
        <v>6.4945199999999995E-2</v>
      </c>
      <c r="AL71" s="36">
        <v>0</v>
      </c>
      <c r="AM71" s="37">
        <v>0.3823529</v>
      </c>
      <c r="AP71" s="47" t="s">
        <v>140</v>
      </c>
      <c r="AQ71" s="47" t="s">
        <v>140</v>
      </c>
      <c r="AR71" s="35">
        <v>285135</v>
      </c>
      <c r="AS71" s="36">
        <v>6.9534299999999993E-2</v>
      </c>
      <c r="AT71" s="36">
        <v>0.1103164</v>
      </c>
      <c r="AU71" s="36">
        <v>0</v>
      </c>
      <c r="AV71" s="37">
        <v>0.63157890000000005</v>
      </c>
      <c r="AX71" s="70" t="s">
        <v>160</v>
      </c>
      <c r="AY71" s="62">
        <f t="shared" si="12"/>
        <v>-0.14467567832162753</v>
      </c>
      <c r="AZ71" s="55">
        <v>0</v>
      </c>
    </row>
    <row r="72" spans="2:54" ht="21" customHeight="1">
      <c r="B72" s="210">
        <v>7</v>
      </c>
      <c r="C72" s="210">
        <v>3359</v>
      </c>
      <c r="D72" s="45" t="s">
        <v>130</v>
      </c>
      <c r="E72" s="45" t="s">
        <v>130</v>
      </c>
      <c r="F72" s="29">
        <v>3359</v>
      </c>
      <c r="G72" s="30">
        <v>0.23218820000000001</v>
      </c>
      <c r="H72" s="30">
        <v>8.2625000000000004E-2</v>
      </c>
      <c r="I72" s="30">
        <v>0.1111111</v>
      </c>
      <c r="J72" s="31">
        <v>0.4166667</v>
      </c>
      <c r="L72" s="45" t="s">
        <v>130</v>
      </c>
      <c r="M72" s="45" t="s">
        <v>130</v>
      </c>
      <c r="N72" s="29">
        <v>285135</v>
      </c>
      <c r="O72" s="30">
        <v>5.3293000000000004E-3</v>
      </c>
      <c r="P72" s="30">
        <v>2.9197500000000001E-2</v>
      </c>
      <c r="Q72" s="30">
        <v>0</v>
      </c>
      <c r="R72" s="31">
        <v>0.4166667</v>
      </c>
      <c r="T72" s="68" t="s">
        <v>150</v>
      </c>
      <c r="U72" s="60">
        <f>+(G72-O72)/P72</f>
        <v>7.76980563404401</v>
      </c>
      <c r="V72" s="53">
        <v>0</v>
      </c>
      <c r="AE72" s="210">
        <v>7</v>
      </c>
      <c r="AF72" s="210">
        <v>24530</v>
      </c>
      <c r="AG72" s="45" t="s">
        <v>130</v>
      </c>
      <c r="AH72" s="45" t="s">
        <v>130</v>
      </c>
      <c r="AI72" s="29">
        <v>24530</v>
      </c>
      <c r="AJ72" s="30">
        <v>8.0798100000000004E-4</v>
      </c>
      <c r="AK72" s="30">
        <v>4.8047000000000003E-3</v>
      </c>
      <c r="AL72" s="30">
        <v>0</v>
      </c>
      <c r="AM72" s="31">
        <v>0.1314554</v>
      </c>
      <c r="AP72" s="45" t="s">
        <v>130</v>
      </c>
      <c r="AQ72" s="45" t="s">
        <v>130</v>
      </c>
      <c r="AR72" s="29">
        <v>285135</v>
      </c>
      <c r="AS72" s="30">
        <v>5.3293000000000004E-3</v>
      </c>
      <c r="AT72" s="30">
        <v>2.9197500000000001E-2</v>
      </c>
      <c r="AU72" s="30">
        <v>0</v>
      </c>
      <c r="AV72" s="31">
        <v>0.4166667</v>
      </c>
      <c r="AX72" s="68" t="s">
        <v>150</v>
      </c>
      <c r="AY72" s="60">
        <f>+(AJ72-AS72)/AT72</f>
        <v>-0.1548529497388475</v>
      </c>
      <c r="AZ72" s="53">
        <v>0</v>
      </c>
    </row>
    <row r="73" spans="2:54" ht="21" customHeight="1">
      <c r="B73" s="211"/>
      <c r="C73" s="211"/>
      <c r="D73" s="46" t="s">
        <v>131</v>
      </c>
      <c r="E73" s="46" t="s">
        <v>131</v>
      </c>
      <c r="F73" s="32">
        <v>3359</v>
      </c>
      <c r="G73" s="33">
        <v>4.1421600000000003E-2</v>
      </c>
      <c r="H73" s="33">
        <v>0.1058719</v>
      </c>
      <c r="I73" s="33">
        <v>0</v>
      </c>
      <c r="J73" s="34">
        <v>0.78947369999999994</v>
      </c>
      <c r="L73" s="46" t="s">
        <v>131</v>
      </c>
      <c r="M73" s="46" t="s">
        <v>131</v>
      </c>
      <c r="N73" s="32">
        <v>285135</v>
      </c>
      <c r="O73" s="33">
        <v>4.1117800000000003E-2</v>
      </c>
      <c r="P73" s="33">
        <v>9.75636E-2</v>
      </c>
      <c r="Q73" s="33">
        <v>0</v>
      </c>
      <c r="R73" s="34">
        <v>0.8</v>
      </c>
      <c r="T73" s="69" t="s">
        <v>151</v>
      </c>
      <c r="U73" s="61">
        <f t="shared" ref="U73:U82" si="13">+(G73-O73)/P73</f>
        <v>3.1138662369982239E-3</v>
      </c>
      <c r="V73" s="54">
        <v>0</v>
      </c>
      <c r="AE73" s="211"/>
      <c r="AF73" s="211"/>
      <c r="AG73" s="46" t="s">
        <v>131</v>
      </c>
      <c r="AH73" s="46" t="s">
        <v>131</v>
      </c>
      <c r="AI73" s="32">
        <v>24530</v>
      </c>
      <c r="AJ73" s="33">
        <v>7.5684999999999997E-3</v>
      </c>
      <c r="AK73" s="33">
        <v>1.72742E-2</v>
      </c>
      <c r="AL73" s="33">
        <v>0</v>
      </c>
      <c r="AM73" s="34">
        <v>0.27812500000000001</v>
      </c>
      <c r="AP73" s="46" t="s">
        <v>131</v>
      </c>
      <c r="AQ73" s="46" t="s">
        <v>131</v>
      </c>
      <c r="AR73" s="32">
        <v>285135</v>
      </c>
      <c r="AS73" s="33">
        <v>4.1117800000000003E-2</v>
      </c>
      <c r="AT73" s="33">
        <v>9.75636E-2</v>
      </c>
      <c r="AU73" s="33">
        <v>0</v>
      </c>
      <c r="AV73" s="34">
        <v>0.8</v>
      </c>
      <c r="AX73" s="69" t="s">
        <v>151</v>
      </c>
      <c r="AY73" s="61">
        <f>+(AJ73-AS73)/AT73</f>
        <v>-0.3438710748680861</v>
      </c>
      <c r="AZ73" s="54">
        <v>0</v>
      </c>
      <c r="BB73" s="113">
        <f>+AI73/AR73</f>
        <v>8.6029424658495099E-2</v>
      </c>
    </row>
    <row r="74" spans="2:54" ht="21" customHeight="1">
      <c r="B74" s="211"/>
      <c r="C74" s="211"/>
      <c r="D74" s="46" t="s">
        <v>132</v>
      </c>
      <c r="E74" s="46" t="s">
        <v>132</v>
      </c>
      <c r="F74" s="32">
        <v>3359</v>
      </c>
      <c r="G74" s="33">
        <v>4.1184499999999999E-2</v>
      </c>
      <c r="H74" s="33">
        <v>9.0141600000000002E-2</v>
      </c>
      <c r="I74" s="33">
        <v>0</v>
      </c>
      <c r="J74" s="34">
        <v>0.58823530000000002</v>
      </c>
      <c r="L74" s="46" t="s">
        <v>132</v>
      </c>
      <c r="M74" s="46" t="s">
        <v>132</v>
      </c>
      <c r="N74" s="32">
        <v>285135</v>
      </c>
      <c r="O74" s="33">
        <v>3.5534999999999997E-2</v>
      </c>
      <c r="P74" s="33">
        <v>8.58878E-2</v>
      </c>
      <c r="Q74" s="33">
        <v>0</v>
      </c>
      <c r="R74" s="34">
        <v>0.58964139999999998</v>
      </c>
      <c r="T74" s="69" t="s">
        <v>152</v>
      </c>
      <c r="U74" s="61">
        <f t="shared" si="13"/>
        <v>6.5777677388406758E-2</v>
      </c>
      <c r="V74" s="54">
        <v>0</v>
      </c>
      <c r="AE74" s="211"/>
      <c r="AF74" s="211"/>
      <c r="AG74" s="46" t="s">
        <v>132</v>
      </c>
      <c r="AH74" s="46" t="s">
        <v>132</v>
      </c>
      <c r="AI74" s="32">
        <v>24530</v>
      </c>
      <c r="AJ74" s="33">
        <v>3.6871E-3</v>
      </c>
      <c r="AK74" s="33">
        <v>1.17232E-2</v>
      </c>
      <c r="AL74" s="33">
        <v>0</v>
      </c>
      <c r="AM74" s="34">
        <v>0.25641029999999998</v>
      </c>
      <c r="AP74" s="46" t="s">
        <v>132</v>
      </c>
      <c r="AQ74" s="46" t="s">
        <v>132</v>
      </c>
      <c r="AR74" s="32">
        <v>285135</v>
      </c>
      <c r="AS74" s="33">
        <v>3.5534999999999997E-2</v>
      </c>
      <c r="AT74" s="33">
        <v>8.58878E-2</v>
      </c>
      <c r="AU74" s="33">
        <v>0</v>
      </c>
      <c r="AV74" s="34">
        <v>0.58964139999999998</v>
      </c>
      <c r="AX74" s="69" t="s">
        <v>152</v>
      </c>
      <c r="AY74" s="61">
        <f t="shared" ref="AY74:AY82" si="14">+(AJ74-AS74)/AT74</f>
        <v>-0.37080819394605519</v>
      </c>
      <c r="AZ74" s="54">
        <v>0</v>
      </c>
    </row>
    <row r="75" spans="2:54" ht="21" customHeight="1">
      <c r="B75" s="211"/>
      <c r="C75" s="211"/>
      <c r="D75" s="46" t="s">
        <v>133</v>
      </c>
      <c r="E75" s="46" t="s">
        <v>133</v>
      </c>
      <c r="F75" s="32">
        <v>3359</v>
      </c>
      <c r="G75" s="33">
        <v>7.6293999999999997E-3</v>
      </c>
      <c r="H75" s="33">
        <v>5.8980400000000002E-2</v>
      </c>
      <c r="I75" s="33">
        <v>0</v>
      </c>
      <c r="J75" s="34">
        <v>0.75</v>
      </c>
      <c r="L75" s="46" t="s">
        <v>133</v>
      </c>
      <c r="M75" s="46" t="s">
        <v>133</v>
      </c>
      <c r="N75" s="32">
        <v>285135</v>
      </c>
      <c r="O75" s="33">
        <v>9.9512199999999995E-2</v>
      </c>
      <c r="P75" s="33">
        <v>0.2434481</v>
      </c>
      <c r="Q75" s="33">
        <v>0</v>
      </c>
      <c r="R75" s="34">
        <v>0.95315680000000003</v>
      </c>
      <c r="T75" s="69" t="s">
        <v>153</v>
      </c>
      <c r="U75" s="61">
        <f t="shared" si="13"/>
        <v>-0.37742253893129585</v>
      </c>
      <c r="V75" s="54">
        <v>0</v>
      </c>
      <c r="AE75" s="211"/>
      <c r="AF75" s="211"/>
      <c r="AG75" s="46" t="s">
        <v>133</v>
      </c>
      <c r="AH75" s="46" t="s">
        <v>133</v>
      </c>
      <c r="AI75" s="32">
        <v>24530</v>
      </c>
      <c r="AJ75" s="33">
        <v>0.80232369999999997</v>
      </c>
      <c r="AK75" s="33">
        <v>9.0511599999999998E-2</v>
      </c>
      <c r="AL75" s="33">
        <v>0.55555560000000004</v>
      </c>
      <c r="AM75" s="34">
        <v>0.95315680000000003</v>
      </c>
      <c r="AP75" s="46" t="s">
        <v>133</v>
      </c>
      <c r="AQ75" s="46" t="s">
        <v>133</v>
      </c>
      <c r="AR75" s="32">
        <v>285135</v>
      </c>
      <c r="AS75" s="33">
        <v>9.9512199999999995E-2</v>
      </c>
      <c r="AT75" s="33">
        <v>0.2434481</v>
      </c>
      <c r="AU75" s="33">
        <v>0</v>
      </c>
      <c r="AV75" s="34">
        <v>0.95315680000000003</v>
      </c>
      <c r="AX75" s="69" t="s">
        <v>153</v>
      </c>
      <c r="AY75" s="61">
        <f t="shared" si="14"/>
        <v>2.8869048474808383</v>
      </c>
      <c r="AZ75" s="54">
        <v>0</v>
      </c>
    </row>
    <row r="76" spans="2:54" ht="21" customHeight="1">
      <c r="B76" s="211"/>
      <c r="C76" s="211"/>
      <c r="D76" s="46" t="s">
        <v>134</v>
      </c>
      <c r="E76" s="46" t="s">
        <v>134</v>
      </c>
      <c r="F76" s="32">
        <v>3359</v>
      </c>
      <c r="G76" s="33">
        <v>3.5623599999999998E-2</v>
      </c>
      <c r="H76" s="33">
        <v>0.12131459999999999</v>
      </c>
      <c r="I76" s="33">
        <v>0</v>
      </c>
      <c r="J76" s="34">
        <v>0.81188119999999997</v>
      </c>
      <c r="L76" s="46" t="s">
        <v>134</v>
      </c>
      <c r="M76" s="46" t="s">
        <v>134</v>
      </c>
      <c r="N76" s="32">
        <v>285135</v>
      </c>
      <c r="O76" s="33">
        <v>0.1100589</v>
      </c>
      <c r="P76" s="33">
        <v>0.22412850000000001</v>
      </c>
      <c r="Q76" s="33">
        <v>0</v>
      </c>
      <c r="R76" s="34">
        <v>0.95218420000000004</v>
      </c>
      <c r="T76" s="69" t="s">
        <v>154</v>
      </c>
      <c r="U76" s="61">
        <f t="shared" si="13"/>
        <v>-0.33210992801004785</v>
      </c>
      <c r="V76" s="54">
        <v>0</v>
      </c>
      <c r="AE76" s="211"/>
      <c r="AF76" s="211"/>
      <c r="AG76" s="46" t="s">
        <v>134</v>
      </c>
      <c r="AH76" s="46" t="s">
        <v>134</v>
      </c>
      <c r="AI76" s="32">
        <v>24530</v>
      </c>
      <c r="AJ76" s="33">
        <v>4.3190300000000001E-2</v>
      </c>
      <c r="AK76" s="33">
        <v>5.7240800000000001E-2</v>
      </c>
      <c r="AL76" s="33">
        <v>0</v>
      </c>
      <c r="AM76" s="34">
        <v>0.3230769</v>
      </c>
      <c r="AP76" s="46" t="s">
        <v>134</v>
      </c>
      <c r="AQ76" s="46" t="s">
        <v>134</v>
      </c>
      <c r="AR76" s="32">
        <v>285135</v>
      </c>
      <c r="AS76" s="33">
        <v>0.1100589</v>
      </c>
      <c r="AT76" s="33">
        <v>0.22412850000000001</v>
      </c>
      <c r="AU76" s="33">
        <v>0</v>
      </c>
      <c r="AV76" s="34">
        <v>0.95218420000000004</v>
      </c>
      <c r="AX76" s="69" t="s">
        <v>154</v>
      </c>
      <c r="AY76" s="61">
        <f t="shared" si="14"/>
        <v>-0.29834938439332792</v>
      </c>
      <c r="AZ76" s="54">
        <v>0</v>
      </c>
    </row>
    <row r="77" spans="2:54" ht="21" customHeight="1">
      <c r="B77" s="211"/>
      <c r="C77" s="211"/>
      <c r="D77" s="46" t="s">
        <v>135</v>
      </c>
      <c r="E77" s="46" t="s">
        <v>135</v>
      </c>
      <c r="F77" s="32">
        <v>3359</v>
      </c>
      <c r="G77" s="33">
        <v>7.3655999999999999E-3</v>
      </c>
      <c r="H77" s="33">
        <v>3.8519200000000003E-2</v>
      </c>
      <c r="I77" s="33">
        <v>0</v>
      </c>
      <c r="J77" s="34">
        <v>0.5</v>
      </c>
      <c r="L77" s="46" t="s">
        <v>135</v>
      </c>
      <c r="M77" s="46" t="s">
        <v>135</v>
      </c>
      <c r="N77" s="32">
        <v>285135</v>
      </c>
      <c r="O77" s="33">
        <v>1.12163E-2</v>
      </c>
      <c r="P77" s="33">
        <v>5.03066E-2</v>
      </c>
      <c r="Q77" s="33">
        <v>0</v>
      </c>
      <c r="R77" s="34">
        <v>0.51052629999999999</v>
      </c>
      <c r="T77" s="69" t="s">
        <v>155</v>
      </c>
      <c r="U77" s="61">
        <f t="shared" si="13"/>
        <v>-7.6544628339025103E-2</v>
      </c>
      <c r="V77" s="54">
        <v>0</v>
      </c>
      <c r="AE77" s="211"/>
      <c r="AF77" s="211"/>
      <c r="AG77" s="46" t="s">
        <v>135</v>
      </c>
      <c r="AH77" s="46" t="s">
        <v>135</v>
      </c>
      <c r="AI77" s="32">
        <v>24530</v>
      </c>
      <c r="AJ77" s="33">
        <v>1.6484E-3</v>
      </c>
      <c r="AK77" s="33">
        <v>9.1786999999999997E-3</v>
      </c>
      <c r="AL77" s="33">
        <v>0</v>
      </c>
      <c r="AM77" s="34">
        <v>0.24166670000000001</v>
      </c>
      <c r="AP77" s="46" t="s">
        <v>135</v>
      </c>
      <c r="AQ77" s="46" t="s">
        <v>135</v>
      </c>
      <c r="AR77" s="32">
        <v>285135</v>
      </c>
      <c r="AS77" s="33">
        <v>1.12163E-2</v>
      </c>
      <c r="AT77" s="33">
        <v>5.03066E-2</v>
      </c>
      <c r="AU77" s="33">
        <v>0</v>
      </c>
      <c r="AV77" s="34">
        <v>0.51052629999999999</v>
      </c>
      <c r="AX77" s="69" t="s">
        <v>155</v>
      </c>
      <c r="AY77" s="61">
        <f t="shared" si="14"/>
        <v>-0.1901917442244159</v>
      </c>
      <c r="AZ77" s="54">
        <v>0</v>
      </c>
    </row>
    <row r="78" spans="2:54" ht="21" customHeight="1">
      <c r="B78" s="211"/>
      <c r="C78" s="211"/>
      <c r="D78" s="46" t="s">
        <v>136</v>
      </c>
      <c r="E78" s="46" t="s">
        <v>136</v>
      </c>
      <c r="F78" s="32">
        <v>3359</v>
      </c>
      <c r="G78" s="33">
        <v>4.9320799999999998E-2</v>
      </c>
      <c r="H78" s="33">
        <v>9.1710700000000006E-2</v>
      </c>
      <c r="I78" s="33">
        <v>0</v>
      </c>
      <c r="J78" s="34">
        <v>0.5</v>
      </c>
      <c r="L78" s="46" t="s">
        <v>136</v>
      </c>
      <c r="M78" s="46" t="s">
        <v>136</v>
      </c>
      <c r="N78" s="32">
        <v>285135</v>
      </c>
      <c r="O78" s="33">
        <v>1.9921000000000001E-2</v>
      </c>
      <c r="P78" s="33">
        <v>4.8187399999999998E-2</v>
      </c>
      <c r="Q78" s="33">
        <v>0</v>
      </c>
      <c r="R78" s="34">
        <v>0.5</v>
      </c>
      <c r="T78" s="69" t="s">
        <v>156</v>
      </c>
      <c r="U78" s="61">
        <f t="shared" si="13"/>
        <v>0.61011384718826911</v>
      </c>
      <c r="V78" s="54">
        <v>0</v>
      </c>
      <c r="AE78" s="211"/>
      <c r="AF78" s="211"/>
      <c r="AG78" s="46" t="s">
        <v>136</v>
      </c>
      <c r="AH78" s="46" t="s">
        <v>136</v>
      </c>
      <c r="AI78" s="32">
        <v>24530</v>
      </c>
      <c r="AJ78" s="33">
        <v>5.0680999999999999E-3</v>
      </c>
      <c r="AK78" s="33">
        <v>1.1025699999999999E-2</v>
      </c>
      <c r="AL78" s="33">
        <v>0</v>
      </c>
      <c r="AM78" s="34">
        <v>0.18181820000000001</v>
      </c>
      <c r="AP78" s="46" t="s">
        <v>136</v>
      </c>
      <c r="AQ78" s="46" t="s">
        <v>136</v>
      </c>
      <c r="AR78" s="32">
        <v>285135</v>
      </c>
      <c r="AS78" s="33">
        <v>1.9921000000000001E-2</v>
      </c>
      <c r="AT78" s="33">
        <v>4.8187399999999998E-2</v>
      </c>
      <c r="AU78" s="33">
        <v>0</v>
      </c>
      <c r="AV78" s="34">
        <v>0.5</v>
      </c>
      <c r="AX78" s="69" t="s">
        <v>156</v>
      </c>
      <c r="AY78" s="61">
        <f t="shared" si="14"/>
        <v>-0.30823202745946043</v>
      </c>
      <c r="AZ78" s="54">
        <v>0</v>
      </c>
    </row>
    <row r="79" spans="2:54" ht="21" customHeight="1">
      <c r="B79" s="211"/>
      <c r="C79" s="211"/>
      <c r="D79" s="46" t="s">
        <v>137</v>
      </c>
      <c r="E79" s="46" t="s">
        <v>137</v>
      </c>
      <c r="F79" s="32">
        <v>3359</v>
      </c>
      <c r="G79" s="33">
        <v>5.1148100000000002E-2</v>
      </c>
      <c r="H79" s="33">
        <v>9.9743899999999996E-2</v>
      </c>
      <c r="I79" s="33">
        <v>0</v>
      </c>
      <c r="J79" s="34">
        <v>0.76</v>
      </c>
      <c r="L79" s="46" t="s">
        <v>137</v>
      </c>
      <c r="M79" s="46" t="s">
        <v>137</v>
      </c>
      <c r="N79" s="32">
        <v>285135</v>
      </c>
      <c r="O79" s="33">
        <v>3.6702899999999997E-2</v>
      </c>
      <c r="P79" s="33">
        <v>9.8033800000000004E-2</v>
      </c>
      <c r="Q79" s="33">
        <v>0</v>
      </c>
      <c r="R79" s="34">
        <v>0.92857140000000005</v>
      </c>
      <c r="T79" s="69" t="s">
        <v>157</v>
      </c>
      <c r="U79" s="61">
        <f t="shared" si="13"/>
        <v>0.14734917956867943</v>
      </c>
      <c r="V79" s="54">
        <v>0</v>
      </c>
      <c r="AE79" s="211"/>
      <c r="AF79" s="211"/>
      <c r="AG79" s="46" t="s">
        <v>137</v>
      </c>
      <c r="AH79" s="46" t="s">
        <v>137</v>
      </c>
      <c r="AI79" s="32">
        <v>24530</v>
      </c>
      <c r="AJ79" s="33">
        <v>3.901E-3</v>
      </c>
      <c r="AK79" s="33">
        <v>1.0617700000000001E-2</v>
      </c>
      <c r="AL79" s="33">
        <v>0</v>
      </c>
      <c r="AM79" s="34">
        <v>0.3</v>
      </c>
      <c r="AP79" s="46" t="s">
        <v>137</v>
      </c>
      <c r="AQ79" s="46" t="s">
        <v>137</v>
      </c>
      <c r="AR79" s="32">
        <v>285135</v>
      </c>
      <c r="AS79" s="33">
        <v>3.6702899999999997E-2</v>
      </c>
      <c r="AT79" s="33">
        <v>9.8033800000000004E-2</v>
      </c>
      <c r="AU79" s="33">
        <v>0</v>
      </c>
      <c r="AV79" s="34">
        <v>0.92857140000000005</v>
      </c>
      <c r="AX79" s="69" t="s">
        <v>157</v>
      </c>
      <c r="AY79" s="61">
        <f t="shared" si="14"/>
        <v>-0.33459786318596235</v>
      </c>
      <c r="AZ79" s="54">
        <v>0</v>
      </c>
    </row>
    <row r="80" spans="2:54" ht="21" customHeight="1">
      <c r="B80" s="211"/>
      <c r="C80" s="211"/>
      <c r="D80" s="46" t="s">
        <v>138</v>
      </c>
      <c r="E80" s="46" t="s">
        <v>138</v>
      </c>
      <c r="F80" s="32">
        <v>3359</v>
      </c>
      <c r="G80" s="33">
        <v>0.45390239999999998</v>
      </c>
      <c r="H80" s="33">
        <v>0.26169520000000002</v>
      </c>
      <c r="I80" s="33">
        <v>0</v>
      </c>
      <c r="J80" s="34">
        <v>0.87628870000000003</v>
      </c>
      <c r="L80" s="46" t="s">
        <v>138</v>
      </c>
      <c r="M80" s="46" t="s">
        <v>138</v>
      </c>
      <c r="N80" s="32">
        <v>285135</v>
      </c>
      <c r="O80" s="33">
        <v>0.55043059999999999</v>
      </c>
      <c r="P80" s="33">
        <v>0.32089380000000001</v>
      </c>
      <c r="Q80" s="33">
        <v>0</v>
      </c>
      <c r="R80" s="34">
        <v>1</v>
      </c>
      <c r="T80" s="69" t="s">
        <v>158</v>
      </c>
      <c r="U80" s="61">
        <f t="shared" si="13"/>
        <v>-0.30081042388478685</v>
      </c>
      <c r="V80" s="54">
        <v>0</v>
      </c>
      <c r="AE80" s="211"/>
      <c r="AF80" s="211"/>
      <c r="AG80" s="46" t="s">
        <v>138</v>
      </c>
      <c r="AH80" s="46" t="s">
        <v>138</v>
      </c>
      <c r="AI80" s="32">
        <v>24530</v>
      </c>
      <c r="AJ80" s="33">
        <v>9.1608099999999998E-2</v>
      </c>
      <c r="AK80" s="33">
        <v>6.8251099999999995E-2</v>
      </c>
      <c r="AL80" s="33">
        <v>0</v>
      </c>
      <c r="AM80" s="34">
        <v>0.40983609999999998</v>
      </c>
      <c r="AP80" s="46" t="s">
        <v>138</v>
      </c>
      <c r="AQ80" s="46" t="s">
        <v>138</v>
      </c>
      <c r="AR80" s="32">
        <v>285135</v>
      </c>
      <c r="AS80" s="33">
        <v>0.55043059999999999</v>
      </c>
      <c r="AT80" s="33">
        <v>0.32089380000000001</v>
      </c>
      <c r="AU80" s="33">
        <v>0</v>
      </c>
      <c r="AV80" s="34">
        <v>1</v>
      </c>
      <c r="AX80" s="69" t="s">
        <v>158</v>
      </c>
      <c r="AY80" s="61">
        <f t="shared" si="14"/>
        <v>-1.4298266279996685</v>
      </c>
      <c r="AZ80" s="54">
        <v>0</v>
      </c>
    </row>
    <row r="81" spans="2:54" ht="21" customHeight="1">
      <c r="B81" s="211"/>
      <c r="C81" s="211"/>
      <c r="D81" s="46" t="s">
        <v>139</v>
      </c>
      <c r="E81" s="46" t="s">
        <v>139</v>
      </c>
      <c r="F81" s="32">
        <v>3359</v>
      </c>
      <c r="G81" s="33">
        <v>5.6788999999999999E-2</v>
      </c>
      <c r="H81" s="33">
        <v>0.1422407</v>
      </c>
      <c r="I81" s="33">
        <v>0</v>
      </c>
      <c r="J81" s="34">
        <v>0.76595740000000001</v>
      </c>
      <c r="L81" s="46" t="s">
        <v>139</v>
      </c>
      <c r="M81" s="46" t="s">
        <v>139</v>
      </c>
      <c r="N81" s="32">
        <v>285135</v>
      </c>
      <c r="O81" s="33">
        <v>2.06415E-2</v>
      </c>
      <c r="P81" s="33">
        <v>9.5968100000000001E-2</v>
      </c>
      <c r="Q81" s="33">
        <v>0</v>
      </c>
      <c r="R81" s="34">
        <v>0.88709680000000002</v>
      </c>
      <c r="T81" s="69" t="s">
        <v>159</v>
      </c>
      <c r="U81" s="61">
        <f t="shared" si="13"/>
        <v>0.37666161985076291</v>
      </c>
      <c r="V81" s="54">
        <v>0</v>
      </c>
      <c r="AE81" s="211"/>
      <c r="AF81" s="211"/>
      <c r="AG81" s="46" t="s">
        <v>139</v>
      </c>
      <c r="AH81" s="46" t="s">
        <v>139</v>
      </c>
      <c r="AI81" s="32">
        <v>24530</v>
      </c>
      <c r="AJ81" s="33">
        <v>6.4821000000000002E-3</v>
      </c>
      <c r="AK81" s="33">
        <v>2.58538E-2</v>
      </c>
      <c r="AL81" s="33">
        <v>0</v>
      </c>
      <c r="AM81" s="34">
        <v>0.36516850000000001</v>
      </c>
      <c r="AP81" s="46" t="s">
        <v>139</v>
      </c>
      <c r="AQ81" s="46" t="s">
        <v>139</v>
      </c>
      <c r="AR81" s="32">
        <v>285135</v>
      </c>
      <c r="AS81" s="33">
        <v>2.06415E-2</v>
      </c>
      <c r="AT81" s="33">
        <v>9.5968100000000001E-2</v>
      </c>
      <c r="AU81" s="33">
        <v>0</v>
      </c>
      <c r="AV81" s="34">
        <v>0.88709680000000002</v>
      </c>
      <c r="AX81" s="69" t="s">
        <v>159</v>
      </c>
      <c r="AY81" s="61">
        <f t="shared" si="14"/>
        <v>-0.14754277723535214</v>
      </c>
      <c r="AZ81" s="54">
        <v>0</v>
      </c>
    </row>
    <row r="82" spans="2:54" ht="21" customHeight="1" thickBot="1">
      <c r="B82" s="212"/>
      <c r="C82" s="212"/>
      <c r="D82" s="47" t="s">
        <v>140</v>
      </c>
      <c r="E82" s="47" t="s">
        <v>140</v>
      </c>
      <c r="F82" s="35">
        <v>3359</v>
      </c>
      <c r="G82" s="36">
        <v>2.3426800000000001E-2</v>
      </c>
      <c r="H82" s="36">
        <v>6.3869400000000007E-2</v>
      </c>
      <c r="I82" s="36">
        <v>0</v>
      </c>
      <c r="J82" s="37">
        <v>0.60119049999999996</v>
      </c>
      <c r="L82" s="47" t="s">
        <v>140</v>
      </c>
      <c r="M82" s="47" t="s">
        <v>140</v>
      </c>
      <c r="N82" s="35">
        <v>285135</v>
      </c>
      <c r="O82" s="36">
        <v>6.9534299999999993E-2</v>
      </c>
      <c r="P82" s="36">
        <v>0.1103164</v>
      </c>
      <c r="Q82" s="36">
        <v>0</v>
      </c>
      <c r="R82" s="37">
        <v>0.63157890000000005</v>
      </c>
      <c r="T82" s="70" t="s">
        <v>160</v>
      </c>
      <c r="U82" s="62">
        <f t="shared" si="13"/>
        <v>-0.41795689489504734</v>
      </c>
      <c r="V82" s="55">
        <v>0</v>
      </c>
      <c r="AE82" s="211"/>
      <c r="AF82" s="211"/>
      <c r="AG82" s="47" t="s">
        <v>140</v>
      </c>
      <c r="AH82" s="47" t="s">
        <v>140</v>
      </c>
      <c r="AI82" s="65">
        <v>24530</v>
      </c>
      <c r="AJ82" s="66">
        <v>3.37147E-2</v>
      </c>
      <c r="AK82" s="66">
        <v>3.6940099999999997E-2</v>
      </c>
      <c r="AL82" s="66">
        <v>0</v>
      </c>
      <c r="AM82" s="67">
        <v>0.28000000000000003</v>
      </c>
      <c r="AP82" s="47" t="s">
        <v>140</v>
      </c>
      <c r="AQ82" s="47" t="s">
        <v>140</v>
      </c>
      <c r="AR82" s="35">
        <v>285135</v>
      </c>
      <c r="AS82" s="36">
        <v>6.9534299999999993E-2</v>
      </c>
      <c r="AT82" s="36">
        <v>0.1103164</v>
      </c>
      <c r="AU82" s="36">
        <v>0</v>
      </c>
      <c r="AV82" s="37">
        <v>0.63157890000000005</v>
      </c>
      <c r="AX82" s="70" t="s">
        <v>160</v>
      </c>
      <c r="AY82" s="62">
        <f t="shared" si="14"/>
        <v>-0.32469877552204379</v>
      </c>
      <c r="AZ82" s="55">
        <v>0</v>
      </c>
    </row>
    <row r="83" spans="2:54" ht="22.9" customHeight="1">
      <c r="B83" s="210">
        <v>8</v>
      </c>
      <c r="C83" s="210">
        <v>24530</v>
      </c>
      <c r="D83" s="45" t="s">
        <v>130</v>
      </c>
      <c r="E83" s="45" t="s">
        <v>130</v>
      </c>
      <c r="F83" s="29">
        <v>24530</v>
      </c>
      <c r="G83" s="30">
        <v>8.0798100000000004E-4</v>
      </c>
      <c r="H83" s="30">
        <v>4.8047000000000003E-3</v>
      </c>
      <c r="I83" s="30">
        <v>0</v>
      </c>
      <c r="J83" s="31">
        <v>0.1314554</v>
      </c>
      <c r="L83" s="45" t="s">
        <v>130</v>
      </c>
      <c r="M83" s="45" t="s">
        <v>130</v>
      </c>
      <c r="N83" s="29">
        <v>285135</v>
      </c>
      <c r="O83" s="30">
        <v>5.3293000000000004E-3</v>
      </c>
      <c r="P83" s="30">
        <v>2.9197500000000001E-2</v>
      </c>
      <c r="Q83" s="30">
        <v>0</v>
      </c>
      <c r="R83" s="31">
        <v>0.4166667</v>
      </c>
      <c r="T83" s="68" t="s">
        <v>150</v>
      </c>
      <c r="U83" s="60">
        <f>+(G83-O83)/P83</f>
        <v>-0.1548529497388475</v>
      </c>
      <c r="V83" s="53">
        <v>0</v>
      </c>
      <c r="AE83" s="206">
        <v>8</v>
      </c>
      <c r="AF83" s="213">
        <v>14556</v>
      </c>
      <c r="AG83" s="45" t="s">
        <v>130</v>
      </c>
      <c r="AH83" s="45" t="s">
        <v>130</v>
      </c>
      <c r="AI83" s="29">
        <v>14556</v>
      </c>
      <c r="AJ83" s="30">
        <v>1.4873E-3</v>
      </c>
      <c r="AK83" s="30">
        <v>7.3112000000000003E-3</v>
      </c>
      <c r="AL83" s="30">
        <v>0</v>
      </c>
      <c r="AM83" s="31">
        <v>0.12345680000000001</v>
      </c>
      <c r="AP83" s="45" t="s">
        <v>130</v>
      </c>
      <c r="AQ83" s="45" t="s">
        <v>130</v>
      </c>
      <c r="AR83" s="29">
        <v>285135</v>
      </c>
      <c r="AS83" s="30">
        <v>5.3293000000000004E-3</v>
      </c>
      <c r="AT83" s="30">
        <v>2.9197500000000001E-2</v>
      </c>
      <c r="AU83" s="30">
        <v>0</v>
      </c>
      <c r="AV83" s="31">
        <v>0.4166667</v>
      </c>
      <c r="AX83" s="68" t="s">
        <v>150</v>
      </c>
      <c r="AY83" s="60">
        <f>+(AJ83-AS83)/AT83</f>
        <v>-0.13158660844250364</v>
      </c>
      <c r="AZ83" s="53">
        <v>0</v>
      </c>
    </row>
    <row r="84" spans="2:54" ht="22.9" customHeight="1">
      <c r="B84" s="211"/>
      <c r="C84" s="211"/>
      <c r="D84" s="46" t="s">
        <v>131</v>
      </c>
      <c r="E84" s="46" t="s">
        <v>131</v>
      </c>
      <c r="F84" s="32">
        <v>24530</v>
      </c>
      <c r="G84" s="33">
        <v>7.5684999999999997E-3</v>
      </c>
      <c r="H84" s="33">
        <v>1.72742E-2</v>
      </c>
      <c r="I84" s="33">
        <v>0</v>
      </c>
      <c r="J84" s="34">
        <v>0.27812500000000001</v>
      </c>
      <c r="L84" s="46" t="s">
        <v>131</v>
      </c>
      <c r="M84" s="46" t="s">
        <v>131</v>
      </c>
      <c r="N84" s="32">
        <v>285135</v>
      </c>
      <c r="O84" s="33">
        <v>4.1117800000000003E-2</v>
      </c>
      <c r="P84" s="33">
        <v>9.75636E-2</v>
      </c>
      <c r="Q84" s="33">
        <v>0</v>
      </c>
      <c r="R84" s="34">
        <v>0.8</v>
      </c>
      <c r="T84" s="69" t="s">
        <v>151</v>
      </c>
      <c r="U84" s="61">
        <f t="shared" ref="U84:U93" si="15">+(G84-O84)/P84</f>
        <v>-0.3438710748680861</v>
      </c>
      <c r="V84" s="54">
        <v>0</v>
      </c>
      <c r="AE84" s="201"/>
      <c r="AF84" s="211"/>
      <c r="AG84" s="46" t="s">
        <v>131</v>
      </c>
      <c r="AH84" s="46" t="s">
        <v>131</v>
      </c>
      <c r="AI84" s="32">
        <v>14556</v>
      </c>
      <c r="AJ84" s="33">
        <v>1.4609199999999999E-2</v>
      </c>
      <c r="AK84" s="33">
        <v>3.0187599999999998E-2</v>
      </c>
      <c r="AL84" s="33">
        <v>0</v>
      </c>
      <c r="AM84" s="34">
        <v>0.26724140000000002</v>
      </c>
      <c r="AP84" s="46" t="s">
        <v>131</v>
      </c>
      <c r="AQ84" s="46" t="s">
        <v>131</v>
      </c>
      <c r="AR84" s="32">
        <v>285135</v>
      </c>
      <c r="AS84" s="33">
        <v>4.1117800000000003E-2</v>
      </c>
      <c r="AT84" s="33">
        <v>9.75636E-2</v>
      </c>
      <c r="AU84" s="33">
        <v>0</v>
      </c>
      <c r="AV84" s="34">
        <v>0.8</v>
      </c>
      <c r="AX84" s="69" t="s">
        <v>151</v>
      </c>
      <c r="AY84" s="61">
        <f>+(AJ84-AS84)/AT84</f>
        <v>-0.2717058411128741</v>
      </c>
      <c r="AZ84" s="54">
        <v>0</v>
      </c>
      <c r="BB84" s="113">
        <f>+AI84/AR84</f>
        <v>5.1049502867062974E-2</v>
      </c>
    </row>
    <row r="85" spans="2:54" ht="22.9" customHeight="1">
      <c r="B85" s="211"/>
      <c r="C85" s="211"/>
      <c r="D85" s="46" t="s">
        <v>132</v>
      </c>
      <c r="E85" s="46" t="s">
        <v>132</v>
      </c>
      <c r="F85" s="32">
        <v>24530</v>
      </c>
      <c r="G85" s="33">
        <v>3.6871E-3</v>
      </c>
      <c r="H85" s="33">
        <v>1.17232E-2</v>
      </c>
      <c r="I85" s="33">
        <v>0</v>
      </c>
      <c r="J85" s="34">
        <v>0.25641029999999998</v>
      </c>
      <c r="L85" s="46" t="s">
        <v>132</v>
      </c>
      <c r="M85" s="46" t="s">
        <v>132</v>
      </c>
      <c r="N85" s="32">
        <v>285135</v>
      </c>
      <c r="O85" s="33">
        <v>3.5534999999999997E-2</v>
      </c>
      <c r="P85" s="33">
        <v>8.58878E-2</v>
      </c>
      <c r="Q85" s="33">
        <v>0</v>
      </c>
      <c r="R85" s="34">
        <v>0.58964139999999998</v>
      </c>
      <c r="T85" s="69" t="s">
        <v>152</v>
      </c>
      <c r="U85" s="61">
        <f t="shared" si="15"/>
        <v>-0.37080819394605519</v>
      </c>
      <c r="V85" s="54">
        <v>0</v>
      </c>
      <c r="AE85" s="201"/>
      <c r="AF85" s="211"/>
      <c r="AG85" s="46" t="s">
        <v>132</v>
      </c>
      <c r="AH85" s="46" t="s">
        <v>132</v>
      </c>
      <c r="AI85" s="32">
        <v>14556</v>
      </c>
      <c r="AJ85" s="33">
        <v>9.4299999999999991E-3</v>
      </c>
      <c r="AK85" s="33">
        <v>2.30011E-2</v>
      </c>
      <c r="AL85" s="33">
        <v>0</v>
      </c>
      <c r="AM85" s="34">
        <v>0.24050630000000001</v>
      </c>
      <c r="AP85" s="46" t="s">
        <v>132</v>
      </c>
      <c r="AQ85" s="46" t="s">
        <v>132</v>
      </c>
      <c r="AR85" s="32">
        <v>285135</v>
      </c>
      <c r="AS85" s="33">
        <v>3.5534999999999997E-2</v>
      </c>
      <c r="AT85" s="33">
        <v>8.58878E-2</v>
      </c>
      <c r="AU85" s="33">
        <v>0</v>
      </c>
      <c r="AV85" s="34">
        <v>0.58964139999999998</v>
      </c>
      <c r="AX85" s="69" t="s">
        <v>152</v>
      </c>
      <c r="AY85" s="61">
        <f t="shared" ref="AY85:AY93" si="16">+(AJ85-AS85)/AT85</f>
        <v>-0.30394305128318572</v>
      </c>
      <c r="AZ85" s="54">
        <v>0</v>
      </c>
    </row>
    <row r="86" spans="2:54" ht="22.9" customHeight="1">
      <c r="B86" s="211"/>
      <c r="C86" s="211"/>
      <c r="D86" s="46" t="s">
        <v>133</v>
      </c>
      <c r="E86" s="46" t="s">
        <v>133</v>
      </c>
      <c r="F86" s="32">
        <v>24530</v>
      </c>
      <c r="G86" s="33">
        <v>0.80232369999999997</v>
      </c>
      <c r="H86" s="33">
        <v>9.0511599999999998E-2</v>
      </c>
      <c r="I86" s="33">
        <v>0.55555560000000004</v>
      </c>
      <c r="J86" s="34">
        <v>0.95315680000000003</v>
      </c>
      <c r="L86" s="46" t="s">
        <v>133</v>
      </c>
      <c r="M86" s="46" t="s">
        <v>133</v>
      </c>
      <c r="N86" s="32">
        <v>285135</v>
      </c>
      <c r="O86" s="33">
        <v>9.9512199999999995E-2</v>
      </c>
      <c r="P86" s="33">
        <v>0.2434481</v>
      </c>
      <c r="Q86" s="33">
        <v>0</v>
      </c>
      <c r="R86" s="34">
        <v>0.95315680000000003</v>
      </c>
      <c r="T86" s="69" t="s">
        <v>153</v>
      </c>
      <c r="U86" s="61">
        <f t="shared" si="15"/>
        <v>2.8869048474808383</v>
      </c>
      <c r="V86" s="54">
        <v>0</v>
      </c>
      <c r="AE86" s="201"/>
      <c r="AF86" s="211"/>
      <c r="AG86" s="46" t="s">
        <v>133</v>
      </c>
      <c r="AH86" s="46" t="s">
        <v>133</v>
      </c>
      <c r="AI86" s="32">
        <v>14556</v>
      </c>
      <c r="AJ86" s="33">
        <v>0.45858529999999997</v>
      </c>
      <c r="AK86" s="33">
        <v>0.1194863</v>
      </c>
      <c r="AL86" s="33">
        <v>6.0810799999999998E-2</v>
      </c>
      <c r="AM86" s="34">
        <v>0.66666669999999995</v>
      </c>
      <c r="AP86" s="46" t="s">
        <v>133</v>
      </c>
      <c r="AQ86" s="46" t="s">
        <v>133</v>
      </c>
      <c r="AR86" s="32">
        <v>285135</v>
      </c>
      <c r="AS86" s="33">
        <v>9.9512199999999995E-2</v>
      </c>
      <c r="AT86" s="33">
        <v>0.2434481</v>
      </c>
      <c r="AU86" s="33">
        <v>0</v>
      </c>
      <c r="AV86" s="34">
        <v>0.95315680000000003</v>
      </c>
      <c r="AX86" s="69" t="s">
        <v>153</v>
      </c>
      <c r="AY86" s="61">
        <f t="shared" si="16"/>
        <v>1.4749472269448805</v>
      </c>
      <c r="AZ86" s="54">
        <v>0</v>
      </c>
    </row>
    <row r="87" spans="2:54" ht="22.9" customHeight="1">
      <c r="B87" s="211"/>
      <c r="C87" s="211"/>
      <c r="D87" s="46" t="s">
        <v>134</v>
      </c>
      <c r="E87" s="46" t="s">
        <v>134</v>
      </c>
      <c r="F87" s="32">
        <v>24530</v>
      </c>
      <c r="G87" s="33">
        <v>4.3190300000000001E-2</v>
      </c>
      <c r="H87" s="33">
        <v>5.7240800000000001E-2</v>
      </c>
      <c r="I87" s="33">
        <v>0</v>
      </c>
      <c r="J87" s="34">
        <v>0.3230769</v>
      </c>
      <c r="L87" s="46" t="s">
        <v>134</v>
      </c>
      <c r="M87" s="46" t="s">
        <v>134</v>
      </c>
      <c r="N87" s="32">
        <v>285135</v>
      </c>
      <c r="O87" s="33">
        <v>0.1100589</v>
      </c>
      <c r="P87" s="33">
        <v>0.22412850000000001</v>
      </c>
      <c r="Q87" s="33">
        <v>0</v>
      </c>
      <c r="R87" s="34">
        <v>0.95218420000000004</v>
      </c>
      <c r="T87" s="69" t="s">
        <v>154</v>
      </c>
      <c r="U87" s="61">
        <f t="shared" si="15"/>
        <v>-0.29834938439332792</v>
      </c>
      <c r="V87" s="54">
        <v>0</v>
      </c>
      <c r="AE87" s="201"/>
      <c r="AF87" s="211"/>
      <c r="AG87" s="46" t="s">
        <v>134</v>
      </c>
      <c r="AH87" s="46" t="s">
        <v>134</v>
      </c>
      <c r="AI87" s="32">
        <v>14556</v>
      </c>
      <c r="AJ87" s="33">
        <v>0.1921292</v>
      </c>
      <c r="AK87" s="33">
        <v>0.1475186</v>
      </c>
      <c r="AL87" s="33">
        <v>0</v>
      </c>
      <c r="AM87" s="34">
        <v>0.55629139999999999</v>
      </c>
      <c r="AP87" s="46" t="s">
        <v>134</v>
      </c>
      <c r="AQ87" s="46" t="s">
        <v>134</v>
      </c>
      <c r="AR87" s="32">
        <v>285135</v>
      </c>
      <c r="AS87" s="33">
        <v>0.1100589</v>
      </c>
      <c r="AT87" s="33">
        <v>0.22412850000000001</v>
      </c>
      <c r="AU87" s="33">
        <v>0</v>
      </c>
      <c r="AV87" s="34">
        <v>0.95218420000000004</v>
      </c>
      <c r="AX87" s="69" t="s">
        <v>154</v>
      </c>
      <c r="AY87" s="61">
        <f t="shared" si="16"/>
        <v>0.36617520752603971</v>
      </c>
      <c r="AZ87" s="54">
        <v>0</v>
      </c>
    </row>
    <row r="88" spans="2:54" ht="22.9" customHeight="1">
      <c r="B88" s="211"/>
      <c r="C88" s="211"/>
      <c r="D88" s="46" t="s">
        <v>135</v>
      </c>
      <c r="E88" s="46" t="s">
        <v>135</v>
      </c>
      <c r="F88" s="32">
        <v>24530</v>
      </c>
      <c r="G88" s="33">
        <v>1.6484E-3</v>
      </c>
      <c r="H88" s="33">
        <v>9.1786999999999997E-3</v>
      </c>
      <c r="I88" s="33">
        <v>0</v>
      </c>
      <c r="J88" s="34">
        <v>0.24166670000000001</v>
      </c>
      <c r="L88" s="46" t="s">
        <v>135</v>
      </c>
      <c r="M88" s="46" t="s">
        <v>135</v>
      </c>
      <c r="N88" s="32">
        <v>285135</v>
      </c>
      <c r="O88" s="33">
        <v>1.12163E-2</v>
      </c>
      <c r="P88" s="33">
        <v>5.03066E-2</v>
      </c>
      <c r="Q88" s="33">
        <v>0</v>
      </c>
      <c r="R88" s="34">
        <v>0.51052629999999999</v>
      </c>
      <c r="T88" s="69" t="s">
        <v>155</v>
      </c>
      <c r="U88" s="61">
        <f t="shared" si="15"/>
        <v>-0.1901917442244159</v>
      </c>
      <c r="V88" s="54">
        <v>0</v>
      </c>
      <c r="AE88" s="201"/>
      <c r="AF88" s="211"/>
      <c r="AG88" s="46" t="s">
        <v>135</v>
      </c>
      <c r="AH88" s="46" t="s">
        <v>135</v>
      </c>
      <c r="AI88" s="32">
        <v>14556</v>
      </c>
      <c r="AJ88" s="33">
        <v>5.4443E-3</v>
      </c>
      <c r="AK88" s="33">
        <v>2.6881200000000001E-2</v>
      </c>
      <c r="AL88" s="33">
        <v>0</v>
      </c>
      <c r="AM88" s="34">
        <v>0.47058820000000001</v>
      </c>
      <c r="AP88" s="46" t="s">
        <v>135</v>
      </c>
      <c r="AQ88" s="46" t="s">
        <v>135</v>
      </c>
      <c r="AR88" s="32">
        <v>285135</v>
      </c>
      <c r="AS88" s="33">
        <v>1.12163E-2</v>
      </c>
      <c r="AT88" s="33">
        <v>5.03066E-2</v>
      </c>
      <c r="AU88" s="33">
        <v>0</v>
      </c>
      <c r="AV88" s="34">
        <v>0.51052629999999999</v>
      </c>
      <c r="AX88" s="69" t="s">
        <v>155</v>
      </c>
      <c r="AY88" s="61">
        <f t="shared" si="16"/>
        <v>-0.1147364361733848</v>
      </c>
      <c r="AZ88" s="54">
        <v>0</v>
      </c>
    </row>
    <row r="89" spans="2:54" ht="22.9" customHeight="1">
      <c r="B89" s="211"/>
      <c r="C89" s="211"/>
      <c r="D89" s="46" t="s">
        <v>136</v>
      </c>
      <c r="E89" s="46" t="s">
        <v>136</v>
      </c>
      <c r="F89" s="32">
        <v>24530</v>
      </c>
      <c r="G89" s="33">
        <v>5.0680999999999999E-3</v>
      </c>
      <c r="H89" s="33">
        <v>1.1025699999999999E-2</v>
      </c>
      <c r="I89" s="33">
        <v>0</v>
      </c>
      <c r="J89" s="34">
        <v>0.18181820000000001</v>
      </c>
      <c r="L89" s="46" t="s">
        <v>136</v>
      </c>
      <c r="M89" s="46" t="s">
        <v>136</v>
      </c>
      <c r="N89" s="32">
        <v>285135</v>
      </c>
      <c r="O89" s="33">
        <v>1.9921000000000001E-2</v>
      </c>
      <c r="P89" s="33">
        <v>4.8187399999999998E-2</v>
      </c>
      <c r="Q89" s="33">
        <v>0</v>
      </c>
      <c r="R89" s="34">
        <v>0.5</v>
      </c>
      <c r="T89" s="69" t="s">
        <v>156</v>
      </c>
      <c r="U89" s="61">
        <f t="shared" si="15"/>
        <v>-0.30823202745946043</v>
      </c>
      <c r="V89" s="54">
        <v>0</v>
      </c>
      <c r="AE89" s="201"/>
      <c r="AF89" s="211"/>
      <c r="AG89" s="46" t="s">
        <v>136</v>
      </c>
      <c r="AH89" s="46" t="s">
        <v>136</v>
      </c>
      <c r="AI89" s="32">
        <v>14556</v>
      </c>
      <c r="AJ89" s="33">
        <v>9.7184999999999997E-3</v>
      </c>
      <c r="AK89" s="33">
        <v>1.7206900000000001E-2</v>
      </c>
      <c r="AL89" s="33">
        <v>0</v>
      </c>
      <c r="AM89" s="34">
        <v>0.16</v>
      </c>
      <c r="AP89" s="46" t="s">
        <v>136</v>
      </c>
      <c r="AQ89" s="46" t="s">
        <v>136</v>
      </c>
      <c r="AR89" s="32">
        <v>285135</v>
      </c>
      <c r="AS89" s="33">
        <v>1.9921000000000001E-2</v>
      </c>
      <c r="AT89" s="33">
        <v>4.8187399999999998E-2</v>
      </c>
      <c r="AU89" s="33">
        <v>0</v>
      </c>
      <c r="AV89" s="34">
        <v>0.5</v>
      </c>
      <c r="AX89" s="69" t="s">
        <v>156</v>
      </c>
      <c r="AY89" s="61">
        <f t="shared" si="16"/>
        <v>-0.21172547180383258</v>
      </c>
      <c r="AZ89" s="54">
        <v>0</v>
      </c>
    </row>
    <row r="90" spans="2:54" ht="22.9" customHeight="1">
      <c r="B90" s="211"/>
      <c r="C90" s="211"/>
      <c r="D90" s="46" t="s">
        <v>137</v>
      </c>
      <c r="E90" s="46" t="s">
        <v>137</v>
      </c>
      <c r="F90" s="32">
        <v>24530</v>
      </c>
      <c r="G90" s="33">
        <v>3.901E-3</v>
      </c>
      <c r="H90" s="33">
        <v>1.0617700000000001E-2</v>
      </c>
      <c r="I90" s="33">
        <v>0</v>
      </c>
      <c r="J90" s="34">
        <v>0.3</v>
      </c>
      <c r="L90" s="46" t="s">
        <v>137</v>
      </c>
      <c r="M90" s="46" t="s">
        <v>137</v>
      </c>
      <c r="N90" s="32">
        <v>285135</v>
      </c>
      <c r="O90" s="33">
        <v>3.6702899999999997E-2</v>
      </c>
      <c r="P90" s="33">
        <v>9.8033800000000004E-2</v>
      </c>
      <c r="Q90" s="33">
        <v>0</v>
      </c>
      <c r="R90" s="34">
        <v>0.92857140000000005</v>
      </c>
      <c r="T90" s="69" t="s">
        <v>157</v>
      </c>
      <c r="U90" s="61">
        <f t="shared" si="15"/>
        <v>-0.33459786318596235</v>
      </c>
      <c r="V90" s="54">
        <v>0</v>
      </c>
      <c r="AE90" s="201"/>
      <c r="AF90" s="211"/>
      <c r="AG90" s="46" t="s">
        <v>137</v>
      </c>
      <c r="AH90" s="46" t="s">
        <v>137</v>
      </c>
      <c r="AI90" s="32">
        <v>14556</v>
      </c>
      <c r="AJ90" s="33">
        <v>7.6337000000000002E-3</v>
      </c>
      <c r="AK90" s="33">
        <v>1.8151400000000002E-2</v>
      </c>
      <c r="AL90" s="33">
        <v>0</v>
      </c>
      <c r="AM90" s="34">
        <v>0.30612240000000002</v>
      </c>
      <c r="AP90" s="46" t="s">
        <v>137</v>
      </c>
      <c r="AQ90" s="46" t="s">
        <v>137</v>
      </c>
      <c r="AR90" s="32">
        <v>285135</v>
      </c>
      <c r="AS90" s="33">
        <v>3.6702899999999997E-2</v>
      </c>
      <c r="AT90" s="33">
        <v>9.8033800000000004E-2</v>
      </c>
      <c r="AU90" s="33">
        <v>0</v>
      </c>
      <c r="AV90" s="34">
        <v>0.92857140000000005</v>
      </c>
      <c r="AX90" s="69" t="s">
        <v>157</v>
      </c>
      <c r="AY90" s="61">
        <f t="shared" si="16"/>
        <v>-0.29652221988742655</v>
      </c>
      <c r="AZ90" s="54">
        <v>0</v>
      </c>
    </row>
    <row r="91" spans="2:54" ht="22.9" customHeight="1">
      <c r="B91" s="211"/>
      <c r="C91" s="211"/>
      <c r="D91" s="46" t="s">
        <v>138</v>
      </c>
      <c r="E91" s="46" t="s">
        <v>138</v>
      </c>
      <c r="F91" s="32">
        <v>24530</v>
      </c>
      <c r="G91" s="33">
        <v>9.1608099999999998E-2</v>
      </c>
      <c r="H91" s="33">
        <v>6.8251099999999995E-2</v>
      </c>
      <c r="I91" s="33">
        <v>0</v>
      </c>
      <c r="J91" s="34">
        <v>0.40983609999999998</v>
      </c>
      <c r="L91" s="46" t="s">
        <v>138</v>
      </c>
      <c r="M91" s="46" t="s">
        <v>138</v>
      </c>
      <c r="N91" s="32">
        <v>285135</v>
      </c>
      <c r="O91" s="33">
        <v>0.55043059999999999</v>
      </c>
      <c r="P91" s="33">
        <v>0.32089380000000001</v>
      </c>
      <c r="Q91" s="33">
        <v>0</v>
      </c>
      <c r="R91" s="34">
        <v>1</v>
      </c>
      <c r="T91" s="69" t="s">
        <v>158</v>
      </c>
      <c r="U91" s="61">
        <f t="shared" si="15"/>
        <v>-1.4298266279996685</v>
      </c>
      <c r="V91" s="54">
        <v>0</v>
      </c>
      <c r="AE91" s="201"/>
      <c r="AF91" s="211"/>
      <c r="AG91" s="46" t="s">
        <v>138</v>
      </c>
      <c r="AH91" s="46" t="s">
        <v>138</v>
      </c>
      <c r="AI91" s="32">
        <v>14556</v>
      </c>
      <c r="AJ91" s="33">
        <v>0.2156817</v>
      </c>
      <c r="AK91" s="33">
        <v>0.1424166</v>
      </c>
      <c r="AL91" s="33">
        <v>0</v>
      </c>
      <c r="AM91" s="34">
        <v>0.62433859999999997</v>
      </c>
      <c r="AP91" s="46" t="s">
        <v>138</v>
      </c>
      <c r="AQ91" s="46" t="s">
        <v>138</v>
      </c>
      <c r="AR91" s="32">
        <v>285135</v>
      </c>
      <c r="AS91" s="33">
        <v>0.55043059999999999</v>
      </c>
      <c r="AT91" s="33">
        <v>0.32089380000000001</v>
      </c>
      <c r="AU91" s="33">
        <v>0</v>
      </c>
      <c r="AV91" s="34">
        <v>1</v>
      </c>
      <c r="AX91" s="69" t="s">
        <v>158</v>
      </c>
      <c r="AY91" s="61">
        <f t="shared" si="16"/>
        <v>-1.0431765898873708</v>
      </c>
      <c r="AZ91" s="54">
        <v>0</v>
      </c>
    </row>
    <row r="92" spans="2:54" ht="22.9" customHeight="1">
      <c r="B92" s="211"/>
      <c r="C92" s="211"/>
      <c r="D92" s="46" t="s">
        <v>139</v>
      </c>
      <c r="E92" s="46" t="s">
        <v>139</v>
      </c>
      <c r="F92" s="32">
        <v>24530</v>
      </c>
      <c r="G92" s="33">
        <v>6.4821000000000002E-3</v>
      </c>
      <c r="H92" s="33">
        <v>2.58538E-2</v>
      </c>
      <c r="I92" s="33">
        <v>0</v>
      </c>
      <c r="J92" s="34">
        <v>0.36516850000000001</v>
      </c>
      <c r="L92" s="46" t="s">
        <v>139</v>
      </c>
      <c r="M92" s="46" t="s">
        <v>139</v>
      </c>
      <c r="N92" s="32">
        <v>285135</v>
      </c>
      <c r="O92" s="33">
        <v>2.06415E-2</v>
      </c>
      <c r="P92" s="33">
        <v>9.5968100000000001E-2</v>
      </c>
      <c r="Q92" s="33">
        <v>0</v>
      </c>
      <c r="R92" s="34">
        <v>0.88709680000000002</v>
      </c>
      <c r="T92" s="69" t="s">
        <v>159</v>
      </c>
      <c r="U92" s="61">
        <f t="shared" si="15"/>
        <v>-0.14754277723535214</v>
      </c>
      <c r="V92" s="54">
        <v>0</v>
      </c>
      <c r="AE92" s="201"/>
      <c r="AF92" s="211"/>
      <c r="AG92" s="46" t="s">
        <v>139</v>
      </c>
      <c r="AH92" s="46" t="s">
        <v>139</v>
      </c>
      <c r="AI92" s="32">
        <v>14556</v>
      </c>
      <c r="AJ92" s="33">
        <v>1.40771E-2</v>
      </c>
      <c r="AK92" s="33">
        <v>4.3028499999999997E-2</v>
      </c>
      <c r="AL92" s="33">
        <v>0</v>
      </c>
      <c r="AM92" s="34">
        <v>0.3548983</v>
      </c>
      <c r="AP92" s="46" t="s">
        <v>139</v>
      </c>
      <c r="AQ92" s="46" t="s">
        <v>139</v>
      </c>
      <c r="AR92" s="32">
        <v>285135</v>
      </c>
      <c r="AS92" s="33">
        <v>2.06415E-2</v>
      </c>
      <c r="AT92" s="33">
        <v>9.5968100000000001E-2</v>
      </c>
      <c r="AU92" s="33">
        <v>0</v>
      </c>
      <c r="AV92" s="34">
        <v>0.88709680000000002</v>
      </c>
      <c r="AX92" s="69" t="s">
        <v>159</v>
      </c>
      <c r="AY92" s="61">
        <f>+(AJ92-AS92)/AT92</f>
        <v>-6.8401896046707183E-2</v>
      </c>
      <c r="AZ92" s="54">
        <v>0</v>
      </c>
    </row>
    <row r="93" spans="2:54" ht="22.9" customHeight="1" thickBot="1">
      <c r="B93" s="212"/>
      <c r="C93" s="212"/>
      <c r="D93" s="47" t="s">
        <v>140</v>
      </c>
      <c r="E93" s="47" t="s">
        <v>140</v>
      </c>
      <c r="F93" s="35">
        <v>24530</v>
      </c>
      <c r="G93" s="36">
        <v>3.37147E-2</v>
      </c>
      <c r="H93" s="36">
        <v>3.6940099999999997E-2</v>
      </c>
      <c r="I93" s="36">
        <v>0</v>
      </c>
      <c r="J93" s="37">
        <v>0.28000000000000003</v>
      </c>
      <c r="L93" s="47" t="s">
        <v>140</v>
      </c>
      <c r="M93" s="47" t="s">
        <v>140</v>
      </c>
      <c r="N93" s="35">
        <v>285135</v>
      </c>
      <c r="O93" s="36">
        <v>6.9534299999999993E-2</v>
      </c>
      <c r="P93" s="36">
        <v>0.1103164</v>
      </c>
      <c r="Q93" s="36">
        <v>0</v>
      </c>
      <c r="R93" s="37">
        <v>0.63157890000000005</v>
      </c>
      <c r="T93" s="70" t="s">
        <v>160</v>
      </c>
      <c r="U93" s="62">
        <f t="shared" si="15"/>
        <v>-0.32469877552204379</v>
      </c>
      <c r="V93" s="55">
        <v>0</v>
      </c>
      <c r="AE93" s="202"/>
      <c r="AF93" s="214"/>
      <c r="AG93" s="47" t="s">
        <v>140</v>
      </c>
      <c r="AH93" s="47" t="s">
        <v>140</v>
      </c>
      <c r="AI93" s="35">
        <v>14556</v>
      </c>
      <c r="AJ93" s="36">
        <v>7.1203799999999998E-2</v>
      </c>
      <c r="AK93" s="36">
        <v>6.6185499999999994E-2</v>
      </c>
      <c r="AL93" s="36">
        <v>0</v>
      </c>
      <c r="AM93" s="37">
        <v>0.34615380000000001</v>
      </c>
      <c r="AP93" s="47" t="s">
        <v>140</v>
      </c>
      <c r="AQ93" s="47" t="s">
        <v>140</v>
      </c>
      <c r="AR93" s="35">
        <v>285135</v>
      </c>
      <c r="AS93" s="36">
        <v>6.9534299999999993E-2</v>
      </c>
      <c r="AT93" s="36">
        <v>0.1103164</v>
      </c>
      <c r="AU93" s="36">
        <v>0</v>
      </c>
      <c r="AV93" s="37">
        <v>0.63157890000000005</v>
      </c>
      <c r="AX93" s="70" t="s">
        <v>160</v>
      </c>
      <c r="AY93" s="62">
        <f t="shared" si="16"/>
        <v>1.5133742580432324E-2</v>
      </c>
      <c r="AZ93" s="55">
        <v>0</v>
      </c>
    </row>
    <row r="94" spans="2:54" ht="21.6" customHeight="1">
      <c r="B94" s="210">
        <v>9</v>
      </c>
      <c r="C94" s="210">
        <v>16928</v>
      </c>
      <c r="D94" s="45" t="s">
        <v>130</v>
      </c>
      <c r="E94" s="45" t="s">
        <v>130</v>
      </c>
      <c r="F94" s="29">
        <v>16928</v>
      </c>
      <c r="G94" s="30">
        <v>3.6581999999999999E-3</v>
      </c>
      <c r="H94" s="30">
        <v>1.51214E-2</v>
      </c>
      <c r="I94" s="30">
        <v>0</v>
      </c>
      <c r="J94" s="31">
        <v>0.15384619999999999</v>
      </c>
      <c r="L94" s="45" t="s">
        <v>130</v>
      </c>
      <c r="M94" s="45" t="s">
        <v>130</v>
      </c>
      <c r="N94" s="29">
        <v>285135</v>
      </c>
      <c r="O94" s="30">
        <v>5.3293000000000004E-3</v>
      </c>
      <c r="P94" s="30">
        <v>2.9197500000000001E-2</v>
      </c>
      <c r="Q94" s="30">
        <v>0</v>
      </c>
      <c r="R94" s="31">
        <v>0.4166667</v>
      </c>
      <c r="T94" s="68" t="s">
        <v>150</v>
      </c>
      <c r="U94" s="60">
        <f>+(G94-O94)/P94</f>
        <v>-5.7234352256186331E-2</v>
      </c>
      <c r="V94" s="53">
        <v>0</v>
      </c>
    </row>
    <row r="95" spans="2:54" ht="21.6" customHeight="1">
      <c r="B95" s="211"/>
      <c r="C95" s="211"/>
      <c r="D95" s="46" t="s">
        <v>131</v>
      </c>
      <c r="E95" s="46" t="s">
        <v>131</v>
      </c>
      <c r="F95" s="32">
        <v>16928</v>
      </c>
      <c r="G95" s="33">
        <v>3.7148899999999999E-2</v>
      </c>
      <c r="H95" s="33">
        <v>6.7532099999999998E-2</v>
      </c>
      <c r="I95" s="33">
        <v>0</v>
      </c>
      <c r="J95" s="34">
        <v>0.52830189999999999</v>
      </c>
      <c r="L95" s="46" t="s">
        <v>131</v>
      </c>
      <c r="M95" s="46" t="s">
        <v>131</v>
      </c>
      <c r="N95" s="32">
        <v>285135</v>
      </c>
      <c r="O95" s="33">
        <v>4.1117800000000003E-2</v>
      </c>
      <c r="P95" s="33">
        <v>9.75636E-2</v>
      </c>
      <c r="Q95" s="33">
        <v>0</v>
      </c>
      <c r="R95" s="34">
        <v>0.8</v>
      </c>
      <c r="T95" s="69" t="s">
        <v>151</v>
      </c>
      <c r="U95" s="61">
        <f t="shared" ref="U95:U104" si="17">+(G95-O95)/P95</f>
        <v>-4.0680130704484091E-2</v>
      </c>
      <c r="V95" s="54">
        <v>0</v>
      </c>
    </row>
    <row r="96" spans="2:54" ht="21.6" customHeight="1">
      <c r="B96" s="211"/>
      <c r="C96" s="211"/>
      <c r="D96" s="46" t="s">
        <v>132</v>
      </c>
      <c r="E96" s="46" t="s">
        <v>132</v>
      </c>
      <c r="F96" s="32">
        <v>16928</v>
      </c>
      <c r="G96" s="33">
        <v>0.31937070000000001</v>
      </c>
      <c r="H96" s="33">
        <v>0.1106774</v>
      </c>
      <c r="I96" s="33">
        <v>0.12254900000000001</v>
      </c>
      <c r="J96" s="34">
        <v>0.58964139999999998</v>
      </c>
      <c r="L96" s="46" t="s">
        <v>132</v>
      </c>
      <c r="M96" s="46" t="s">
        <v>132</v>
      </c>
      <c r="N96" s="32">
        <v>285135</v>
      </c>
      <c r="O96" s="33">
        <v>3.5534999999999997E-2</v>
      </c>
      <c r="P96" s="33">
        <v>8.58878E-2</v>
      </c>
      <c r="Q96" s="33">
        <v>0</v>
      </c>
      <c r="R96" s="34">
        <v>0.58964139999999998</v>
      </c>
      <c r="T96" s="69" t="s">
        <v>152</v>
      </c>
      <c r="U96" s="61">
        <f t="shared" si="17"/>
        <v>3.3047266317218513</v>
      </c>
      <c r="V96" s="54">
        <v>0</v>
      </c>
    </row>
    <row r="97" spans="2:22" ht="21.6" customHeight="1">
      <c r="B97" s="211"/>
      <c r="C97" s="211"/>
      <c r="D97" s="46" t="s">
        <v>133</v>
      </c>
      <c r="E97" s="46" t="s">
        <v>133</v>
      </c>
      <c r="F97" s="32">
        <v>16928</v>
      </c>
      <c r="G97" s="33">
        <v>3.1243E-3</v>
      </c>
      <c r="H97" s="33">
        <v>2.9083100000000001E-2</v>
      </c>
      <c r="I97" s="33">
        <v>0</v>
      </c>
      <c r="J97" s="34">
        <v>0.66666669999999995</v>
      </c>
      <c r="L97" s="46" t="s">
        <v>133</v>
      </c>
      <c r="M97" s="46" t="s">
        <v>133</v>
      </c>
      <c r="N97" s="32">
        <v>285135</v>
      </c>
      <c r="O97" s="33">
        <v>9.9512199999999995E-2</v>
      </c>
      <c r="P97" s="33">
        <v>0.2434481</v>
      </c>
      <c r="Q97" s="33">
        <v>0</v>
      </c>
      <c r="R97" s="34">
        <v>0.95315680000000003</v>
      </c>
      <c r="T97" s="69" t="s">
        <v>153</v>
      </c>
      <c r="U97" s="61">
        <f t="shared" si="17"/>
        <v>-0.39592792057116072</v>
      </c>
      <c r="V97" s="54">
        <v>0</v>
      </c>
    </row>
    <row r="98" spans="2:22" ht="21.6" customHeight="1">
      <c r="B98" s="211"/>
      <c r="C98" s="211"/>
      <c r="D98" s="46" t="s">
        <v>134</v>
      </c>
      <c r="E98" s="46" t="s">
        <v>134</v>
      </c>
      <c r="F98" s="32">
        <v>16928</v>
      </c>
      <c r="G98" s="33">
        <v>1.37243E-2</v>
      </c>
      <c r="H98" s="33">
        <v>5.7841499999999997E-2</v>
      </c>
      <c r="I98" s="33">
        <v>0</v>
      </c>
      <c r="J98" s="34">
        <v>0.69230769999999997</v>
      </c>
      <c r="L98" s="46" t="s">
        <v>134</v>
      </c>
      <c r="M98" s="46" t="s">
        <v>134</v>
      </c>
      <c r="N98" s="32">
        <v>285135</v>
      </c>
      <c r="O98" s="33">
        <v>0.1100589</v>
      </c>
      <c r="P98" s="33">
        <v>0.22412850000000001</v>
      </c>
      <c r="Q98" s="33">
        <v>0</v>
      </c>
      <c r="R98" s="34">
        <v>0.95218420000000004</v>
      </c>
      <c r="T98" s="69" t="s">
        <v>154</v>
      </c>
      <c r="U98" s="61">
        <f t="shared" si="17"/>
        <v>-0.42981860852145087</v>
      </c>
      <c r="V98" s="54">
        <v>0</v>
      </c>
    </row>
    <row r="99" spans="2:22" ht="21.6" customHeight="1">
      <c r="B99" s="211"/>
      <c r="C99" s="211"/>
      <c r="D99" s="46" t="s">
        <v>135</v>
      </c>
      <c r="E99" s="46" t="s">
        <v>135</v>
      </c>
      <c r="F99" s="32">
        <v>16928</v>
      </c>
      <c r="G99" s="33">
        <v>8.6125999999999998E-3</v>
      </c>
      <c r="H99" s="33">
        <v>4.2589700000000001E-2</v>
      </c>
      <c r="I99" s="33">
        <v>0</v>
      </c>
      <c r="J99" s="34">
        <v>0.50502009999999997</v>
      </c>
      <c r="L99" s="46" t="s">
        <v>135</v>
      </c>
      <c r="M99" s="46" t="s">
        <v>135</v>
      </c>
      <c r="N99" s="32">
        <v>285135</v>
      </c>
      <c r="O99" s="33">
        <v>1.12163E-2</v>
      </c>
      <c r="P99" s="33">
        <v>5.03066E-2</v>
      </c>
      <c r="Q99" s="33">
        <v>0</v>
      </c>
      <c r="R99" s="34">
        <v>0.51052629999999999</v>
      </c>
      <c r="T99" s="69" t="s">
        <v>155</v>
      </c>
      <c r="U99" s="61">
        <f t="shared" si="17"/>
        <v>-5.1756628354927593E-2</v>
      </c>
      <c r="V99" s="54">
        <v>0</v>
      </c>
    </row>
    <row r="100" spans="2:22" ht="21.6" customHeight="1">
      <c r="B100" s="211"/>
      <c r="C100" s="211"/>
      <c r="D100" s="46" t="s">
        <v>136</v>
      </c>
      <c r="E100" s="46" t="s">
        <v>136</v>
      </c>
      <c r="F100" s="32">
        <v>16928</v>
      </c>
      <c r="G100" s="33">
        <v>1.6013400000000001E-2</v>
      </c>
      <c r="H100" s="33">
        <v>2.9716900000000001E-2</v>
      </c>
      <c r="I100" s="33">
        <v>0</v>
      </c>
      <c r="J100" s="34">
        <v>0.25</v>
      </c>
      <c r="L100" s="46" t="s">
        <v>136</v>
      </c>
      <c r="M100" s="46" t="s">
        <v>136</v>
      </c>
      <c r="N100" s="32">
        <v>285135</v>
      </c>
      <c r="O100" s="33">
        <v>1.9921000000000001E-2</v>
      </c>
      <c r="P100" s="33">
        <v>4.8187399999999998E-2</v>
      </c>
      <c r="Q100" s="33">
        <v>0</v>
      </c>
      <c r="R100" s="34">
        <v>0.5</v>
      </c>
      <c r="T100" s="69" t="s">
        <v>156</v>
      </c>
      <c r="U100" s="61">
        <f t="shared" si="17"/>
        <v>-8.1091737674163805E-2</v>
      </c>
      <c r="V100" s="54">
        <v>0</v>
      </c>
    </row>
    <row r="101" spans="2:22" ht="21.6" customHeight="1">
      <c r="B101" s="211"/>
      <c r="C101" s="211"/>
      <c r="D101" s="46" t="s">
        <v>137</v>
      </c>
      <c r="E101" s="46" t="s">
        <v>137</v>
      </c>
      <c r="F101" s="32">
        <v>16928</v>
      </c>
      <c r="G101" s="33">
        <v>6.5222799999999997E-2</v>
      </c>
      <c r="H101" s="33">
        <v>9.4910300000000003E-2</v>
      </c>
      <c r="I101" s="33">
        <v>0</v>
      </c>
      <c r="J101" s="34">
        <v>0.51063829999999999</v>
      </c>
      <c r="L101" s="46" t="s">
        <v>137</v>
      </c>
      <c r="M101" s="46" t="s">
        <v>137</v>
      </c>
      <c r="N101" s="32">
        <v>285135</v>
      </c>
      <c r="O101" s="33">
        <v>3.6702899999999997E-2</v>
      </c>
      <c r="P101" s="33">
        <v>9.8033800000000004E-2</v>
      </c>
      <c r="Q101" s="33">
        <v>0</v>
      </c>
      <c r="R101" s="34">
        <v>0.92857140000000005</v>
      </c>
      <c r="T101" s="69" t="s">
        <v>157</v>
      </c>
      <c r="U101" s="61">
        <f t="shared" si="17"/>
        <v>0.29091905036834237</v>
      </c>
      <c r="V101" s="54">
        <v>0</v>
      </c>
    </row>
    <row r="102" spans="2:22" ht="21.6" customHeight="1">
      <c r="B102" s="211"/>
      <c r="C102" s="211"/>
      <c r="D102" s="46" t="s">
        <v>138</v>
      </c>
      <c r="E102" s="46" t="s">
        <v>138</v>
      </c>
      <c r="F102" s="32">
        <v>16928</v>
      </c>
      <c r="G102" s="33">
        <v>0.49164259999999999</v>
      </c>
      <c r="H102" s="33">
        <v>0.17641370000000001</v>
      </c>
      <c r="I102" s="33">
        <v>0</v>
      </c>
      <c r="J102" s="34">
        <v>0.81294960000000005</v>
      </c>
      <c r="L102" s="46" t="s">
        <v>138</v>
      </c>
      <c r="M102" s="46" t="s">
        <v>138</v>
      </c>
      <c r="N102" s="32">
        <v>285135</v>
      </c>
      <c r="O102" s="33">
        <v>0.55043059999999999</v>
      </c>
      <c r="P102" s="33">
        <v>0.32089380000000001</v>
      </c>
      <c r="Q102" s="33">
        <v>0</v>
      </c>
      <c r="R102" s="34">
        <v>1</v>
      </c>
      <c r="T102" s="69" t="s">
        <v>158</v>
      </c>
      <c r="U102" s="61">
        <f t="shared" si="17"/>
        <v>-0.18320079727311656</v>
      </c>
      <c r="V102" s="54">
        <v>0</v>
      </c>
    </row>
    <row r="103" spans="2:22" ht="21.6" customHeight="1">
      <c r="B103" s="211"/>
      <c r="C103" s="211"/>
      <c r="D103" s="46" t="s">
        <v>139</v>
      </c>
      <c r="E103" s="46" t="s">
        <v>139</v>
      </c>
      <c r="F103" s="32">
        <v>16928</v>
      </c>
      <c r="G103" s="33">
        <v>6.4181000000000004E-3</v>
      </c>
      <c r="H103" s="33">
        <v>3.5089799999999997E-2</v>
      </c>
      <c r="I103" s="33">
        <v>0</v>
      </c>
      <c r="J103" s="34">
        <v>0.42639589999999999</v>
      </c>
      <c r="L103" s="46" t="s">
        <v>139</v>
      </c>
      <c r="M103" s="46" t="s">
        <v>139</v>
      </c>
      <c r="N103" s="32">
        <v>285135</v>
      </c>
      <c r="O103" s="33">
        <v>2.06415E-2</v>
      </c>
      <c r="P103" s="33">
        <v>9.5968100000000001E-2</v>
      </c>
      <c r="Q103" s="33">
        <v>0</v>
      </c>
      <c r="R103" s="34">
        <v>0.88709680000000002</v>
      </c>
      <c r="T103" s="69" t="s">
        <v>159</v>
      </c>
      <c r="U103" s="61">
        <f t="shared" si="17"/>
        <v>-0.14820966550343292</v>
      </c>
      <c r="V103" s="54">
        <v>0</v>
      </c>
    </row>
    <row r="104" spans="2:22" ht="21.6" customHeight="1" thickBot="1">
      <c r="B104" s="212"/>
      <c r="C104" s="212"/>
      <c r="D104" s="47" t="s">
        <v>140</v>
      </c>
      <c r="E104" s="47" t="s">
        <v>140</v>
      </c>
      <c r="F104" s="35">
        <v>16928</v>
      </c>
      <c r="G104" s="36">
        <v>3.5064100000000001E-2</v>
      </c>
      <c r="H104" s="36">
        <v>6.4694799999999997E-2</v>
      </c>
      <c r="I104" s="36">
        <v>0</v>
      </c>
      <c r="J104" s="37">
        <v>0.56521739999999998</v>
      </c>
      <c r="L104" s="47" t="s">
        <v>140</v>
      </c>
      <c r="M104" s="47" t="s">
        <v>140</v>
      </c>
      <c r="N104" s="35">
        <v>285135</v>
      </c>
      <c r="O104" s="36">
        <v>6.9534299999999993E-2</v>
      </c>
      <c r="P104" s="36">
        <v>0.1103164</v>
      </c>
      <c r="Q104" s="36">
        <v>0</v>
      </c>
      <c r="R104" s="37">
        <v>0.63157890000000005</v>
      </c>
      <c r="T104" s="70" t="s">
        <v>160</v>
      </c>
      <c r="U104" s="62">
        <f t="shared" si="17"/>
        <v>-0.31246668673016881</v>
      </c>
      <c r="V104" s="55">
        <v>0</v>
      </c>
    </row>
    <row r="105" spans="2:22" ht="23.45" customHeight="1">
      <c r="B105" s="210">
        <v>10</v>
      </c>
      <c r="C105" s="210">
        <v>6901</v>
      </c>
      <c r="D105" s="45" t="s">
        <v>130</v>
      </c>
      <c r="E105" s="45" t="s">
        <v>130</v>
      </c>
      <c r="F105" s="29">
        <v>6901</v>
      </c>
      <c r="G105" s="30">
        <v>7.7846E-3</v>
      </c>
      <c r="H105" s="30">
        <v>2.60611E-2</v>
      </c>
      <c r="I105" s="30">
        <v>0</v>
      </c>
      <c r="J105" s="31">
        <v>0.2254902</v>
      </c>
      <c r="L105" s="45" t="s">
        <v>130</v>
      </c>
      <c r="M105" s="45" t="s">
        <v>130</v>
      </c>
      <c r="N105" s="29">
        <v>285135</v>
      </c>
      <c r="O105" s="30">
        <v>5.3293000000000004E-3</v>
      </c>
      <c r="P105" s="30">
        <v>2.9197500000000001E-2</v>
      </c>
      <c r="Q105" s="30">
        <v>0</v>
      </c>
      <c r="R105" s="31">
        <v>0.4166667</v>
      </c>
      <c r="T105" s="68" t="s">
        <v>150</v>
      </c>
      <c r="U105" s="60">
        <f>+(G105-O105)/P105</f>
        <v>8.4092816165767609E-2</v>
      </c>
      <c r="V105" s="53">
        <v>0</v>
      </c>
    </row>
    <row r="106" spans="2:22" ht="23.45" customHeight="1">
      <c r="B106" s="211"/>
      <c r="C106" s="211"/>
      <c r="D106" s="46" t="s">
        <v>131</v>
      </c>
      <c r="E106" s="46" t="s">
        <v>131</v>
      </c>
      <c r="F106" s="32">
        <v>6901</v>
      </c>
      <c r="G106" s="33">
        <v>2.6874100000000001E-2</v>
      </c>
      <c r="H106" s="33">
        <v>6.3813800000000004E-2</v>
      </c>
      <c r="I106" s="33">
        <v>0</v>
      </c>
      <c r="J106" s="34">
        <v>0.66666669999999995</v>
      </c>
      <c r="L106" s="46" t="s">
        <v>131</v>
      </c>
      <c r="M106" s="46" t="s">
        <v>131</v>
      </c>
      <c r="N106" s="32">
        <v>285135</v>
      </c>
      <c r="O106" s="33">
        <v>4.1117800000000003E-2</v>
      </c>
      <c r="P106" s="33">
        <v>9.75636E-2</v>
      </c>
      <c r="Q106" s="33">
        <v>0</v>
      </c>
      <c r="R106" s="34">
        <v>0.8</v>
      </c>
      <c r="T106" s="69" t="s">
        <v>151</v>
      </c>
      <c r="U106" s="61">
        <f t="shared" ref="U106:U115" si="18">+(G106-O106)/P106</f>
        <v>-0.14599399776146024</v>
      </c>
      <c r="V106" s="54">
        <v>0</v>
      </c>
    </row>
    <row r="107" spans="2:22" ht="23.45" customHeight="1">
      <c r="B107" s="211"/>
      <c r="C107" s="211"/>
      <c r="D107" s="46" t="s">
        <v>132</v>
      </c>
      <c r="E107" s="46" t="s">
        <v>132</v>
      </c>
      <c r="F107" s="32">
        <v>6901</v>
      </c>
      <c r="G107" s="33">
        <v>3.6165099999999999E-2</v>
      </c>
      <c r="H107" s="33">
        <v>7.0817000000000005E-2</v>
      </c>
      <c r="I107" s="33">
        <v>0</v>
      </c>
      <c r="J107" s="34">
        <v>0.55000000000000004</v>
      </c>
      <c r="L107" s="46" t="s">
        <v>132</v>
      </c>
      <c r="M107" s="46" t="s">
        <v>132</v>
      </c>
      <c r="N107" s="32">
        <v>285135</v>
      </c>
      <c r="O107" s="33">
        <v>3.5534999999999997E-2</v>
      </c>
      <c r="P107" s="33">
        <v>8.58878E-2</v>
      </c>
      <c r="Q107" s="33">
        <v>0</v>
      </c>
      <c r="R107" s="34">
        <v>0.58964139999999998</v>
      </c>
      <c r="T107" s="69" t="s">
        <v>152</v>
      </c>
      <c r="U107" s="61">
        <f t="shared" si="18"/>
        <v>7.336315518618494E-3</v>
      </c>
      <c r="V107" s="54">
        <v>0</v>
      </c>
    </row>
    <row r="108" spans="2:22" ht="23.45" customHeight="1">
      <c r="B108" s="211"/>
      <c r="C108" s="211"/>
      <c r="D108" s="46" t="s">
        <v>133</v>
      </c>
      <c r="E108" s="46" t="s">
        <v>133</v>
      </c>
      <c r="F108" s="32">
        <v>6901</v>
      </c>
      <c r="G108" s="33">
        <v>1.22913E-2</v>
      </c>
      <c r="H108" s="33">
        <v>7.1510199999999996E-2</v>
      </c>
      <c r="I108" s="33">
        <v>0</v>
      </c>
      <c r="J108" s="34">
        <v>0.78048779999999995</v>
      </c>
      <c r="L108" s="46" t="s">
        <v>133</v>
      </c>
      <c r="M108" s="46" t="s">
        <v>133</v>
      </c>
      <c r="N108" s="32">
        <v>285135</v>
      </c>
      <c r="O108" s="33">
        <v>9.9512199999999995E-2</v>
      </c>
      <c r="P108" s="33">
        <v>0.2434481</v>
      </c>
      <c r="Q108" s="33">
        <v>0</v>
      </c>
      <c r="R108" s="34">
        <v>0.95315680000000003</v>
      </c>
      <c r="T108" s="69" t="s">
        <v>153</v>
      </c>
      <c r="U108" s="61">
        <f t="shared" si="18"/>
        <v>-0.35827307750604742</v>
      </c>
      <c r="V108" s="54">
        <v>0</v>
      </c>
    </row>
    <row r="109" spans="2:22" ht="23.45" customHeight="1">
      <c r="B109" s="211"/>
      <c r="C109" s="211"/>
      <c r="D109" s="46" t="s">
        <v>134</v>
      </c>
      <c r="E109" s="46" t="s">
        <v>134</v>
      </c>
      <c r="F109" s="32">
        <v>6901</v>
      </c>
      <c r="G109" s="33">
        <v>6.10787E-2</v>
      </c>
      <c r="H109" s="33">
        <v>0.15534229999999999</v>
      </c>
      <c r="I109" s="33">
        <v>0</v>
      </c>
      <c r="J109" s="34">
        <v>0.80327870000000001</v>
      </c>
      <c r="L109" s="46" t="s">
        <v>134</v>
      </c>
      <c r="M109" s="46" t="s">
        <v>134</v>
      </c>
      <c r="N109" s="32">
        <v>285135</v>
      </c>
      <c r="O109" s="33">
        <v>0.1100589</v>
      </c>
      <c r="P109" s="33">
        <v>0.22412850000000001</v>
      </c>
      <c r="Q109" s="33">
        <v>0</v>
      </c>
      <c r="R109" s="34">
        <v>0.95218420000000004</v>
      </c>
      <c r="T109" s="69" t="s">
        <v>154</v>
      </c>
      <c r="U109" s="61">
        <f t="shared" si="18"/>
        <v>-0.21853624148646869</v>
      </c>
      <c r="V109" s="54">
        <v>0</v>
      </c>
    </row>
    <row r="110" spans="2:22" ht="23.45" customHeight="1">
      <c r="B110" s="211"/>
      <c r="C110" s="211"/>
      <c r="D110" s="46" t="s">
        <v>135</v>
      </c>
      <c r="E110" s="46" t="s">
        <v>135</v>
      </c>
      <c r="F110" s="32">
        <v>6901</v>
      </c>
      <c r="G110" s="33">
        <v>4.2074E-2</v>
      </c>
      <c r="H110" s="33">
        <v>9.9629999999999996E-2</v>
      </c>
      <c r="I110" s="33">
        <v>0</v>
      </c>
      <c r="J110" s="34">
        <v>0.50684929999999995</v>
      </c>
      <c r="L110" s="46" t="s">
        <v>135</v>
      </c>
      <c r="M110" s="46" t="s">
        <v>135</v>
      </c>
      <c r="N110" s="32">
        <v>285135</v>
      </c>
      <c r="O110" s="33">
        <v>1.12163E-2</v>
      </c>
      <c r="P110" s="33">
        <v>5.03066E-2</v>
      </c>
      <c r="Q110" s="33">
        <v>0</v>
      </c>
      <c r="R110" s="34">
        <v>0.51052629999999999</v>
      </c>
      <c r="T110" s="69" t="s">
        <v>155</v>
      </c>
      <c r="U110" s="61">
        <f t="shared" si="18"/>
        <v>0.61339267611009296</v>
      </c>
      <c r="V110" s="54">
        <v>0</v>
      </c>
    </row>
    <row r="111" spans="2:22" ht="23.45" customHeight="1">
      <c r="B111" s="211"/>
      <c r="C111" s="211"/>
      <c r="D111" s="46" t="s">
        <v>136</v>
      </c>
      <c r="E111" s="46" t="s">
        <v>136</v>
      </c>
      <c r="F111" s="32">
        <v>6901</v>
      </c>
      <c r="G111" s="33">
        <v>0.2359812</v>
      </c>
      <c r="H111" s="33">
        <v>0.1029009</v>
      </c>
      <c r="I111" s="33">
        <v>4.3478299999999998E-2</v>
      </c>
      <c r="J111" s="34">
        <v>0.5</v>
      </c>
      <c r="L111" s="46" t="s">
        <v>136</v>
      </c>
      <c r="M111" s="46" t="s">
        <v>136</v>
      </c>
      <c r="N111" s="32">
        <v>285135</v>
      </c>
      <c r="O111" s="33">
        <v>1.9921000000000001E-2</v>
      </c>
      <c r="P111" s="33">
        <v>4.8187399999999998E-2</v>
      </c>
      <c r="Q111" s="33">
        <v>0</v>
      </c>
      <c r="R111" s="34">
        <v>0.5</v>
      </c>
      <c r="T111" s="69" t="s">
        <v>156</v>
      </c>
      <c r="U111" s="61">
        <f t="shared" si="18"/>
        <v>4.483748863810872</v>
      </c>
      <c r="V111" s="54">
        <v>0</v>
      </c>
    </row>
    <row r="112" spans="2:22" ht="23.45" customHeight="1">
      <c r="B112" s="211"/>
      <c r="C112" s="211"/>
      <c r="D112" s="46" t="s">
        <v>137</v>
      </c>
      <c r="E112" s="46" t="s">
        <v>137</v>
      </c>
      <c r="F112" s="32">
        <v>6901</v>
      </c>
      <c r="G112" s="33">
        <v>5.6533600000000003E-2</v>
      </c>
      <c r="H112" s="33">
        <v>8.8299699999999995E-2</v>
      </c>
      <c r="I112" s="33">
        <v>0</v>
      </c>
      <c r="J112" s="34">
        <v>0.61904760000000003</v>
      </c>
      <c r="L112" s="46" t="s">
        <v>137</v>
      </c>
      <c r="M112" s="46" t="s">
        <v>137</v>
      </c>
      <c r="N112" s="32">
        <v>285135</v>
      </c>
      <c r="O112" s="33">
        <v>3.6702899999999997E-2</v>
      </c>
      <c r="P112" s="33">
        <v>9.8033800000000004E-2</v>
      </c>
      <c r="Q112" s="33">
        <v>0</v>
      </c>
      <c r="R112" s="34">
        <v>0.92857140000000005</v>
      </c>
      <c r="T112" s="69" t="s">
        <v>157</v>
      </c>
      <c r="U112" s="61">
        <f t="shared" si="18"/>
        <v>0.20228431418551568</v>
      </c>
      <c r="V112" s="54">
        <v>0</v>
      </c>
    </row>
    <row r="113" spans="2:22" ht="23.45" customHeight="1">
      <c r="B113" s="211"/>
      <c r="C113" s="211"/>
      <c r="D113" s="46" t="s">
        <v>138</v>
      </c>
      <c r="E113" s="46" t="s">
        <v>138</v>
      </c>
      <c r="F113" s="32">
        <v>6901</v>
      </c>
      <c r="G113" s="33">
        <v>0.4402488</v>
      </c>
      <c r="H113" s="33">
        <v>0.24182139999999999</v>
      </c>
      <c r="I113" s="33">
        <v>0</v>
      </c>
      <c r="J113" s="34">
        <v>0.85714290000000004</v>
      </c>
      <c r="L113" s="46" t="s">
        <v>138</v>
      </c>
      <c r="M113" s="46" t="s">
        <v>138</v>
      </c>
      <c r="N113" s="32">
        <v>285135</v>
      </c>
      <c r="O113" s="33">
        <v>0.55043059999999999</v>
      </c>
      <c r="P113" s="33">
        <v>0.32089380000000001</v>
      </c>
      <c r="Q113" s="33">
        <v>0</v>
      </c>
      <c r="R113" s="34">
        <v>1</v>
      </c>
      <c r="T113" s="69" t="s">
        <v>158</v>
      </c>
      <c r="U113" s="61">
        <f t="shared" si="18"/>
        <v>-0.34335908016920236</v>
      </c>
      <c r="V113" s="54">
        <v>0</v>
      </c>
    </row>
    <row r="114" spans="2:22" ht="23.45" customHeight="1">
      <c r="B114" s="211"/>
      <c r="C114" s="211"/>
      <c r="D114" s="46" t="s">
        <v>139</v>
      </c>
      <c r="E114" s="46" t="s">
        <v>139</v>
      </c>
      <c r="F114" s="32">
        <v>6901</v>
      </c>
      <c r="G114" s="33">
        <v>5.0714799999999997E-2</v>
      </c>
      <c r="H114" s="33">
        <v>0.1142466</v>
      </c>
      <c r="I114" s="33">
        <v>0</v>
      </c>
      <c r="J114" s="34">
        <v>0.58064519999999997</v>
      </c>
      <c r="L114" s="46" t="s">
        <v>139</v>
      </c>
      <c r="M114" s="46" t="s">
        <v>139</v>
      </c>
      <c r="N114" s="32">
        <v>285135</v>
      </c>
      <c r="O114" s="33">
        <v>2.06415E-2</v>
      </c>
      <c r="P114" s="33">
        <v>9.5968100000000001E-2</v>
      </c>
      <c r="Q114" s="33">
        <v>0</v>
      </c>
      <c r="R114" s="34">
        <v>0.88709680000000002</v>
      </c>
      <c r="T114" s="69" t="s">
        <v>159</v>
      </c>
      <c r="U114" s="61">
        <f t="shared" si="18"/>
        <v>0.31336767113238667</v>
      </c>
      <c r="V114" s="54">
        <v>0</v>
      </c>
    </row>
    <row r="115" spans="2:22" ht="23.45" customHeight="1" thickBot="1">
      <c r="B115" s="211"/>
      <c r="C115" s="211"/>
      <c r="D115" s="47" t="s">
        <v>140</v>
      </c>
      <c r="E115" s="47" t="s">
        <v>140</v>
      </c>
      <c r="F115" s="65">
        <v>6901</v>
      </c>
      <c r="G115" s="66">
        <v>3.02539E-2</v>
      </c>
      <c r="H115" s="66">
        <v>6.4701499999999995E-2</v>
      </c>
      <c r="I115" s="66">
        <v>0</v>
      </c>
      <c r="J115" s="67">
        <v>0.54545449999999995</v>
      </c>
      <c r="L115" s="47" t="s">
        <v>140</v>
      </c>
      <c r="M115" s="47" t="s">
        <v>140</v>
      </c>
      <c r="N115" s="35">
        <v>285135</v>
      </c>
      <c r="O115" s="36">
        <v>6.9534299999999993E-2</v>
      </c>
      <c r="P115" s="36">
        <v>0.1103164</v>
      </c>
      <c r="Q115" s="36">
        <v>0</v>
      </c>
      <c r="R115" s="37">
        <v>0.63157890000000005</v>
      </c>
      <c r="T115" s="70" t="s">
        <v>160</v>
      </c>
      <c r="U115" s="62">
        <f t="shared" si="18"/>
        <v>-0.35607035762588335</v>
      </c>
      <c r="V115" s="55">
        <v>0</v>
      </c>
    </row>
    <row r="116" spans="2:22" ht="21" customHeight="1">
      <c r="B116" s="206">
        <v>11</v>
      </c>
      <c r="C116" s="213">
        <v>14556</v>
      </c>
      <c r="D116" s="45" t="s">
        <v>130</v>
      </c>
      <c r="E116" s="45" t="s">
        <v>130</v>
      </c>
      <c r="F116" s="29">
        <v>14556</v>
      </c>
      <c r="G116" s="30">
        <v>1.4873E-3</v>
      </c>
      <c r="H116" s="30">
        <v>7.3112000000000003E-3</v>
      </c>
      <c r="I116" s="30">
        <v>0</v>
      </c>
      <c r="J116" s="31">
        <v>0.12345680000000001</v>
      </c>
      <c r="L116" s="45" t="s">
        <v>130</v>
      </c>
      <c r="M116" s="45" t="s">
        <v>130</v>
      </c>
      <c r="N116" s="29">
        <v>285135</v>
      </c>
      <c r="O116" s="30">
        <v>5.3293000000000004E-3</v>
      </c>
      <c r="P116" s="30">
        <v>2.9197500000000001E-2</v>
      </c>
      <c r="Q116" s="30">
        <v>0</v>
      </c>
      <c r="R116" s="31">
        <v>0.4166667</v>
      </c>
      <c r="T116" s="68" t="s">
        <v>150</v>
      </c>
      <c r="U116" s="60">
        <f>+(G116-O116)/P116</f>
        <v>-0.13158660844250364</v>
      </c>
      <c r="V116" s="53">
        <v>0</v>
      </c>
    </row>
    <row r="117" spans="2:22" ht="21" customHeight="1">
      <c r="B117" s="201"/>
      <c r="C117" s="211"/>
      <c r="D117" s="46" t="s">
        <v>131</v>
      </c>
      <c r="E117" s="46" t="s">
        <v>131</v>
      </c>
      <c r="F117" s="32">
        <v>14556</v>
      </c>
      <c r="G117" s="33">
        <v>1.4609199999999999E-2</v>
      </c>
      <c r="H117" s="33">
        <v>3.0187599999999998E-2</v>
      </c>
      <c r="I117" s="33">
        <v>0</v>
      </c>
      <c r="J117" s="34">
        <v>0.26724140000000002</v>
      </c>
      <c r="L117" s="46" t="s">
        <v>131</v>
      </c>
      <c r="M117" s="46" t="s">
        <v>131</v>
      </c>
      <c r="N117" s="32">
        <v>285135</v>
      </c>
      <c r="O117" s="33">
        <v>4.1117800000000003E-2</v>
      </c>
      <c r="P117" s="33">
        <v>9.75636E-2</v>
      </c>
      <c r="Q117" s="33">
        <v>0</v>
      </c>
      <c r="R117" s="34">
        <v>0.8</v>
      </c>
      <c r="T117" s="69" t="s">
        <v>151</v>
      </c>
      <c r="U117" s="61">
        <f t="shared" ref="U117:U126" si="19">+(G117-O117)/P117</f>
        <v>-0.2717058411128741</v>
      </c>
      <c r="V117" s="54">
        <v>0</v>
      </c>
    </row>
    <row r="118" spans="2:22" ht="21" customHeight="1">
      <c r="B118" s="201"/>
      <c r="C118" s="211"/>
      <c r="D118" s="46" t="s">
        <v>132</v>
      </c>
      <c r="E118" s="46" t="s">
        <v>132</v>
      </c>
      <c r="F118" s="32">
        <v>14556</v>
      </c>
      <c r="G118" s="33">
        <v>9.4299999999999991E-3</v>
      </c>
      <c r="H118" s="33">
        <v>2.30011E-2</v>
      </c>
      <c r="I118" s="33">
        <v>0</v>
      </c>
      <c r="J118" s="34">
        <v>0.24050630000000001</v>
      </c>
      <c r="L118" s="46" t="s">
        <v>132</v>
      </c>
      <c r="M118" s="46" t="s">
        <v>132</v>
      </c>
      <c r="N118" s="32">
        <v>285135</v>
      </c>
      <c r="O118" s="33">
        <v>3.5534999999999997E-2</v>
      </c>
      <c r="P118" s="33">
        <v>8.58878E-2</v>
      </c>
      <c r="Q118" s="33">
        <v>0</v>
      </c>
      <c r="R118" s="34">
        <v>0.58964139999999998</v>
      </c>
      <c r="T118" s="69" t="s">
        <v>152</v>
      </c>
      <c r="U118" s="61">
        <f t="shared" si="19"/>
        <v>-0.30394305128318572</v>
      </c>
      <c r="V118" s="54">
        <v>0</v>
      </c>
    </row>
    <row r="119" spans="2:22" ht="21" customHeight="1">
      <c r="B119" s="201"/>
      <c r="C119" s="211"/>
      <c r="D119" s="46" t="s">
        <v>133</v>
      </c>
      <c r="E119" s="46" t="s">
        <v>133</v>
      </c>
      <c r="F119" s="32">
        <v>14556</v>
      </c>
      <c r="G119" s="33">
        <v>0.45858529999999997</v>
      </c>
      <c r="H119" s="33">
        <v>0.1194863</v>
      </c>
      <c r="I119" s="33">
        <v>6.0810799999999998E-2</v>
      </c>
      <c r="J119" s="34">
        <v>0.66666669999999995</v>
      </c>
      <c r="L119" s="46" t="s">
        <v>133</v>
      </c>
      <c r="M119" s="46" t="s">
        <v>133</v>
      </c>
      <c r="N119" s="32">
        <v>285135</v>
      </c>
      <c r="O119" s="33">
        <v>9.9512199999999995E-2</v>
      </c>
      <c r="P119" s="33">
        <v>0.2434481</v>
      </c>
      <c r="Q119" s="33">
        <v>0</v>
      </c>
      <c r="R119" s="34">
        <v>0.95315680000000003</v>
      </c>
      <c r="T119" s="69" t="s">
        <v>153</v>
      </c>
      <c r="U119" s="61">
        <f t="shared" si="19"/>
        <v>1.4749472269448805</v>
      </c>
      <c r="V119" s="54">
        <v>0</v>
      </c>
    </row>
    <row r="120" spans="2:22" ht="21" customHeight="1">
      <c r="B120" s="201"/>
      <c r="C120" s="211"/>
      <c r="D120" s="46" t="s">
        <v>134</v>
      </c>
      <c r="E120" s="46" t="s">
        <v>134</v>
      </c>
      <c r="F120" s="32">
        <v>14556</v>
      </c>
      <c r="G120" s="33">
        <v>0.1921292</v>
      </c>
      <c r="H120" s="33">
        <v>0.1475186</v>
      </c>
      <c r="I120" s="33">
        <v>0</v>
      </c>
      <c r="J120" s="34">
        <v>0.55629139999999999</v>
      </c>
      <c r="L120" s="46" t="s">
        <v>134</v>
      </c>
      <c r="M120" s="46" t="s">
        <v>134</v>
      </c>
      <c r="N120" s="32">
        <v>285135</v>
      </c>
      <c r="O120" s="33">
        <v>0.1100589</v>
      </c>
      <c r="P120" s="33">
        <v>0.22412850000000001</v>
      </c>
      <c r="Q120" s="33">
        <v>0</v>
      </c>
      <c r="R120" s="34">
        <v>0.95218420000000004</v>
      </c>
      <c r="T120" s="69" t="s">
        <v>154</v>
      </c>
      <c r="U120" s="61">
        <f t="shared" si="19"/>
        <v>0.36617520752603971</v>
      </c>
      <c r="V120" s="54">
        <v>0</v>
      </c>
    </row>
    <row r="121" spans="2:22" ht="21" customHeight="1">
      <c r="B121" s="201"/>
      <c r="C121" s="211"/>
      <c r="D121" s="46" t="s">
        <v>135</v>
      </c>
      <c r="E121" s="46" t="s">
        <v>135</v>
      </c>
      <c r="F121" s="32">
        <v>14556</v>
      </c>
      <c r="G121" s="33">
        <v>5.4443E-3</v>
      </c>
      <c r="H121" s="33">
        <v>2.6881200000000001E-2</v>
      </c>
      <c r="I121" s="33">
        <v>0</v>
      </c>
      <c r="J121" s="34">
        <v>0.47058820000000001</v>
      </c>
      <c r="L121" s="46" t="s">
        <v>135</v>
      </c>
      <c r="M121" s="46" t="s">
        <v>135</v>
      </c>
      <c r="N121" s="32">
        <v>285135</v>
      </c>
      <c r="O121" s="33">
        <v>1.12163E-2</v>
      </c>
      <c r="P121" s="33">
        <v>5.03066E-2</v>
      </c>
      <c r="Q121" s="33">
        <v>0</v>
      </c>
      <c r="R121" s="34">
        <v>0.51052629999999999</v>
      </c>
      <c r="T121" s="69" t="s">
        <v>155</v>
      </c>
      <c r="U121" s="61">
        <f t="shared" si="19"/>
        <v>-0.1147364361733848</v>
      </c>
      <c r="V121" s="54">
        <v>0</v>
      </c>
    </row>
    <row r="122" spans="2:22" ht="21" customHeight="1">
      <c r="B122" s="201"/>
      <c r="C122" s="211"/>
      <c r="D122" s="46" t="s">
        <v>136</v>
      </c>
      <c r="E122" s="46" t="s">
        <v>136</v>
      </c>
      <c r="F122" s="32">
        <v>14556</v>
      </c>
      <c r="G122" s="33">
        <v>9.7184999999999997E-3</v>
      </c>
      <c r="H122" s="33">
        <v>1.7206900000000001E-2</v>
      </c>
      <c r="I122" s="33">
        <v>0</v>
      </c>
      <c r="J122" s="34">
        <v>0.16</v>
      </c>
      <c r="L122" s="46" t="s">
        <v>136</v>
      </c>
      <c r="M122" s="46" t="s">
        <v>136</v>
      </c>
      <c r="N122" s="32">
        <v>285135</v>
      </c>
      <c r="O122" s="33">
        <v>1.9921000000000001E-2</v>
      </c>
      <c r="P122" s="33">
        <v>4.8187399999999998E-2</v>
      </c>
      <c r="Q122" s="33">
        <v>0</v>
      </c>
      <c r="R122" s="34">
        <v>0.5</v>
      </c>
      <c r="T122" s="69" t="s">
        <v>156</v>
      </c>
      <c r="U122" s="61">
        <f t="shared" si="19"/>
        <v>-0.21172547180383258</v>
      </c>
      <c r="V122" s="54">
        <v>0</v>
      </c>
    </row>
    <row r="123" spans="2:22" ht="21" customHeight="1">
      <c r="B123" s="201"/>
      <c r="C123" s="211"/>
      <c r="D123" s="46" t="s">
        <v>137</v>
      </c>
      <c r="E123" s="46" t="s">
        <v>137</v>
      </c>
      <c r="F123" s="32">
        <v>14556</v>
      </c>
      <c r="G123" s="33">
        <v>7.6337000000000002E-3</v>
      </c>
      <c r="H123" s="33">
        <v>1.8151400000000002E-2</v>
      </c>
      <c r="I123" s="33">
        <v>0</v>
      </c>
      <c r="J123" s="34">
        <v>0.30612240000000002</v>
      </c>
      <c r="L123" s="46" t="s">
        <v>137</v>
      </c>
      <c r="M123" s="46" t="s">
        <v>137</v>
      </c>
      <c r="N123" s="32">
        <v>285135</v>
      </c>
      <c r="O123" s="33">
        <v>3.6702899999999997E-2</v>
      </c>
      <c r="P123" s="33">
        <v>9.8033800000000004E-2</v>
      </c>
      <c r="Q123" s="33">
        <v>0</v>
      </c>
      <c r="R123" s="34">
        <v>0.92857140000000005</v>
      </c>
      <c r="T123" s="69" t="s">
        <v>157</v>
      </c>
      <c r="U123" s="61">
        <f t="shared" si="19"/>
        <v>-0.29652221988742655</v>
      </c>
      <c r="V123" s="54">
        <v>0</v>
      </c>
    </row>
    <row r="124" spans="2:22" ht="21" customHeight="1">
      <c r="B124" s="201"/>
      <c r="C124" s="211"/>
      <c r="D124" s="46" t="s">
        <v>138</v>
      </c>
      <c r="E124" s="46" t="s">
        <v>138</v>
      </c>
      <c r="F124" s="32">
        <v>14556</v>
      </c>
      <c r="G124" s="33">
        <v>0.2156817</v>
      </c>
      <c r="H124" s="33">
        <v>0.1424166</v>
      </c>
      <c r="I124" s="33">
        <v>0</v>
      </c>
      <c r="J124" s="34">
        <v>0.62433859999999997</v>
      </c>
      <c r="L124" s="46" t="s">
        <v>138</v>
      </c>
      <c r="M124" s="46" t="s">
        <v>138</v>
      </c>
      <c r="N124" s="32">
        <v>285135</v>
      </c>
      <c r="O124" s="33">
        <v>0.55043059999999999</v>
      </c>
      <c r="P124" s="33">
        <v>0.32089380000000001</v>
      </c>
      <c r="Q124" s="33">
        <v>0</v>
      </c>
      <c r="R124" s="34">
        <v>1</v>
      </c>
      <c r="T124" s="69" t="s">
        <v>158</v>
      </c>
      <c r="U124" s="61">
        <f t="shared" si="19"/>
        <v>-1.0431765898873708</v>
      </c>
      <c r="V124" s="54">
        <v>0</v>
      </c>
    </row>
    <row r="125" spans="2:22" ht="21" customHeight="1">
      <c r="B125" s="201"/>
      <c r="C125" s="211"/>
      <c r="D125" s="46" t="s">
        <v>139</v>
      </c>
      <c r="E125" s="46" t="s">
        <v>139</v>
      </c>
      <c r="F125" s="32">
        <v>14556</v>
      </c>
      <c r="G125" s="33">
        <v>1.40771E-2</v>
      </c>
      <c r="H125" s="33">
        <v>4.3028499999999997E-2</v>
      </c>
      <c r="I125" s="33">
        <v>0</v>
      </c>
      <c r="J125" s="34">
        <v>0.3548983</v>
      </c>
      <c r="L125" s="46" t="s">
        <v>139</v>
      </c>
      <c r="M125" s="46" t="s">
        <v>139</v>
      </c>
      <c r="N125" s="32">
        <v>285135</v>
      </c>
      <c r="O125" s="33">
        <v>2.06415E-2</v>
      </c>
      <c r="P125" s="33">
        <v>9.5968100000000001E-2</v>
      </c>
      <c r="Q125" s="33">
        <v>0</v>
      </c>
      <c r="R125" s="34">
        <v>0.88709680000000002</v>
      </c>
      <c r="T125" s="69" t="s">
        <v>159</v>
      </c>
      <c r="U125" s="61">
        <f t="shared" si="19"/>
        <v>-6.8401896046707183E-2</v>
      </c>
      <c r="V125" s="54">
        <v>0</v>
      </c>
    </row>
    <row r="126" spans="2:22" ht="21" customHeight="1" thickBot="1">
      <c r="B126" s="202"/>
      <c r="C126" s="214"/>
      <c r="D126" s="47" t="s">
        <v>140</v>
      </c>
      <c r="E126" s="47" t="s">
        <v>140</v>
      </c>
      <c r="F126" s="35">
        <v>14556</v>
      </c>
      <c r="G126" s="36">
        <v>7.1203799999999998E-2</v>
      </c>
      <c r="H126" s="36">
        <v>6.6185499999999994E-2</v>
      </c>
      <c r="I126" s="36">
        <v>0</v>
      </c>
      <c r="J126" s="37">
        <v>0.34615380000000001</v>
      </c>
      <c r="L126" s="47" t="s">
        <v>140</v>
      </c>
      <c r="M126" s="47" t="s">
        <v>140</v>
      </c>
      <c r="N126" s="35">
        <v>285135</v>
      </c>
      <c r="O126" s="36">
        <v>6.9534299999999993E-2</v>
      </c>
      <c r="P126" s="36">
        <v>0.1103164</v>
      </c>
      <c r="Q126" s="36">
        <v>0</v>
      </c>
      <c r="R126" s="37">
        <v>0.63157890000000005</v>
      </c>
      <c r="T126" s="70" t="s">
        <v>160</v>
      </c>
      <c r="U126" s="62">
        <f t="shared" si="19"/>
        <v>1.5133742580432324E-2</v>
      </c>
      <c r="V126" s="55">
        <v>0</v>
      </c>
    </row>
    <row r="130" spans="2:15" ht="20.25" customHeight="1">
      <c r="B130" s="215" t="s">
        <v>149</v>
      </c>
      <c r="C130" s="215"/>
    </row>
    <row r="131" spans="2:15" ht="15.75" thickBot="1"/>
    <row r="132" spans="2:15" ht="15.75" thickBot="1">
      <c r="D132" s="88" t="s">
        <v>40</v>
      </c>
      <c r="E132" s="89" t="s">
        <v>41</v>
      </c>
      <c r="F132" s="89" t="s">
        <v>42</v>
      </c>
      <c r="G132" s="89" t="s">
        <v>43</v>
      </c>
      <c r="H132" s="89" t="s">
        <v>44</v>
      </c>
      <c r="I132" s="89" t="s">
        <v>45</v>
      </c>
      <c r="J132" s="89" t="s">
        <v>46</v>
      </c>
      <c r="K132" s="89" t="s">
        <v>47</v>
      </c>
      <c r="L132" s="89" t="s">
        <v>48</v>
      </c>
      <c r="M132" s="89" t="s">
        <v>49</v>
      </c>
      <c r="N132" s="89" t="s">
        <v>50</v>
      </c>
    </row>
    <row r="133" spans="2:15" s="2" customFormat="1" ht="19.899999999999999" customHeight="1">
      <c r="B133" s="100">
        <f>+(G50-G116)^(2)</f>
        <v>3.5006409999999992E-6</v>
      </c>
      <c r="C133" s="85" t="s">
        <v>40</v>
      </c>
      <c r="D133" s="90">
        <v>0</v>
      </c>
      <c r="E133" s="8">
        <v>0.42239494591423554</v>
      </c>
      <c r="F133" s="8">
        <v>0.92410145972249702</v>
      </c>
      <c r="G133" s="8">
        <v>0.50353807025524133</v>
      </c>
      <c r="H133" s="8">
        <v>0.74503228094112806</v>
      </c>
      <c r="I133" s="8">
        <v>0.74503210878215176</v>
      </c>
      <c r="J133" s="107">
        <v>0.46004264024121716</v>
      </c>
      <c r="K133" s="8">
        <v>1.0995957102167406</v>
      </c>
      <c r="L133" s="110">
        <v>0.46623561473713049</v>
      </c>
      <c r="M133" s="103">
        <v>0.46899512954309019</v>
      </c>
      <c r="N133" s="8">
        <v>0.79855299411434177</v>
      </c>
      <c r="O133" s="85" t="s">
        <v>40</v>
      </c>
    </row>
    <row r="134" spans="2:15" s="2" customFormat="1" ht="19.899999999999999" customHeight="1">
      <c r="B134" s="100">
        <f t="shared" ref="B134:B143" si="20">+(G51-G117)^(2)</f>
        <v>4.109539839999999E-6</v>
      </c>
      <c r="C134" s="86" t="s">
        <v>41</v>
      </c>
      <c r="D134" s="92"/>
      <c r="E134" s="91">
        <v>0</v>
      </c>
      <c r="F134" s="8">
        <v>0.77020690485041732</v>
      </c>
      <c r="G134" s="8">
        <v>0.46274697866458986</v>
      </c>
      <c r="H134" s="8">
        <v>0.64795809350939504</v>
      </c>
      <c r="I134" s="8">
        <v>0.72714311406587628</v>
      </c>
      <c r="J134" s="107">
        <v>0.38533748102485438</v>
      </c>
      <c r="K134" s="8">
        <v>0.94717648061418602</v>
      </c>
      <c r="L134" s="110">
        <v>0.41271730379146943</v>
      </c>
      <c r="M134" s="103">
        <v>0.37783738089401636</v>
      </c>
      <c r="N134" s="8">
        <v>0.61618684679532876</v>
      </c>
      <c r="O134" s="86" t="s">
        <v>41</v>
      </c>
    </row>
    <row r="135" spans="2:15" s="2" customFormat="1" ht="19.899999999999999" customHeight="1">
      <c r="B135" s="100">
        <f t="shared" si="20"/>
        <v>1.5965298835600001E-3</v>
      </c>
      <c r="C135" s="86" t="s">
        <v>42</v>
      </c>
      <c r="D135" s="93"/>
      <c r="E135" s="95"/>
      <c r="F135" s="91">
        <v>0</v>
      </c>
      <c r="G135" s="103">
        <v>0.79071399081000604</v>
      </c>
      <c r="H135" s="103">
        <v>0.80473291004740821</v>
      </c>
      <c r="I135" s="103">
        <v>0.81960879338306269</v>
      </c>
      <c r="J135" s="103">
        <v>0.66473577239916914</v>
      </c>
      <c r="K135" s="103">
        <v>0.9913473703098209</v>
      </c>
      <c r="L135" s="103">
        <v>0.75468365384734559</v>
      </c>
      <c r="M135" s="102">
        <v>0.64267823432443238</v>
      </c>
      <c r="N135" s="8">
        <v>0.75375113491212065</v>
      </c>
      <c r="O135" s="86" t="s">
        <v>42</v>
      </c>
    </row>
    <row r="136" spans="2:15" s="2" customFormat="1" ht="19.899999999999999" customHeight="1">
      <c r="B136" s="100">
        <f t="shared" si="20"/>
        <v>0.20903147424016</v>
      </c>
      <c r="C136" s="86" t="s">
        <v>43</v>
      </c>
      <c r="D136" s="93"/>
      <c r="E136" s="96"/>
      <c r="F136" s="95"/>
      <c r="G136" s="91">
        <v>0</v>
      </c>
      <c r="H136" s="107">
        <v>0.66466240671539745</v>
      </c>
      <c r="I136" s="107">
        <v>0.78004955948434351</v>
      </c>
      <c r="J136" s="106">
        <v>0.41814846028175018</v>
      </c>
      <c r="K136" s="8">
        <v>0.96740982295936961</v>
      </c>
      <c r="L136" s="110">
        <v>0.45414740423569794</v>
      </c>
      <c r="M136" s="8">
        <v>0.42725859728468935</v>
      </c>
      <c r="N136" s="8">
        <v>0.67026266648951316</v>
      </c>
      <c r="O136" s="86" t="s">
        <v>43</v>
      </c>
    </row>
    <row r="137" spans="2:15" s="2" customFormat="1" ht="19.899999999999999" customHeight="1">
      <c r="B137" s="100">
        <f t="shared" si="20"/>
        <v>3.2538820379039997E-2</v>
      </c>
      <c r="C137" s="86" t="s">
        <v>44</v>
      </c>
      <c r="D137" s="93"/>
      <c r="E137" s="96"/>
      <c r="F137" s="96"/>
      <c r="G137" s="95"/>
      <c r="H137" s="91">
        <v>0</v>
      </c>
      <c r="I137" s="110">
        <v>0.83601192360213972</v>
      </c>
      <c r="J137" s="110">
        <v>0.57022186855485468</v>
      </c>
      <c r="K137" s="110">
        <v>0.99727113131490053</v>
      </c>
      <c r="L137" s="109">
        <v>0.58315550141530004</v>
      </c>
      <c r="M137" s="8">
        <v>0.55800696349418433</v>
      </c>
      <c r="N137" s="8">
        <v>0.74253335700528633</v>
      </c>
      <c r="O137" s="86" t="s">
        <v>44</v>
      </c>
    </row>
    <row r="138" spans="2:15" s="2" customFormat="1" ht="19.899999999999999" customHeight="1">
      <c r="B138" s="100">
        <f t="shared" si="20"/>
        <v>1.1320960000000089E-8</v>
      </c>
      <c r="C138" s="86" t="s">
        <v>45</v>
      </c>
      <c r="D138" s="93"/>
      <c r="E138" s="96"/>
      <c r="F138" s="96"/>
      <c r="G138" s="96"/>
      <c r="H138" s="95"/>
      <c r="I138" s="91">
        <v>0</v>
      </c>
      <c r="J138" s="8">
        <v>0.69855812675581985</v>
      </c>
      <c r="K138" s="8">
        <v>0.98452233382940291</v>
      </c>
      <c r="L138" s="8">
        <v>0.7582723763778686</v>
      </c>
      <c r="M138" s="8">
        <v>0.66833266939060365</v>
      </c>
      <c r="N138" s="8">
        <v>0.62172629669980173</v>
      </c>
      <c r="O138" s="86" t="s">
        <v>45</v>
      </c>
    </row>
    <row r="139" spans="2:15" s="2" customFormat="1" ht="19.899999999999999" customHeight="1">
      <c r="B139" s="100">
        <f t="shared" si="20"/>
        <v>1.5344272383999998E-4</v>
      </c>
      <c r="C139" s="86" t="s">
        <v>46</v>
      </c>
      <c r="D139" s="93"/>
      <c r="E139" s="96"/>
      <c r="F139" s="96"/>
      <c r="G139" s="96"/>
      <c r="H139" s="96"/>
      <c r="I139" s="95"/>
      <c r="J139" s="91">
        <v>0</v>
      </c>
      <c r="K139" s="8">
        <v>0.90873661734866162</v>
      </c>
      <c r="L139" s="8">
        <v>0.36815440524353371</v>
      </c>
      <c r="M139" s="8">
        <v>0.29598851804617354</v>
      </c>
      <c r="N139" s="8">
        <v>0.58917482253269282</v>
      </c>
      <c r="O139" s="86" t="s">
        <v>46</v>
      </c>
    </row>
    <row r="140" spans="2:15" s="2" customFormat="1" ht="19.899999999999999" customHeight="1">
      <c r="B140" s="100">
        <f t="shared" si="20"/>
        <v>0.29471641430841</v>
      </c>
      <c r="C140" s="86" t="s">
        <v>47</v>
      </c>
      <c r="D140" s="93"/>
      <c r="E140" s="96"/>
      <c r="F140" s="96"/>
      <c r="G140" s="96"/>
      <c r="H140" s="96"/>
      <c r="I140" s="96"/>
      <c r="J140" s="95"/>
      <c r="K140" s="91">
        <v>0</v>
      </c>
      <c r="L140" s="8">
        <v>0.95083398878742653</v>
      </c>
      <c r="M140" s="8">
        <v>0.89843837509564406</v>
      </c>
      <c r="N140" s="8">
        <v>0.39664750142412819</v>
      </c>
      <c r="O140" s="86" t="s">
        <v>47</v>
      </c>
    </row>
    <row r="141" spans="2:15" s="2" customFormat="1" ht="19.899999999999999" customHeight="1">
      <c r="B141" s="100">
        <f t="shared" si="20"/>
        <v>1.0100290200040002E-2</v>
      </c>
      <c r="C141" s="86" t="s">
        <v>48</v>
      </c>
      <c r="D141" s="93"/>
      <c r="E141" s="96"/>
      <c r="F141" s="96"/>
      <c r="G141" s="96"/>
      <c r="H141" s="96"/>
      <c r="I141" s="96"/>
      <c r="J141" s="96"/>
      <c r="K141" s="95"/>
      <c r="L141" s="91">
        <v>0</v>
      </c>
      <c r="M141" s="8">
        <v>0.39666838302120827</v>
      </c>
      <c r="N141" s="8">
        <v>0.64554964496931599</v>
      </c>
      <c r="O141" s="86" t="s">
        <v>48</v>
      </c>
    </row>
    <row r="142" spans="2:15" s="2" customFormat="1" ht="19.899999999999999" customHeight="1">
      <c r="B142" s="100">
        <f t="shared" si="20"/>
        <v>3.3277899689999997E-5</v>
      </c>
      <c r="C142" s="86" t="s">
        <v>49</v>
      </c>
      <c r="D142" s="93"/>
      <c r="E142" s="96"/>
      <c r="F142" s="96"/>
      <c r="G142" s="96"/>
      <c r="H142" s="96"/>
      <c r="I142" s="96"/>
      <c r="J142" s="96"/>
      <c r="K142" s="96"/>
      <c r="L142" s="95"/>
      <c r="M142" s="91">
        <v>0</v>
      </c>
      <c r="N142" s="8">
        <v>0.57064416201750445</v>
      </c>
      <c r="O142" s="86" t="s">
        <v>49</v>
      </c>
    </row>
    <row r="143" spans="2:15" s="2" customFormat="1" ht="19.899999999999999" customHeight="1" thickBot="1">
      <c r="B143" s="100">
        <f t="shared" si="20"/>
        <v>3.1779151289999998E-3</v>
      </c>
      <c r="C143" s="87" t="s">
        <v>50</v>
      </c>
      <c r="D143" s="94"/>
      <c r="E143" s="97"/>
      <c r="F143" s="97"/>
      <c r="G143" s="97"/>
      <c r="H143" s="97"/>
      <c r="I143" s="97"/>
      <c r="J143" s="97"/>
      <c r="K143" s="97"/>
      <c r="L143" s="97"/>
      <c r="M143" s="98"/>
      <c r="N143" s="91">
        <v>0</v>
      </c>
      <c r="O143" s="87" t="s">
        <v>50</v>
      </c>
    </row>
    <row r="144" spans="2:15">
      <c r="B144" s="99"/>
    </row>
    <row r="145" spans="2:2">
      <c r="B145" s="99">
        <f>+SUM(B133:B143)</f>
        <v>0.55135578626553994</v>
      </c>
    </row>
    <row r="146" spans="2:2">
      <c r="B146" s="6">
        <f>+B145^(0.5)</f>
        <v>0.74253335700528633</v>
      </c>
    </row>
  </sheetData>
  <mergeCells count="39">
    <mergeCell ref="AE72:AE82"/>
    <mergeCell ref="AF72:AF82"/>
    <mergeCell ref="AE83:AE93"/>
    <mergeCell ref="AF83:AF93"/>
    <mergeCell ref="AE39:AE49"/>
    <mergeCell ref="AF39:AF49"/>
    <mergeCell ref="AE50:AE60"/>
    <mergeCell ref="AF50:AF60"/>
    <mergeCell ref="AE61:AE71"/>
    <mergeCell ref="AF61:AF71"/>
    <mergeCell ref="AE6:AE16"/>
    <mergeCell ref="AF6:AF16"/>
    <mergeCell ref="AE17:AE27"/>
    <mergeCell ref="AF17:AF27"/>
    <mergeCell ref="AE28:AE38"/>
    <mergeCell ref="AF28:AF38"/>
    <mergeCell ref="C116:C126"/>
    <mergeCell ref="B72:B82"/>
    <mergeCell ref="C72:C82"/>
    <mergeCell ref="B83:B93"/>
    <mergeCell ref="C83:C93"/>
    <mergeCell ref="B94:B104"/>
    <mergeCell ref="C94:C104"/>
    <mergeCell ref="B130:C130"/>
    <mergeCell ref="B6:B16"/>
    <mergeCell ref="C6:C16"/>
    <mergeCell ref="B17:B27"/>
    <mergeCell ref="C17:C27"/>
    <mergeCell ref="B28:B38"/>
    <mergeCell ref="C28:C38"/>
    <mergeCell ref="B39:B49"/>
    <mergeCell ref="C39:C49"/>
    <mergeCell ref="B50:B60"/>
    <mergeCell ref="C50:C60"/>
    <mergeCell ref="B61:B71"/>
    <mergeCell ref="C61:C71"/>
    <mergeCell ref="B105:B115"/>
    <mergeCell ref="C105:C115"/>
    <mergeCell ref="B116:B12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60"/>
  <sheetViews>
    <sheetView showGridLines="0" zoomScaleNormal="100" workbookViewId="0"/>
  </sheetViews>
  <sheetFormatPr baseColWidth="10" defaultRowHeight="15"/>
  <cols>
    <col min="1" max="1" width="3.140625" customWidth="1"/>
    <col min="2" max="2" width="6.85546875" customWidth="1"/>
    <col min="3" max="3" width="2.28515625" customWidth="1"/>
  </cols>
  <sheetData>
    <row r="2" spans="2:10" ht="42" customHeight="1" thickBot="1">
      <c r="B2" s="216" t="s">
        <v>112</v>
      </c>
      <c r="C2" s="216"/>
      <c r="D2" s="216"/>
      <c r="E2" s="216"/>
      <c r="F2" s="216"/>
      <c r="G2" s="216"/>
      <c r="H2" s="216"/>
    </row>
    <row r="7" spans="2:10">
      <c r="E7" s="72">
        <v>0.70199999999999996</v>
      </c>
      <c r="F7" s="73"/>
      <c r="G7" s="73"/>
      <c r="H7" s="72">
        <v>0.127</v>
      </c>
      <c r="I7" s="73"/>
      <c r="J7" s="72">
        <f>1-E7-H7</f>
        <v>0.17100000000000004</v>
      </c>
    </row>
    <row r="9" spans="2:10" ht="18.75">
      <c r="B9" s="74">
        <v>3</v>
      </c>
    </row>
    <row r="19" spans="2:30">
      <c r="E19" s="72">
        <v>0.61499999999999999</v>
      </c>
      <c r="H19" s="72">
        <v>0.127</v>
      </c>
      <c r="J19" s="72">
        <v>0.16600000000000001</v>
      </c>
      <c r="M19" s="72">
        <v>9.1999999999999998E-2</v>
      </c>
    </row>
    <row r="21" spans="2:30" ht="18.75">
      <c r="B21" s="74">
        <v>4</v>
      </c>
    </row>
    <row r="32" spans="2:30">
      <c r="E32" s="72">
        <v>0.43099999999999999</v>
      </c>
      <c r="H32" s="72">
        <v>0.122</v>
      </c>
      <c r="J32" s="72">
        <v>2.1000000000000001E-2</v>
      </c>
      <c r="M32" s="72">
        <v>5.0999999999999997E-2</v>
      </c>
      <c r="P32" s="72">
        <v>2.3E-2</v>
      </c>
      <c r="S32" s="72">
        <v>0.13300000000000001</v>
      </c>
      <c r="V32" s="72">
        <v>1.2E-2</v>
      </c>
      <c r="Y32" s="72">
        <v>0.124</v>
      </c>
      <c r="AB32" s="72">
        <v>5.8999999999999997E-2</v>
      </c>
      <c r="AD32" s="72">
        <v>2.4E-2</v>
      </c>
    </row>
    <row r="34" spans="2:33" ht="18.75">
      <c r="B34" s="74">
        <v>10</v>
      </c>
    </row>
    <row r="47" spans="2:33">
      <c r="E47" s="72">
        <v>0.42899999999999999</v>
      </c>
      <c r="H47" s="72">
        <v>0.11899999999999999</v>
      </c>
      <c r="J47" s="72">
        <v>2.1000000000000001E-2</v>
      </c>
      <c r="M47" s="72">
        <v>5.0999999999999997E-2</v>
      </c>
      <c r="P47" s="72">
        <v>2.3E-2</v>
      </c>
      <c r="S47" s="72">
        <v>0.125</v>
      </c>
      <c r="V47" s="72">
        <v>1.2E-2</v>
      </c>
      <c r="Y47" s="72">
        <v>8.5999999999999993E-2</v>
      </c>
      <c r="AB47" s="72">
        <v>5.8999999999999997E-2</v>
      </c>
      <c r="AD47" s="72">
        <v>2.4E-2</v>
      </c>
      <c r="AG47" s="72">
        <v>5.0999999999999997E-2</v>
      </c>
    </row>
    <row r="49" spans="1:34" ht="18.75">
      <c r="B49" s="74">
        <v>11</v>
      </c>
    </row>
    <row r="60" spans="1:34" ht="15.75">
      <c r="A60" s="101"/>
      <c r="B60" s="101"/>
      <c r="C60" s="101"/>
      <c r="D60" s="101"/>
      <c r="E60" s="101">
        <v>1</v>
      </c>
      <c r="F60" s="101"/>
      <c r="G60" s="101"/>
      <c r="H60" s="101">
        <v>2</v>
      </c>
      <c r="I60" s="101"/>
      <c r="J60" s="101"/>
      <c r="K60" s="104">
        <v>3</v>
      </c>
      <c r="L60" s="101"/>
      <c r="M60" s="101"/>
      <c r="N60" s="108">
        <v>4</v>
      </c>
      <c r="O60" s="101"/>
      <c r="P60" s="101"/>
      <c r="Q60" s="111">
        <v>5</v>
      </c>
      <c r="R60" s="101"/>
      <c r="S60" s="101"/>
      <c r="T60" s="101">
        <v>6</v>
      </c>
      <c r="U60" s="101"/>
      <c r="V60" s="108">
        <v>7</v>
      </c>
      <c r="W60" s="101"/>
      <c r="X60" s="101"/>
      <c r="Y60" s="101">
        <v>8</v>
      </c>
      <c r="Z60" s="101"/>
      <c r="AA60" s="101"/>
      <c r="AB60" s="111">
        <v>9</v>
      </c>
      <c r="AC60" s="101"/>
      <c r="AD60" s="101"/>
      <c r="AE60" s="105">
        <v>10</v>
      </c>
      <c r="AF60" s="101"/>
      <c r="AG60" s="101"/>
      <c r="AH60" s="101">
        <v>11</v>
      </c>
    </row>
  </sheetData>
  <mergeCells count="1">
    <mergeCell ref="B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7"/>
  <sheetViews>
    <sheetView showGridLines="0" workbookViewId="0">
      <selection activeCell="F30" sqref="F30"/>
    </sheetView>
  </sheetViews>
  <sheetFormatPr baseColWidth="10" defaultRowHeight="15"/>
  <cols>
    <col min="2" max="3" width="13.7109375" customWidth="1"/>
    <col min="4" max="4" width="11.5703125" style="78"/>
  </cols>
  <sheetData>
    <row r="3" spans="2:4">
      <c r="B3" s="76" t="s">
        <v>35</v>
      </c>
      <c r="C3" s="76" t="s">
        <v>36</v>
      </c>
      <c r="D3" s="77" t="s">
        <v>8</v>
      </c>
    </row>
    <row r="4" spans="2:4" ht="15.75" thickBot="1"/>
    <row r="5" spans="2:4">
      <c r="B5" s="217" t="s">
        <v>24</v>
      </c>
      <c r="C5" s="82" t="s">
        <v>39</v>
      </c>
      <c r="D5" s="79">
        <v>0.111757560841426</v>
      </c>
    </row>
    <row r="6" spans="2:4">
      <c r="B6" s="218"/>
      <c r="C6" s="83" t="s">
        <v>37</v>
      </c>
      <c r="D6" s="80">
        <v>0.15430579048660101</v>
      </c>
    </row>
    <row r="7" spans="2:4" ht="15.75" thickBot="1">
      <c r="B7" s="219"/>
      <c r="C7" s="84" t="s">
        <v>38</v>
      </c>
      <c r="D7" s="81">
        <v>0.61413131643042995</v>
      </c>
    </row>
    <row r="8" spans="2:4">
      <c r="B8" s="217" t="s">
        <v>25</v>
      </c>
      <c r="C8" s="82" t="s">
        <v>39</v>
      </c>
      <c r="D8" s="79">
        <v>9.6830935412767202E-2</v>
      </c>
    </row>
    <row r="9" spans="2:4">
      <c r="B9" s="218"/>
      <c r="C9" s="83" t="s">
        <v>37</v>
      </c>
      <c r="D9" s="80">
        <v>0.16923241591514299</v>
      </c>
    </row>
    <row r="10" spans="2:4" ht="15.75" thickBot="1">
      <c r="B10" s="219"/>
      <c r="C10" s="84" t="s">
        <v>38</v>
      </c>
      <c r="D10" s="81">
        <v>0.50631204173339395</v>
      </c>
    </row>
    <row r="11" spans="2:4">
      <c r="B11" s="217" t="s">
        <v>26</v>
      </c>
      <c r="C11" s="82" t="s">
        <v>39</v>
      </c>
      <c r="D11" s="79">
        <v>9.1506486974330906E-2</v>
      </c>
    </row>
    <row r="12" spans="2:4">
      <c r="B12" s="218"/>
      <c r="C12" s="83" t="s">
        <v>37</v>
      </c>
      <c r="D12" s="80">
        <v>0.17455686435423701</v>
      </c>
    </row>
    <row r="13" spans="2:4" ht="15.75" thickBot="1">
      <c r="B13" s="219"/>
      <c r="C13" s="84" t="s">
        <v>38</v>
      </c>
      <c r="D13" s="81">
        <v>0.50271487573518903</v>
      </c>
    </row>
    <row r="14" spans="2:4">
      <c r="B14" s="217" t="s">
        <v>27</v>
      </c>
      <c r="C14" s="82" t="s">
        <v>39</v>
      </c>
      <c r="D14" s="79">
        <v>8.0453995071496601E-2</v>
      </c>
    </row>
    <row r="15" spans="2:4">
      <c r="B15" s="218"/>
      <c r="C15" s="83" t="s">
        <v>37</v>
      </c>
      <c r="D15" s="80">
        <v>0.18560935625619801</v>
      </c>
    </row>
    <row r="16" spans="2:4" ht="15.75" thickBot="1">
      <c r="B16" s="219"/>
      <c r="C16" s="84" t="s">
        <v>38</v>
      </c>
      <c r="D16" s="81">
        <v>0.51340105833380101</v>
      </c>
    </row>
    <row r="17" spans="2:4">
      <c r="B17" s="217" t="s">
        <v>28</v>
      </c>
      <c r="C17" s="82" t="s">
        <v>39</v>
      </c>
      <c r="D17" s="79">
        <v>7.91993351187604E-2</v>
      </c>
    </row>
    <row r="18" spans="2:4">
      <c r="B18" s="218"/>
      <c r="C18" s="83" t="s">
        <v>37</v>
      </c>
      <c r="D18" s="80">
        <v>0.18686401620973001</v>
      </c>
    </row>
    <row r="19" spans="2:4" ht="15.75" thickBot="1">
      <c r="B19" s="219"/>
      <c r="C19" s="84" t="s">
        <v>38</v>
      </c>
      <c r="D19" s="81">
        <v>0.49546116217028502</v>
      </c>
    </row>
    <row r="20" spans="2:4">
      <c r="B20" s="217" t="s">
        <v>29</v>
      </c>
      <c r="C20" s="82" t="s">
        <v>39</v>
      </c>
      <c r="D20" s="79">
        <v>6.7319862185963697E-2</v>
      </c>
    </row>
    <row r="21" spans="2:4">
      <c r="B21" s="218"/>
      <c r="C21" s="83" t="s">
        <v>37</v>
      </c>
      <c r="D21" s="80">
        <v>0.19874348914307899</v>
      </c>
    </row>
    <row r="22" spans="2:4" ht="15.75" thickBot="1">
      <c r="B22" s="219"/>
      <c r="C22" s="84" t="s">
        <v>38</v>
      </c>
      <c r="D22" s="81">
        <v>0.50868958144116005</v>
      </c>
    </row>
    <row r="23" spans="2:4">
      <c r="B23" s="217" t="s">
        <v>30</v>
      </c>
      <c r="C23" s="82" t="s">
        <v>39</v>
      </c>
      <c r="D23" s="79">
        <v>5.6815568129216801E-2</v>
      </c>
    </row>
    <row r="24" spans="2:4">
      <c r="B24" s="218"/>
      <c r="C24" s="83" t="s">
        <v>37</v>
      </c>
      <c r="D24" s="80">
        <v>0.20924778319957901</v>
      </c>
    </row>
    <row r="25" spans="2:4" ht="15.75" thickBot="1">
      <c r="B25" s="219"/>
      <c r="C25" s="84" t="s">
        <v>38</v>
      </c>
      <c r="D25" s="81">
        <v>0.53590506218619705</v>
      </c>
    </row>
    <row r="26" spans="2:4">
      <c r="B26" s="217" t="s">
        <v>31</v>
      </c>
      <c r="C26" s="82" t="s">
        <v>39</v>
      </c>
      <c r="D26" s="79">
        <v>5.5630890652921497E-2</v>
      </c>
    </row>
    <row r="27" spans="2:4">
      <c r="B27" s="218"/>
      <c r="C27" s="83" t="s">
        <v>37</v>
      </c>
      <c r="D27" s="80">
        <v>0.21043246067360899</v>
      </c>
    </row>
    <row r="28" spans="2:4" ht="15.75" thickBot="1">
      <c r="B28" s="219"/>
      <c r="C28" s="84" t="s">
        <v>38</v>
      </c>
      <c r="D28" s="81">
        <v>0.53132008574121903</v>
      </c>
    </row>
    <row r="29" spans="2:4">
      <c r="B29" s="217" t="s">
        <v>32</v>
      </c>
      <c r="C29" s="82" t="s">
        <v>39</v>
      </c>
      <c r="D29" s="79">
        <v>5.1655955349164902E-2</v>
      </c>
    </row>
    <row r="30" spans="2:4">
      <c r="B30" s="218"/>
      <c r="C30" s="83" t="s">
        <v>37</v>
      </c>
      <c r="D30" s="80">
        <v>0.214407395979473</v>
      </c>
    </row>
    <row r="31" spans="2:4" ht="15.75" thickBot="1">
      <c r="B31" s="219"/>
      <c r="C31" s="84" t="s">
        <v>38</v>
      </c>
      <c r="D31" s="81">
        <v>0.51409555511633398</v>
      </c>
    </row>
    <row r="32" spans="2:4">
      <c r="B32" s="217" t="s">
        <v>33</v>
      </c>
      <c r="C32" s="82" t="s">
        <v>39</v>
      </c>
      <c r="D32" s="79">
        <v>5.0129795462852303E-2</v>
      </c>
    </row>
    <row r="33" spans="2:4">
      <c r="B33" s="218"/>
      <c r="C33" s="83" t="s">
        <v>37</v>
      </c>
      <c r="D33" s="80">
        <v>0.21593355586399601</v>
      </c>
    </row>
    <row r="34" spans="2:4" ht="15.75" thickBot="1">
      <c r="B34" s="219"/>
      <c r="C34" s="84" t="s">
        <v>38</v>
      </c>
      <c r="D34" s="81">
        <v>0.50908317614807597</v>
      </c>
    </row>
    <row r="35" spans="2:4">
      <c r="B35" s="217" t="s">
        <v>34</v>
      </c>
      <c r="C35" s="82" t="s">
        <v>39</v>
      </c>
      <c r="D35" s="79">
        <v>4.9063856345979998E-2</v>
      </c>
    </row>
    <row r="36" spans="2:4">
      <c r="B36" s="218"/>
      <c r="C36" s="83" t="s">
        <v>37</v>
      </c>
      <c r="D36" s="80">
        <v>0.216999494981022</v>
      </c>
    </row>
    <row r="37" spans="2:4" ht="15.75" thickBot="1">
      <c r="B37" s="219"/>
      <c r="C37" s="84" t="s">
        <v>38</v>
      </c>
      <c r="D37" s="81">
        <v>0.44753575210304097</v>
      </c>
    </row>
  </sheetData>
  <mergeCells count="11">
    <mergeCell ref="B35:B37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220"/>
  <sheetViews>
    <sheetView showGridLines="0" zoomScale="90" zoomScaleNormal="90" workbookViewId="0"/>
  </sheetViews>
  <sheetFormatPr baseColWidth="10" defaultRowHeight="15"/>
  <cols>
    <col min="1" max="1" width="5.7109375" customWidth="1"/>
    <col min="2" max="2" width="18.42578125" style="3" customWidth="1"/>
    <col min="3" max="3" width="7.28515625" style="3" customWidth="1"/>
    <col min="7" max="7" width="13.7109375" customWidth="1"/>
    <col min="9" max="9" width="11.140625" customWidth="1"/>
    <col min="10" max="11" width="9.7109375" style="1" customWidth="1"/>
    <col min="12" max="12" width="5.5703125" customWidth="1"/>
    <col min="13" max="13" width="17.7109375" customWidth="1"/>
    <col min="14" max="15" width="11.5703125" style="1"/>
    <col min="16" max="16" width="6.7109375" customWidth="1"/>
    <col min="17" max="17" width="11.28515625" bestFit="1" customWidth="1"/>
    <col min="18" max="19" width="11.5703125" style="1"/>
    <col min="23" max="23" width="21" bestFit="1" customWidth="1"/>
    <col min="24" max="24" width="13" bestFit="1" customWidth="1"/>
  </cols>
  <sheetData>
    <row r="3" spans="2:27" ht="28.15" customHeight="1" thickBot="1">
      <c r="B3" s="187" t="s">
        <v>141</v>
      </c>
      <c r="C3" s="187"/>
      <c r="D3" s="187"/>
      <c r="E3" s="187"/>
      <c r="F3" s="187"/>
    </row>
    <row r="6" spans="2:27" ht="15.75" thickBot="1">
      <c r="C6"/>
      <c r="I6" s="23" t="s">
        <v>72</v>
      </c>
      <c r="M6" s="23" t="s">
        <v>162</v>
      </c>
      <c r="R6" s="221" t="s">
        <v>110</v>
      </c>
      <c r="S6" s="221"/>
    </row>
    <row r="7" spans="2:27" ht="7.15" customHeight="1" thickTop="1">
      <c r="C7"/>
      <c r="I7" s="5"/>
    </row>
    <row r="8" spans="2:27">
      <c r="C8"/>
      <c r="I8" s="5"/>
      <c r="J8" s="134" t="s">
        <v>35</v>
      </c>
      <c r="K8" s="134" t="s">
        <v>3</v>
      </c>
      <c r="N8" s="134" t="s">
        <v>35</v>
      </c>
      <c r="O8" s="134" t="s">
        <v>3</v>
      </c>
      <c r="R8" s="135" t="s">
        <v>35</v>
      </c>
      <c r="S8" s="135" t="s">
        <v>3</v>
      </c>
    </row>
    <row r="9" spans="2:27" ht="15.75" thickBot="1">
      <c r="B9" s="165">
        <v>0.42</v>
      </c>
      <c r="C9"/>
      <c r="I9" s="5" t="s">
        <v>81</v>
      </c>
      <c r="J9" s="149">
        <v>0.84489686123922803</v>
      </c>
      <c r="K9" s="139">
        <v>0.55043059944007</v>
      </c>
      <c r="M9" s="130" t="s">
        <v>85</v>
      </c>
      <c r="N9" s="154">
        <v>74.241163288832894</v>
      </c>
      <c r="O9" s="146">
        <v>80.231821137356107</v>
      </c>
      <c r="Q9" s="130" t="s">
        <v>94</v>
      </c>
      <c r="R9" s="152">
        <v>0.34849423701340299</v>
      </c>
      <c r="S9" s="138">
        <v>0.65988139274664304</v>
      </c>
      <c r="T9" s="132"/>
      <c r="U9" s="132"/>
      <c r="V9" s="144">
        <v>1</v>
      </c>
      <c r="W9" t="s">
        <v>103</v>
      </c>
      <c r="X9" s="140">
        <v>19</v>
      </c>
      <c r="Y9" s="15">
        <f>+X9/$X$13</f>
        <v>1.3053036548502336E-3</v>
      </c>
      <c r="Z9" s="132"/>
      <c r="AA9" s="132"/>
    </row>
    <row r="10" spans="2:27">
      <c r="C10"/>
      <c r="I10" s="5"/>
      <c r="M10" s="130" t="s">
        <v>73</v>
      </c>
      <c r="N10" s="155">
        <v>5.4775705748178914E-4</v>
      </c>
      <c r="O10" s="148">
        <v>1.7430340014379154E-3</v>
      </c>
      <c r="Q10" s="130" t="s">
        <v>91</v>
      </c>
      <c r="R10" s="152">
        <v>0.57340964310690001</v>
      </c>
      <c r="S10" s="138">
        <v>0.20979086423945201</v>
      </c>
      <c r="V10" s="145">
        <v>2</v>
      </c>
      <c r="W10" t="s">
        <v>104</v>
      </c>
      <c r="X10" s="140">
        <v>711</v>
      </c>
      <c r="Y10" s="15">
        <f>+X10/$X$13</f>
        <v>4.8845836768342948E-2</v>
      </c>
    </row>
    <row r="11" spans="2:27">
      <c r="C11"/>
      <c r="I11" s="5"/>
      <c r="J11" s="134" t="s">
        <v>35</v>
      </c>
      <c r="K11" s="134" t="s">
        <v>3</v>
      </c>
      <c r="M11" s="130" t="s">
        <v>74</v>
      </c>
      <c r="N11" s="152">
        <v>1.6040288757899555E-2</v>
      </c>
      <c r="O11" s="138">
        <v>3.6119732758167183E-2</v>
      </c>
      <c r="Q11" s="130" t="s">
        <v>100</v>
      </c>
      <c r="R11" s="152">
        <v>4.8501589288248499E-2</v>
      </c>
      <c r="S11" s="138">
        <v>9.3256726081774002E-2</v>
      </c>
      <c r="V11" s="145">
        <v>3</v>
      </c>
      <c r="W11" t="s">
        <v>101</v>
      </c>
      <c r="X11" s="140">
        <v>8506</v>
      </c>
      <c r="Y11" s="15">
        <f>+X11/$X$13</f>
        <v>0.58436383621874144</v>
      </c>
    </row>
    <row r="12" spans="2:27">
      <c r="C12"/>
      <c r="I12" s="133" t="s">
        <v>63</v>
      </c>
      <c r="J12" s="150">
        <v>6.5851410000000001</v>
      </c>
      <c r="K12" s="136">
        <v>5.7418560000000003</v>
      </c>
      <c r="M12" s="130" t="s">
        <v>75</v>
      </c>
      <c r="N12" s="152">
        <v>0.51996043068420583</v>
      </c>
      <c r="O12" s="138">
        <v>0.5570975152120925</v>
      </c>
      <c r="Q12" s="130" t="s">
        <v>92</v>
      </c>
      <c r="R12" s="152">
        <v>6.0598988121801497E-3</v>
      </c>
      <c r="S12" s="138">
        <v>1.16067876421988E-2</v>
      </c>
      <c r="V12" s="145">
        <v>4</v>
      </c>
      <c r="W12" s="132" t="s">
        <v>102</v>
      </c>
      <c r="X12" s="141">
        <v>5320</v>
      </c>
      <c r="Y12" s="15">
        <f>+X12/$X$13</f>
        <v>0.36548502335806538</v>
      </c>
    </row>
    <row r="13" spans="2:27" ht="15.75" thickBot="1">
      <c r="C13"/>
      <c r="I13" s="133" t="s">
        <v>64</v>
      </c>
      <c r="J13" s="150">
        <v>4.6666660000000002</v>
      </c>
      <c r="K13" s="136">
        <v>3.8333330000000001</v>
      </c>
      <c r="M13" s="130" t="s">
        <v>76</v>
      </c>
      <c r="N13" s="156">
        <v>0.46345152350041285</v>
      </c>
      <c r="O13" s="142">
        <v>0.40503971802830241</v>
      </c>
      <c r="Q13" s="130" t="s">
        <v>90</v>
      </c>
      <c r="R13" s="152">
        <v>1.0654985098819699E-2</v>
      </c>
      <c r="S13" s="138">
        <v>5.25922109453317E-3</v>
      </c>
      <c r="X13" s="140">
        <f>SUM(X9:X12)</f>
        <v>14556</v>
      </c>
    </row>
    <row r="14" spans="2:27">
      <c r="C14"/>
      <c r="I14" s="133" t="s">
        <v>82</v>
      </c>
      <c r="J14" s="151">
        <v>1596.9687431019399</v>
      </c>
      <c r="K14" s="137">
        <v>1623.9385820167099</v>
      </c>
      <c r="M14" s="130" t="s">
        <v>86</v>
      </c>
      <c r="N14" s="157">
        <v>0.15051055863044399</v>
      </c>
      <c r="O14" s="147">
        <v>0.24926438353762301</v>
      </c>
      <c r="Q14" s="130" t="s">
        <v>97</v>
      </c>
      <c r="R14" s="152">
        <v>2.7211966083785198E-3</v>
      </c>
      <c r="S14" s="138">
        <v>1.0092754105427501E-2</v>
      </c>
    </row>
    <row r="15" spans="2:27">
      <c r="C15"/>
      <c r="I15" s="133" t="s">
        <v>83</v>
      </c>
      <c r="J15" s="151">
        <v>786.66666666666697</v>
      </c>
      <c r="K15" s="137">
        <v>698.33333333333303</v>
      </c>
      <c r="M15" s="130" t="s">
        <v>87</v>
      </c>
      <c r="N15" s="150">
        <v>1.02205744091173</v>
      </c>
      <c r="O15" s="136">
        <v>1.04377926245463</v>
      </c>
      <c r="Q15" s="130" t="s">
        <v>96</v>
      </c>
      <c r="R15" s="152">
        <v>1.0481266232711501E-3</v>
      </c>
      <c r="S15" s="138">
        <v>3.8486811599400899E-3</v>
      </c>
    </row>
    <row r="16" spans="2:27">
      <c r="C16"/>
      <c r="I16" s="5"/>
      <c r="M16" s="130" t="s">
        <v>88</v>
      </c>
      <c r="N16" s="152">
        <v>0.45019907290074201</v>
      </c>
      <c r="O16" s="138">
        <v>0.43408560857137801</v>
      </c>
      <c r="Q16" s="130" t="s">
        <v>98</v>
      </c>
      <c r="R16" s="152">
        <v>2.37239101107458E-4</v>
      </c>
      <c r="S16" s="138">
        <v>2.5343137806965499E-4</v>
      </c>
    </row>
    <row r="17" spans="2:25">
      <c r="B17" s="166">
        <f>+B9</f>
        <v>0.42</v>
      </c>
      <c r="C17"/>
      <c r="I17" s="23" t="s">
        <v>65</v>
      </c>
      <c r="M17" s="130"/>
      <c r="N17" s="14"/>
      <c r="O17" s="14"/>
      <c r="Q17" s="130" t="s">
        <v>93</v>
      </c>
      <c r="R17" s="152">
        <v>4.41991406387588E-4</v>
      </c>
      <c r="S17" s="138">
        <v>1.7610743935905101E-3</v>
      </c>
    </row>
    <row r="18" spans="2:25">
      <c r="B18" s="166">
        <f>1-B17</f>
        <v>0.58000000000000007</v>
      </c>
      <c r="C18"/>
      <c r="I18" s="5"/>
      <c r="M18" s="23" t="s">
        <v>163</v>
      </c>
      <c r="N18" s="14"/>
      <c r="O18" s="14"/>
      <c r="Q18" s="130" t="s">
        <v>95</v>
      </c>
      <c r="R18" s="152">
        <v>6.9453349816107597E-4</v>
      </c>
      <c r="S18" s="138">
        <v>4.2856176557156902E-4</v>
      </c>
    </row>
    <row r="19" spans="2:25">
      <c r="C19"/>
      <c r="I19" s="5"/>
      <c r="J19" s="134" t="s">
        <v>35</v>
      </c>
      <c r="K19" s="134" t="s">
        <v>3</v>
      </c>
      <c r="M19" s="130" t="s">
        <v>108</v>
      </c>
      <c r="N19" s="169">
        <v>0.74620862185959436</v>
      </c>
      <c r="O19" s="170">
        <v>0.7577007382467954</v>
      </c>
      <c r="Q19" s="130" t="s">
        <v>99</v>
      </c>
      <c r="R19" s="152">
        <v>3.4202611596418201E-3</v>
      </c>
      <c r="S19" s="138">
        <v>2.2723845146257501E-3</v>
      </c>
      <c r="V19">
        <v>1</v>
      </c>
      <c r="W19" t="s">
        <v>108</v>
      </c>
      <c r="X19">
        <v>10927</v>
      </c>
      <c r="Y19" s="75">
        <f>+X19/$X$24</f>
        <v>0.75068700192360538</v>
      </c>
    </row>
    <row r="20" spans="2:25">
      <c r="C20"/>
      <c r="I20" s="133" t="s">
        <v>66</v>
      </c>
      <c r="J20" s="151">
        <v>1390.9598174415701</v>
      </c>
      <c r="K20" s="137">
        <v>1843.2724165395</v>
      </c>
      <c r="M20" s="130" t="s">
        <v>105</v>
      </c>
      <c r="N20" s="169">
        <v>1.9359533016669799E-2</v>
      </c>
      <c r="O20" s="170">
        <v>2.1403896399950901E-2</v>
      </c>
      <c r="V20">
        <v>2</v>
      </c>
      <c r="W20" t="s">
        <v>105</v>
      </c>
      <c r="X20">
        <v>389</v>
      </c>
      <c r="Y20" s="75">
        <f>+X20/$X$24</f>
        <v>2.672437482824952E-2</v>
      </c>
    </row>
    <row r="21" spans="2:25">
      <c r="C21"/>
      <c r="I21" s="133" t="s">
        <v>67</v>
      </c>
      <c r="J21" s="151">
        <v>1043</v>
      </c>
      <c r="K21" s="137">
        <v>1134.22</v>
      </c>
      <c r="M21" s="130" t="s">
        <v>106</v>
      </c>
      <c r="N21" s="169">
        <v>9.4426776327084551E-3</v>
      </c>
      <c r="O21" s="170">
        <v>9.9146018552615425E-3</v>
      </c>
      <c r="V21">
        <v>3</v>
      </c>
      <c r="W21" t="s">
        <v>106</v>
      </c>
      <c r="X21">
        <v>156</v>
      </c>
      <c r="Y21" s="75">
        <f>+X21/$X$24</f>
        <v>1.0717230008244023E-2</v>
      </c>
    </row>
    <row r="22" spans="2:25">
      <c r="C22"/>
      <c r="I22" s="133"/>
      <c r="J22" s="14"/>
      <c r="K22" s="14"/>
      <c r="M22" s="130" t="s">
        <v>107</v>
      </c>
      <c r="N22" s="169">
        <v>1.2508482058912498E-2</v>
      </c>
      <c r="O22" s="170">
        <v>1.2793939712767636E-2</v>
      </c>
      <c r="V22">
        <v>4</v>
      </c>
      <c r="W22" t="s">
        <v>107</v>
      </c>
      <c r="X22">
        <v>205</v>
      </c>
      <c r="Y22" s="75">
        <f>+X22/$X$24</f>
        <v>1.4083539433910415E-2</v>
      </c>
    </row>
    <row r="23" spans="2:25" ht="15.75" thickBot="1">
      <c r="C23"/>
      <c r="I23" s="133" t="s">
        <v>68</v>
      </c>
      <c r="J23" s="152">
        <v>0.66232003728018196</v>
      </c>
      <c r="K23" s="138">
        <v>0.61768635909306102</v>
      </c>
      <c r="M23" s="130" t="s">
        <v>109</v>
      </c>
      <c r="N23" s="171">
        <v>0.2124806854321149</v>
      </c>
      <c r="O23" s="172">
        <v>0.19818682378522454</v>
      </c>
      <c r="V23">
        <v>5</v>
      </c>
      <c r="W23" t="s">
        <v>109</v>
      </c>
      <c r="X23">
        <v>2879</v>
      </c>
      <c r="Y23" s="75">
        <f>+X23/$X$24</f>
        <v>0.19778785380599065</v>
      </c>
    </row>
    <row r="24" spans="2:25" ht="18.75">
      <c r="C24"/>
      <c r="D24" s="167" t="s">
        <v>161</v>
      </c>
      <c r="I24" s="133" t="s">
        <v>70</v>
      </c>
      <c r="J24" s="153">
        <v>35</v>
      </c>
      <c r="K24" s="128">
        <v>35</v>
      </c>
      <c r="M24" s="130" t="s">
        <v>77</v>
      </c>
      <c r="N24" s="155">
        <v>0.13567676544150201</v>
      </c>
      <c r="O24" s="148">
        <v>0.22801543381866199</v>
      </c>
      <c r="X24">
        <f>SUM(X19:X23)</f>
        <v>14556</v>
      </c>
    </row>
    <row r="25" spans="2:25">
      <c r="C25"/>
      <c r="I25" s="133" t="s">
        <v>69</v>
      </c>
      <c r="J25" s="153">
        <v>34</v>
      </c>
      <c r="K25" s="128">
        <v>34</v>
      </c>
      <c r="M25" s="130" t="s">
        <v>78</v>
      </c>
      <c r="N25" s="152">
        <v>0.22380057977503201</v>
      </c>
      <c r="O25" s="138">
        <v>0.27576822971430998</v>
      </c>
    </row>
    <row r="26" spans="2:25" ht="13.9" customHeight="1">
      <c r="C26"/>
      <c r="D26" s="222" t="s">
        <v>171</v>
      </c>
      <c r="E26" s="222"/>
      <c r="F26" s="222"/>
      <c r="G26" s="222"/>
      <c r="I26" s="133" t="s">
        <v>71</v>
      </c>
      <c r="J26" s="152">
        <v>0.63893816885633203</v>
      </c>
      <c r="K26" s="138">
        <v>0.68115454083153604</v>
      </c>
      <c r="M26" s="130" t="s">
        <v>79</v>
      </c>
      <c r="N26" s="152">
        <v>0.219346196736041</v>
      </c>
      <c r="O26" s="138">
        <v>0.25014709492911302</v>
      </c>
    </row>
    <row r="27" spans="2:25" ht="15.75" thickBot="1">
      <c r="C27"/>
      <c r="D27" s="222"/>
      <c r="E27" s="222"/>
      <c r="F27" s="222"/>
      <c r="G27" s="222"/>
      <c r="I27" s="5"/>
      <c r="M27" s="130" t="s">
        <v>80</v>
      </c>
      <c r="N27" s="156">
        <v>0.37499339169744</v>
      </c>
      <c r="O27" s="142">
        <v>0.41982258207547102</v>
      </c>
    </row>
    <row r="28" spans="2:25">
      <c r="C28"/>
      <c r="D28" s="222"/>
      <c r="E28" s="222"/>
      <c r="F28" s="222"/>
      <c r="G28" s="222"/>
      <c r="M28" s="130" t="s">
        <v>89</v>
      </c>
      <c r="N28" s="157">
        <v>0.75801401277009695</v>
      </c>
      <c r="O28" s="147">
        <v>1.0734073333684</v>
      </c>
    </row>
    <row r="29" spans="2:25">
      <c r="C29"/>
    </row>
    <row r="30" spans="2:25">
      <c r="C30"/>
    </row>
    <row r="31" spans="2:25">
      <c r="C31"/>
    </row>
    <row r="32" spans="2:25">
      <c r="C32"/>
    </row>
    <row r="33" spans="2:28" ht="15.75" thickBot="1">
      <c r="C33"/>
      <c r="I33" s="23" t="s">
        <v>72</v>
      </c>
      <c r="M33" s="23" t="s">
        <v>162</v>
      </c>
      <c r="R33" s="221" t="s">
        <v>110</v>
      </c>
      <c r="S33" s="221"/>
    </row>
    <row r="34" spans="2:28" ht="15.75" thickTop="1">
      <c r="C34"/>
      <c r="I34" s="5"/>
      <c r="X34" s="1" t="s">
        <v>123</v>
      </c>
      <c r="Y34" s="1" t="s">
        <v>124</v>
      </c>
    </row>
    <row r="35" spans="2:28">
      <c r="B35" s="165">
        <v>0.12</v>
      </c>
      <c r="C35"/>
      <c r="I35" s="5"/>
      <c r="J35" s="134" t="s">
        <v>35</v>
      </c>
      <c r="K35" s="134" t="s">
        <v>3</v>
      </c>
      <c r="N35" s="134" t="s">
        <v>35</v>
      </c>
      <c r="O35" s="134" t="s">
        <v>3</v>
      </c>
      <c r="R35" s="135" t="s">
        <v>35</v>
      </c>
      <c r="S35" s="135" t="s">
        <v>3</v>
      </c>
      <c r="W35" t="s">
        <v>113</v>
      </c>
      <c r="X35" s="1">
        <v>1346442</v>
      </c>
      <c r="Y35" s="1">
        <v>6650</v>
      </c>
      <c r="AA35" s="71">
        <v>0.21925873188900227</v>
      </c>
      <c r="AB35" s="71">
        <v>0.19693200663349916</v>
      </c>
    </row>
    <row r="36" spans="2:28" ht="15.75" thickBot="1">
      <c r="C36"/>
      <c r="I36" s="5" t="s">
        <v>81</v>
      </c>
      <c r="J36" s="149">
        <v>0.31281712062353401</v>
      </c>
      <c r="K36" s="139">
        <v>6.9534340616155793E-2</v>
      </c>
      <c r="M36" s="130" t="s">
        <v>85</v>
      </c>
      <c r="N36" s="154">
        <v>90.994983117531604</v>
      </c>
      <c r="O36" s="146">
        <v>80.231821137356107</v>
      </c>
      <c r="Q36" s="130" t="s">
        <v>94</v>
      </c>
      <c r="R36" s="152">
        <v>0.26151763235852099</v>
      </c>
      <c r="S36" s="138">
        <v>0.65988139274664304</v>
      </c>
      <c r="W36" t="s">
        <v>114</v>
      </c>
      <c r="X36" s="1">
        <v>1148321</v>
      </c>
      <c r="Y36" s="1">
        <v>5821</v>
      </c>
      <c r="AA36" s="71">
        <v>0.18699610251426424</v>
      </c>
      <c r="AB36" s="71">
        <v>0.17238213693437573</v>
      </c>
    </row>
    <row r="37" spans="2:28">
      <c r="C37"/>
      <c r="I37" s="5"/>
      <c r="M37" s="130" t="s">
        <v>73</v>
      </c>
      <c r="N37" s="155">
        <v>1.497401567867524E-3</v>
      </c>
      <c r="O37" s="148">
        <v>1.7430340014379154E-3</v>
      </c>
      <c r="Q37" s="130" t="s">
        <v>91</v>
      </c>
      <c r="R37" s="152">
        <v>0.36960258059733397</v>
      </c>
      <c r="S37" s="138">
        <v>0.20979086423945201</v>
      </c>
      <c r="W37" t="s">
        <v>115</v>
      </c>
      <c r="X37" s="1">
        <v>1070893</v>
      </c>
      <c r="Y37" s="1">
        <v>6215</v>
      </c>
      <c r="AA37" s="71">
        <v>0.17438749026605624</v>
      </c>
      <c r="AB37" s="71">
        <v>0.18404998815446577</v>
      </c>
    </row>
    <row r="38" spans="2:28">
      <c r="C38"/>
      <c r="I38" s="5"/>
      <c r="J38" s="134" t="s">
        <v>35</v>
      </c>
      <c r="K38" s="134" t="s">
        <v>3</v>
      </c>
      <c r="M38" s="130" t="s">
        <v>74</v>
      </c>
      <c r="N38" s="152">
        <v>4.3042954872427257E-2</v>
      </c>
      <c r="O38" s="138">
        <v>3.6119732758167183E-2</v>
      </c>
      <c r="Q38" s="130" t="s">
        <v>100</v>
      </c>
      <c r="R38" s="152">
        <v>0.33374805361092802</v>
      </c>
      <c r="S38" s="138">
        <v>9.3256726081774002E-2</v>
      </c>
      <c r="W38" t="s">
        <v>116</v>
      </c>
      <c r="X38" s="1">
        <v>788423</v>
      </c>
      <c r="Y38" s="1">
        <v>4480</v>
      </c>
      <c r="AA38" s="71">
        <v>0.12838921184285906</v>
      </c>
      <c r="AB38" s="71">
        <v>0.13266998341625208</v>
      </c>
    </row>
    <row r="39" spans="2:28">
      <c r="C39"/>
      <c r="I39" s="133" t="s">
        <v>63</v>
      </c>
      <c r="J39" s="150">
        <v>4.8379719999999997</v>
      </c>
      <c r="K39" s="136">
        <v>1.5260899999999999</v>
      </c>
      <c r="M39" s="130" t="s">
        <v>75</v>
      </c>
      <c r="N39" s="152">
        <v>0.60495023341847964</v>
      </c>
      <c r="O39" s="138">
        <v>0.5570975152120925</v>
      </c>
      <c r="Q39" s="130" t="s">
        <v>92</v>
      </c>
      <c r="R39" s="152">
        <v>8.10029500251498E-3</v>
      </c>
      <c r="S39" s="138">
        <v>1.16067876421988E-2</v>
      </c>
      <c r="W39" t="s">
        <v>117</v>
      </c>
      <c r="X39" s="1">
        <v>400088</v>
      </c>
      <c r="Y39" s="1">
        <v>2078</v>
      </c>
      <c r="AA39" s="71">
        <v>6.5151553148228541E-2</v>
      </c>
      <c r="AB39" s="71">
        <v>6.1537550343520493E-2</v>
      </c>
    </row>
    <row r="40" spans="2:28" ht="15.75" thickBot="1">
      <c r="C40"/>
      <c r="I40" s="133" t="s">
        <v>64</v>
      </c>
      <c r="J40" s="150">
        <v>3</v>
      </c>
      <c r="K40" s="136">
        <v>0.16666600000000001</v>
      </c>
      <c r="M40" s="130" t="s">
        <v>76</v>
      </c>
      <c r="N40" s="156">
        <v>0.3505094101412255</v>
      </c>
      <c r="O40" s="142">
        <v>0.40503971802830241</v>
      </c>
      <c r="Q40" s="130" t="s">
        <v>90</v>
      </c>
      <c r="R40" s="152">
        <v>7.6142057708383504E-3</v>
      </c>
      <c r="S40" s="138">
        <v>5.25922109453317E-3</v>
      </c>
      <c r="W40" t="s">
        <v>118</v>
      </c>
      <c r="X40" s="1">
        <v>368018</v>
      </c>
      <c r="Y40" s="1">
        <v>2583</v>
      </c>
      <c r="AA40" s="71">
        <v>5.9929176297476489E-2</v>
      </c>
      <c r="AB40" s="71">
        <v>7.6492537313432835E-2</v>
      </c>
    </row>
    <row r="41" spans="2:28">
      <c r="C41"/>
      <c r="I41" s="133" t="s">
        <v>82</v>
      </c>
      <c r="J41" s="151">
        <v>407.636814718577</v>
      </c>
      <c r="K41" s="137">
        <v>130.76277667011701</v>
      </c>
      <c r="M41" s="130" t="s">
        <v>86</v>
      </c>
      <c r="N41" s="157">
        <v>0.21647728940955399</v>
      </c>
      <c r="O41" s="159">
        <v>0.24926438353762301</v>
      </c>
      <c r="Q41" s="130" t="s">
        <v>97</v>
      </c>
      <c r="R41" s="152">
        <v>9.5753075774320604E-3</v>
      </c>
      <c r="S41" s="138">
        <v>1.0092754105427501E-2</v>
      </c>
      <c r="W41" t="s">
        <v>119</v>
      </c>
      <c r="X41" s="1">
        <v>298944</v>
      </c>
      <c r="Y41" s="1">
        <v>1243</v>
      </c>
      <c r="AA41" s="71">
        <v>4.8680954950770912E-2</v>
      </c>
      <c r="AB41" s="71">
        <v>3.6809997630893154E-2</v>
      </c>
    </row>
    <row r="42" spans="2:28" ht="15.75" thickBot="1">
      <c r="C42"/>
      <c r="I42" s="133" t="s">
        <v>83</v>
      </c>
      <c r="J42" s="151">
        <v>179.83</v>
      </c>
      <c r="K42" s="137">
        <v>5.8333333333333304</v>
      </c>
      <c r="M42" s="130" t="s">
        <v>87</v>
      </c>
      <c r="N42" s="150">
        <v>1.1278369887548101</v>
      </c>
      <c r="O42" s="160">
        <v>1.04377926245463</v>
      </c>
      <c r="Q42" s="130" t="s">
        <v>96</v>
      </c>
      <c r="R42" s="152">
        <v>2.1433446255601E-3</v>
      </c>
      <c r="S42" s="138">
        <v>3.8486811599400899E-3</v>
      </c>
      <c r="W42" t="s">
        <v>120</v>
      </c>
      <c r="X42" s="1">
        <v>249232</v>
      </c>
      <c r="Y42" s="1">
        <v>1526</v>
      </c>
      <c r="AA42" s="71">
        <v>4.0585700881404334E-2</v>
      </c>
      <c r="AB42" s="71">
        <v>4.5190713101160865E-2</v>
      </c>
    </row>
    <row r="43" spans="2:28">
      <c r="C43"/>
      <c r="I43" s="5"/>
      <c r="M43" s="130" t="s">
        <v>88</v>
      </c>
      <c r="N43" s="152">
        <v>0.448222202648346</v>
      </c>
      <c r="O43" s="143">
        <v>0.43408560857137801</v>
      </c>
      <c r="Q43" s="130" t="s">
        <v>98</v>
      </c>
      <c r="R43" s="152">
        <v>6.7337177177411497E-4</v>
      </c>
      <c r="S43" s="138">
        <v>2.5343137806965499E-4</v>
      </c>
      <c r="W43" t="s">
        <v>121</v>
      </c>
      <c r="X43" s="1">
        <v>236406</v>
      </c>
      <c r="Y43" s="1">
        <v>1518</v>
      </c>
      <c r="AA43" s="71">
        <v>3.8497075827218306E-2</v>
      </c>
      <c r="AB43" s="71">
        <v>4.4953802416488983E-2</v>
      </c>
    </row>
    <row r="44" spans="2:28">
      <c r="B44" s="166">
        <f>+B35</f>
        <v>0.12</v>
      </c>
      <c r="C44"/>
      <c r="I44" s="23" t="s">
        <v>65</v>
      </c>
      <c r="M44" s="130"/>
      <c r="N44" s="14"/>
      <c r="O44" s="14"/>
      <c r="Q44" s="130" t="s">
        <v>93</v>
      </c>
      <c r="R44" s="152">
        <v>8.1757282478320302E-4</v>
      </c>
      <c r="S44" s="138">
        <v>1.7610743935905101E-3</v>
      </c>
      <c r="W44" t="s">
        <v>122</v>
      </c>
      <c r="X44" s="1">
        <v>234115</v>
      </c>
      <c r="Y44" s="1">
        <v>1654</v>
      </c>
      <c r="AA44" s="71">
        <v>3.8124002382719617E-2</v>
      </c>
      <c r="AB44" s="71">
        <v>4.8981284055910922E-2</v>
      </c>
    </row>
    <row r="45" spans="2:28">
      <c r="B45" s="166">
        <f>1-B44</f>
        <v>0.88</v>
      </c>
      <c r="C45"/>
      <c r="I45" s="5"/>
      <c r="M45" s="23" t="s">
        <v>163</v>
      </c>
      <c r="N45" s="14"/>
      <c r="O45" s="14"/>
      <c r="Q45" s="130" t="s">
        <v>95</v>
      </c>
      <c r="R45" s="152">
        <v>2.3491603336880601E-4</v>
      </c>
      <c r="S45" s="138">
        <v>4.2856176557156902E-4</v>
      </c>
      <c r="X45" s="1">
        <v>6140882</v>
      </c>
      <c r="Y45" s="1">
        <v>33768</v>
      </c>
      <c r="AA45" s="71">
        <v>1</v>
      </c>
      <c r="AB45" s="71">
        <v>1</v>
      </c>
    </row>
    <row r="46" spans="2:28">
      <c r="C46"/>
      <c r="I46" s="5"/>
      <c r="J46" s="134" t="s">
        <v>35</v>
      </c>
      <c r="K46" s="134" t="s">
        <v>3</v>
      </c>
      <c r="M46" s="130" t="s">
        <v>108</v>
      </c>
      <c r="N46" s="152">
        <v>0.78193722657740983</v>
      </c>
      <c r="O46" s="138">
        <v>0.7577007382467954</v>
      </c>
      <c r="Q46" s="130" t="s">
        <v>99</v>
      </c>
      <c r="R46" s="152">
        <v>4.0800606847452804E-3</v>
      </c>
      <c r="S46" s="138">
        <v>2.2723845146257501E-3</v>
      </c>
    </row>
    <row r="47" spans="2:28">
      <c r="C47"/>
      <c r="I47" s="133" t="s">
        <v>66</v>
      </c>
      <c r="J47" s="151">
        <v>2079.4688901611999</v>
      </c>
      <c r="K47" s="137">
        <v>1843.2724165395</v>
      </c>
      <c r="M47" s="130" t="s">
        <v>105</v>
      </c>
      <c r="N47" s="152">
        <v>2.1521477436213628E-2</v>
      </c>
      <c r="O47" s="138">
        <v>2.1403896399950901E-2</v>
      </c>
    </row>
    <row r="48" spans="2:28">
      <c r="C48"/>
      <c r="I48" s="133" t="s">
        <v>67</v>
      </c>
      <c r="J48" s="151">
        <v>1208</v>
      </c>
      <c r="K48" s="137">
        <v>1134.22</v>
      </c>
      <c r="M48" s="130" t="s">
        <v>106</v>
      </c>
      <c r="N48" s="152">
        <v>9.0431310373175963E-3</v>
      </c>
      <c r="O48" s="138">
        <v>9.9146018552615425E-3</v>
      </c>
    </row>
    <row r="49" spans="3:28">
      <c r="C49"/>
      <c r="I49" s="133"/>
      <c r="J49" s="14"/>
      <c r="K49" s="14"/>
      <c r="M49" s="130" t="s">
        <v>107</v>
      </c>
      <c r="N49" s="152">
        <v>1.1450717871928124E-2</v>
      </c>
      <c r="O49" s="138">
        <v>1.2793939712767636E-2</v>
      </c>
    </row>
    <row r="50" spans="3:28" ht="15.75" thickBot="1">
      <c r="C50"/>
      <c r="I50" s="133" t="s">
        <v>68</v>
      </c>
      <c r="J50" s="152">
        <v>0.45588537537801999</v>
      </c>
      <c r="K50" s="138">
        <v>0.61768635909306102</v>
      </c>
      <c r="M50" s="130" t="s">
        <v>109</v>
      </c>
      <c r="N50" s="158">
        <v>0.17604744707713085</v>
      </c>
      <c r="O50" s="142">
        <v>0.19818682378522454</v>
      </c>
    </row>
    <row r="51" spans="3:28" ht="18.75">
      <c r="C51"/>
      <c r="D51" s="167" t="s">
        <v>164</v>
      </c>
      <c r="I51" s="133" t="s">
        <v>70</v>
      </c>
      <c r="J51" s="153">
        <v>35</v>
      </c>
      <c r="K51" s="128">
        <v>35</v>
      </c>
      <c r="M51" s="130" t="s">
        <v>77</v>
      </c>
      <c r="N51" s="155">
        <v>0.16304059169551</v>
      </c>
      <c r="O51" s="148">
        <v>0.22801543381866199</v>
      </c>
    </row>
    <row r="52" spans="3:28">
      <c r="C52"/>
      <c r="I52" s="133" t="s">
        <v>69</v>
      </c>
      <c r="J52" s="153">
        <v>34</v>
      </c>
      <c r="K52" s="128">
        <v>34</v>
      </c>
      <c r="M52" s="130" t="s">
        <v>78</v>
      </c>
      <c r="N52" s="152">
        <v>0.25123967037279998</v>
      </c>
      <c r="O52" s="138">
        <v>0.27576822971430998</v>
      </c>
    </row>
    <row r="53" spans="3:28" ht="14.45" customHeight="1">
      <c r="C53"/>
      <c r="D53" s="220" t="s">
        <v>172</v>
      </c>
      <c r="E53" s="220"/>
      <c r="F53" s="220"/>
      <c r="G53" s="220"/>
      <c r="I53" s="133" t="s">
        <v>71</v>
      </c>
      <c r="J53" s="152">
        <v>0.78954167767697203</v>
      </c>
      <c r="K53" s="138">
        <v>0.68115454083153604</v>
      </c>
      <c r="M53" s="130" t="s">
        <v>79</v>
      </c>
      <c r="N53" s="152">
        <v>0.177255507675147</v>
      </c>
      <c r="O53" s="138">
        <v>0.25014709492911302</v>
      </c>
    </row>
    <row r="54" spans="3:28" ht="15.75" thickBot="1">
      <c r="C54"/>
      <c r="D54" s="220"/>
      <c r="E54" s="220"/>
      <c r="F54" s="220"/>
      <c r="G54" s="220"/>
      <c r="I54" s="5"/>
      <c r="M54" s="130" t="s">
        <v>80</v>
      </c>
      <c r="N54" s="156">
        <v>0.32877522790117703</v>
      </c>
      <c r="O54" s="142">
        <v>0.41982258207547102</v>
      </c>
    </row>
    <row r="55" spans="3:28">
      <c r="C55"/>
      <c r="D55" s="220"/>
      <c r="E55" s="220"/>
      <c r="F55" s="220"/>
      <c r="G55" s="220"/>
      <c r="M55" s="130" t="s">
        <v>89</v>
      </c>
      <c r="N55" s="157">
        <v>1.2082562611938099</v>
      </c>
      <c r="O55" s="147">
        <v>1.0734073333684</v>
      </c>
    </row>
    <row r="56" spans="3:28">
      <c r="C56"/>
    </row>
    <row r="57" spans="3:28">
      <c r="C57"/>
    </row>
    <row r="58" spans="3:28">
      <c r="C58"/>
    </row>
    <row r="59" spans="3:28">
      <c r="C59"/>
    </row>
    <row r="60" spans="3:28">
      <c r="C60"/>
    </row>
    <row r="61" spans="3:28">
      <c r="C61"/>
    </row>
    <row r="62" spans="3:28" ht="15.75" thickBot="1">
      <c r="C62"/>
      <c r="I62" s="23" t="s">
        <v>72</v>
      </c>
      <c r="M62" s="23" t="s">
        <v>162</v>
      </c>
      <c r="R62" s="221" t="s">
        <v>110</v>
      </c>
      <c r="S62" s="221"/>
    </row>
    <row r="63" spans="3:28" ht="15.75" thickTop="1">
      <c r="C63"/>
      <c r="I63" s="5"/>
      <c r="X63" s="1" t="s">
        <v>123</v>
      </c>
      <c r="Y63" s="1" t="s">
        <v>124</v>
      </c>
    </row>
    <row r="64" spans="3:28">
      <c r="C64"/>
      <c r="I64" s="5"/>
      <c r="J64" s="134" t="s">
        <v>35</v>
      </c>
      <c r="K64" s="134" t="s">
        <v>3</v>
      </c>
      <c r="N64" s="134" t="s">
        <v>35</v>
      </c>
      <c r="O64" s="134" t="s">
        <v>3</v>
      </c>
      <c r="R64" s="135" t="s">
        <v>35</v>
      </c>
      <c r="S64" s="135" t="s">
        <v>3</v>
      </c>
      <c r="W64" t="s">
        <v>114</v>
      </c>
      <c r="X64" s="1">
        <v>241086</v>
      </c>
      <c r="Y64" s="1">
        <v>1848</v>
      </c>
      <c r="AA64" s="71">
        <v>0.19335187031278947</v>
      </c>
      <c r="AB64" s="71">
        <v>0.14477085781433607</v>
      </c>
    </row>
    <row r="65" spans="2:28" ht="15.75" thickBot="1">
      <c r="B65" s="165">
        <v>0.05</v>
      </c>
      <c r="C65"/>
      <c r="I65" s="5" t="s">
        <v>81</v>
      </c>
      <c r="J65" s="149">
        <v>0.46768770780143798</v>
      </c>
      <c r="K65" s="139">
        <v>4.0562491779429902E-2</v>
      </c>
      <c r="M65" s="130" t="s">
        <v>85</v>
      </c>
      <c r="N65" s="154">
        <v>105.213896592244</v>
      </c>
      <c r="O65" s="146">
        <v>80.231821137356107</v>
      </c>
      <c r="Q65" s="130" t="s">
        <v>94</v>
      </c>
      <c r="R65" s="152">
        <v>0.35554348985505402</v>
      </c>
      <c r="S65" s="138">
        <v>0.65988139274664304</v>
      </c>
      <c r="W65" t="s">
        <v>119</v>
      </c>
      <c r="X65" s="1">
        <v>193715</v>
      </c>
      <c r="Y65" s="1">
        <v>1115</v>
      </c>
      <c r="AA65" s="71">
        <v>0.15536015180326529</v>
      </c>
      <c r="AB65" s="71">
        <v>8.7348217783000393E-2</v>
      </c>
    </row>
    <row r="66" spans="2:28">
      <c r="C66"/>
      <c r="I66" s="5"/>
      <c r="M66" s="130" t="s">
        <v>73</v>
      </c>
      <c r="N66" s="155">
        <v>6.0321190755973364E-3</v>
      </c>
      <c r="O66" s="148">
        <v>1.7430340014379154E-3</v>
      </c>
      <c r="Q66" s="130" t="s">
        <v>91</v>
      </c>
      <c r="R66" s="152">
        <v>0.157979495972738</v>
      </c>
      <c r="S66" s="138">
        <v>0.20979086423945201</v>
      </c>
      <c r="W66" t="s">
        <v>113</v>
      </c>
      <c r="X66" s="1">
        <v>166229</v>
      </c>
      <c r="Y66" s="1">
        <v>1195</v>
      </c>
      <c r="AA66" s="71">
        <v>0.13331627738742474</v>
      </c>
      <c r="AB66" s="71">
        <v>9.3615354484919699E-2</v>
      </c>
    </row>
    <row r="67" spans="2:28">
      <c r="C67"/>
      <c r="I67" s="5"/>
      <c r="J67" s="134" t="s">
        <v>35</v>
      </c>
      <c r="K67" s="134" t="s">
        <v>3</v>
      </c>
      <c r="M67" s="130" t="s">
        <v>74</v>
      </c>
      <c r="N67" s="152">
        <v>9.0873482177830006E-2</v>
      </c>
      <c r="O67" s="138">
        <v>3.6119732758167183E-2</v>
      </c>
      <c r="Q67" s="130" t="s">
        <v>100</v>
      </c>
      <c r="R67" s="152">
        <v>0.444800088541211</v>
      </c>
      <c r="S67" s="138">
        <v>9.3256726081774002E-2</v>
      </c>
      <c r="W67" t="s">
        <v>122</v>
      </c>
      <c r="X67" s="1">
        <v>121697</v>
      </c>
      <c r="Y67" s="1">
        <v>1501</v>
      </c>
      <c r="AA67" s="71">
        <v>9.7601447456324888E-2</v>
      </c>
      <c r="AB67" s="71">
        <v>0.11758715236976107</v>
      </c>
    </row>
    <row r="68" spans="2:28">
      <c r="C68"/>
      <c r="I68" s="133" t="s">
        <v>63</v>
      </c>
      <c r="J68" s="150">
        <v>4.0643426034730403</v>
      </c>
      <c r="K68" s="136">
        <v>0.64511430258181801</v>
      </c>
      <c r="M68" s="130" t="s">
        <v>75</v>
      </c>
      <c r="N68" s="152">
        <v>0.69604386995691347</v>
      </c>
      <c r="O68" s="138">
        <v>0.5570975152120925</v>
      </c>
      <c r="Q68" s="130" t="s">
        <v>92</v>
      </c>
      <c r="R68" s="152">
        <v>6.5130722597337197E-3</v>
      </c>
      <c r="S68" s="138">
        <v>1.16067876421988E-2</v>
      </c>
      <c r="W68" t="s">
        <v>115</v>
      </c>
      <c r="X68" s="1">
        <v>114799</v>
      </c>
      <c r="Y68" s="1">
        <v>1106</v>
      </c>
      <c r="AA68" s="71">
        <v>9.2069225753622849E-2</v>
      </c>
      <c r="AB68" s="71">
        <v>8.6643164904034467E-2</v>
      </c>
    </row>
    <row r="69" spans="2:28" ht="15.75" thickBot="1">
      <c r="C69"/>
      <c r="I69" s="133" t="s">
        <v>64</v>
      </c>
      <c r="J69" s="150">
        <v>1.416666</v>
      </c>
      <c r="K69" s="136">
        <v>8.3333000000000004E-2</v>
      </c>
      <c r="M69" s="130" t="s">
        <v>76</v>
      </c>
      <c r="N69" s="156">
        <v>0.20705052878965921</v>
      </c>
      <c r="O69" s="142">
        <v>0.40503971802830241</v>
      </c>
      <c r="Q69" s="130" t="s">
        <v>90</v>
      </c>
      <c r="R69" s="152">
        <v>5.0173353105398503E-3</v>
      </c>
      <c r="S69" s="138">
        <v>5.25922109453317E-3</v>
      </c>
      <c r="W69" t="s">
        <v>125</v>
      </c>
      <c r="X69" s="1">
        <v>107206</v>
      </c>
      <c r="Y69" s="1">
        <v>3276</v>
      </c>
      <c r="AA69" s="71">
        <v>8.5979611461274849E-2</v>
      </c>
      <c r="AB69" s="71">
        <v>0.25663924794359577</v>
      </c>
    </row>
    <row r="70" spans="2:28">
      <c r="C70"/>
      <c r="I70" s="133" t="s">
        <v>82</v>
      </c>
      <c r="J70" s="151">
        <v>560.62441343517401</v>
      </c>
      <c r="K70" s="137">
        <v>79.946276936071101</v>
      </c>
      <c r="M70" s="130" t="s">
        <v>86</v>
      </c>
      <c r="N70" s="161">
        <v>0.72745789267528405</v>
      </c>
      <c r="O70" s="159">
        <v>0.24926438353762301</v>
      </c>
      <c r="Q70" s="130" t="s">
        <v>97</v>
      </c>
      <c r="R70" s="152">
        <v>4.5954813506063497E-3</v>
      </c>
      <c r="S70" s="138">
        <v>1.0092754105427501E-2</v>
      </c>
      <c r="W70" t="s">
        <v>117</v>
      </c>
      <c r="X70" s="1">
        <v>94872</v>
      </c>
      <c r="Y70" s="1">
        <v>676</v>
      </c>
      <c r="AA70" s="71">
        <v>7.6087697503442603E-2</v>
      </c>
      <c r="AB70" s="71">
        <v>5.2957305131218171E-2</v>
      </c>
    </row>
    <row r="71" spans="2:28" ht="15.75" thickBot="1">
      <c r="C71"/>
      <c r="I71" s="133" t="s">
        <v>83</v>
      </c>
      <c r="J71" s="151">
        <v>69.070833333333297</v>
      </c>
      <c r="K71" s="137">
        <v>0</v>
      </c>
      <c r="M71" s="130" t="s">
        <v>87</v>
      </c>
      <c r="N71" s="162">
        <v>0.78871915393654501</v>
      </c>
      <c r="O71" s="160">
        <v>1.04377926245463</v>
      </c>
      <c r="Q71" s="130" t="s">
        <v>96</v>
      </c>
      <c r="R71" s="152">
        <v>1.1944241492946E-2</v>
      </c>
      <c r="S71" s="138">
        <v>3.8486811599400899E-3</v>
      </c>
      <c r="W71" t="s">
        <v>116</v>
      </c>
      <c r="X71" s="1">
        <v>92972</v>
      </c>
      <c r="Y71" s="1">
        <v>867</v>
      </c>
      <c r="AA71" s="71">
        <v>7.4563890423834905E-2</v>
      </c>
      <c r="AB71" s="71">
        <v>6.7920094007050527E-2</v>
      </c>
    </row>
    <row r="72" spans="2:28">
      <c r="C72"/>
      <c r="I72" s="5"/>
      <c r="M72" s="130" t="s">
        <v>88</v>
      </c>
      <c r="N72" s="163">
        <v>0.17618488053270701</v>
      </c>
      <c r="O72" s="143">
        <v>0.43408560857137801</v>
      </c>
      <c r="Q72" s="130" t="s">
        <v>98</v>
      </c>
      <c r="R72" s="152">
        <v>4.9804431391388198E-4</v>
      </c>
      <c r="S72" s="138">
        <v>2.5343137806965499E-4</v>
      </c>
      <c r="W72" t="s">
        <v>118</v>
      </c>
      <c r="X72" s="1">
        <v>58589</v>
      </c>
      <c r="Y72" s="1">
        <v>617</v>
      </c>
      <c r="AA72" s="71">
        <v>4.698859630901845E-2</v>
      </c>
      <c r="AB72" s="71">
        <v>4.8335291813552686E-2</v>
      </c>
    </row>
    <row r="73" spans="2:28">
      <c r="C73"/>
      <c r="I73" s="23" t="s">
        <v>65</v>
      </c>
      <c r="M73" s="130"/>
      <c r="N73" s="14"/>
      <c r="O73" s="14"/>
      <c r="Q73" s="130" t="s">
        <v>93</v>
      </c>
      <c r="R73" s="152">
        <v>6.7689114483625897E-4</v>
      </c>
      <c r="S73" s="138">
        <v>1.7610743935905101E-3</v>
      </c>
      <c r="W73" t="s">
        <v>120</v>
      </c>
      <c r="X73" s="1">
        <v>40788</v>
      </c>
      <c r="Y73" s="1">
        <v>353</v>
      </c>
      <c r="AA73" s="71">
        <v>3.2712127980546596E-2</v>
      </c>
      <c r="AB73" s="71">
        <v>2.7653740697218959E-2</v>
      </c>
    </row>
    <row r="74" spans="2:28">
      <c r="B74" s="166">
        <f>+B65</f>
        <v>0.05</v>
      </c>
      <c r="C74"/>
      <c r="I74" s="5"/>
      <c r="M74" s="23" t="s">
        <v>163</v>
      </c>
      <c r="N74" s="14"/>
      <c r="O74" s="14"/>
      <c r="Q74" s="130" t="s">
        <v>95</v>
      </c>
      <c r="R74" s="152">
        <v>5.1272098210168298E-3</v>
      </c>
      <c r="S74" s="138">
        <v>4.2856176557156902E-4</v>
      </c>
      <c r="W74" t="s">
        <v>121</v>
      </c>
      <c r="X74" s="1">
        <v>14924</v>
      </c>
      <c r="Y74" s="1">
        <v>211</v>
      </c>
      <c r="AA74" s="71">
        <v>1.1969103608455364E-2</v>
      </c>
      <c r="AB74" s="71">
        <v>1.6529573051312182E-2</v>
      </c>
    </row>
    <row r="75" spans="2:28">
      <c r="B75" s="166">
        <f>1-B74</f>
        <v>0.95</v>
      </c>
      <c r="C75"/>
      <c r="I75" s="5"/>
      <c r="J75" s="134" t="s">
        <v>35</v>
      </c>
      <c r="K75" s="134" t="s">
        <v>3</v>
      </c>
      <c r="M75" s="130" t="s">
        <v>108</v>
      </c>
      <c r="N75" s="152">
        <v>0.77610654132393264</v>
      </c>
      <c r="O75" s="138">
        <v>0.7577007382467954</v>
      </c>
      <c r="Q75" s="130" t="s">
        <v>99</v>
      </c>
      <c r="R75" s="152">
        <v>5.7495647124776502E-3</v>
      </c>
      <c r="S75" s="138">
        <v>2.2723845146257501E-3</v>
      </c>
      <c r="X75" s="1">
        <v>1246877</v>
      </c>
      <c r="Y75" s="1">
        <v>12765</v>
      </c>
      <c r="AA75" s="71">
        <v>1</v>
      </c>
      <c r="AB75" s="71">
        <v>1</v>
      </c>
    </row>
    <row r="76" spans="2:28">
      <c r="C76"/>
      <c r="I76" s="133" t="s">
        <v>66</v>
      </c>
      <c r="J76" s="151">
        <v>3123.87230317274</v>
      </c>
      <c r="K76" s="137">
        <v>1843.2724165395</v>
      </c>
      <c r="M76" s="130" t="s">
        <v>105</v>
      </c>
      <c r="N76" s="152">
        <v>3.7681159420289857E-2</v>
      </c>
      <c r="O76" s="138">
        <v>2.1403896399950901E-2</v>
      </c>
    </row>
    <row r="77" spans="2:28">
      <c r="C77"/>
      <c r="I77" s="133" t="s">
        <v>67</v>
      </c>
      <c r="J77" s="151">
        <v>1532.22</v>
      </c>
      <c r="K77" s="137">
        <v>1134.22</v>
      </c>
      <c r="M77" s="130" t="s">
        <v>106</v>
      </c>
      <c r="N77" s="152">
        <v>1.6451233842538191E-2</v>
      </c>
      <c r="O77" s="138">
        <v>9.9146018552615425E-3</v>
      </c>
    </row>
    <row r="78" spans="2:28">
      <c r="C78"/>
      <c r="I78" s="133"/>
      <c r="J78" s="14"/>
      <c r="K78" s="14"/>
      <c r="M78" s="130" t="s">
        <v>107</v>
      </c>
      <c r="N78" s="152">
        <v>2.1856639247943597E-2</v>
      </c>
      <c r="O78" s="138">
        <v>1.2793939712767636E-2</v>
      </c>
    </row>
    <row r="79" spans="2:28" ht="15.75" thickBot="1">
      <c r="C79"/>
      <c r="I79" s="133" t="s">
        <v>68</v>
      </c>
      <c r="J79" s="152">
        <v>0.57422640031335703</v>
      </c>
      <c r="K79" s="138">
        <v>0.61768635909306102</v>
      </c>
      <c r="M79" s="130" t="s">
        <v>109</v>
      </c>
      <c r="N79" s="156">
        <v>0.14790442616529573</v>
      </c>
      <c r="O79" s="142">
        <v>0.19818682378522454</v>
      </c>
    </row>
    <row r="80" spans="2:28" ht="18.75">
      <c r="C80"/>
      <c r="D80" s="167" t="s">
        <v>165</v>
      </c>
      <c r="I80" s="133" t="s">
        <v>70</v>
      </c>
      <c r="J80" s="153">
        <v>39</v>
      </c>
      <c r="K80" s="128">
        <v>35</v>
      </c>
      <c r="M80" s="130" t="s">
        <v>77</v>
      </c>
      <c r="N80" s="155">
        <v>0.31918738257830098</v>
      </c>
      <c r="O80" s="148">
        <v>0.22801543381866199</v>
      </c>
    </row>
    <row r="81" spans="2:19">
      <c r="C81"/>
      <c r="I81" s="133" t="s">
        <v>69</v>
      </c>
      <c r="J81" s="153">
        <v>39</v>
      </c>
      <c r="K81" s="128">
        <v>34</v>
      </c>
      <c r="M81" s="130" t="s">
        <v>78</v>
      </c>
      <c r="N81" s="152">
        <v>0.25213294580218798</v>
      </c>
      <c r="O81" s="138">
        <v>0.27576822971430998</v>
      </c>
    </row>
    <row r="82" spans="2:19" ht="14.45" customHeight="1">
      <c r="C82"/>
      <c r="D82" s="220" t="s">
        <v>173</v>
      </c>
      <c r="E82" s="220"/>
      <c r="F82" s="220"/>
      <c r="G82" s="220"/>
      <c r="I82" s="133" t="s">
        <v>71</v>
      </c>
      <c r="J82" s="152">
        <v>0.75330983157070097</v>
      </c>
      <c r="K82" s="138">
        <v>0.68115454083153604</v>
      </c>
      <c r="M82" s="130" t="s">
        <v>79</v>
      </c>
      <c r="N82" s="152">
        <v>0.28325830292697801</v>
      </c>
      <c r="O82" s="138">
        <v>0.25014709492911302</v>
      </c>
    </row>
    <row r="83" spans="2:19" ht="15.75" thickBot="1">
      <c r="C83"/>
      <c r="D83" s="220"/>
      <c r="E83" s="220"/>
      <c r="F83" s="220"/>
      <c r="G83" s="220"/>
      <c r="I83" s="5"/>
      <c r="M83" s="130" t="s">
        <v>80</v>
      </c>
      <c r="N83" s="156">
        <v>0.43607316618230302</v>
      </c>
      <c r="O83" s="142">
        <v>0.41982258207547102</v>
      </c>
    </row>
    <row r="84" spans="2:19">
      <c r="C84"/>
      <c r="D84" s="220"/>
      <c r="E84" s="220"/>
      <c r="F84" s="220"/>
      <c r="G84" s="220"/>
      <c r="M84" s="130" t="s">
        <v>89</v>
      </c>
      <c r="N84" s="157">
        <v>2.5615354484919699</v>
      </c>
      <c r="O84" s="147">
        <v>1.0734073333684</v>
      </c>
    </row>
    <row r="85" spans="2:19">
      <c r="C85"/>
    </row>
    <row r="86" spans="2:19">
      <c r="C86"/>
    </row>
    <row r="87" spans="2:19">
      <c r="C87"/>
    </row>
    <row r="88" spans="2:19">
      <c r="C88"/>
    </row>
    <row r="89" spans="2:19" ht="15.75" thickBot="1">
      <c r="C89"/>
      <c r="I89" s="23" t="s">
        <v>72</v>
      </c>
      <c r="M89" s="23" t="s">
        <v>162</v>
      </c>
      <c r="R89" s="221" t="s">
        <v>110</v>
      </c>
      <c r="S89" s="221"/>
    </row>
    <row r="90" spans="2:19" ht="15.75" thickTop="1">
      <c r="C90"/>
      <c r="I90" s="5"/>
    </row>
    <row r="91" spans="2:19">
      <c r="C91"/>
      <c r="I91" s="5"/>
      <c r="J91" s="134" t="s">
        <v>35</v>
      </c>
      <c r="K91" s="134" t="s">
        <v>3</v>
      </c>
      <c r="N91" s="134" t="s">
        <v>35</v>
      </c>
      <c r="O91" s="134" t="s">
        <v>3</v>
      </c>
      <c r="R91" s="135" t="s">
        <v>35</v>
      </c>
      <c r="S91" s="135" t="s">
        <v>3</v>
      </c>
    </row>
    <row r="92" spans="2:19" ht="15.75" thickBot="1">
      <c r="C92"/>
      <c r="I92" s="5" t="s">
        <v>81</v>
      </c>
      <c r="J92" s="149">
        <v>0.36363145228391303</v>
      </c>
      <c r="K92" s="139">
        <v>4.6447141131472899E-2</v>
      </c>
      <c r="M92" s="130" t="s">
        <v>85</v>
      </c>
      <c r="N92" s="154">
        <v>60.333742611798797</v>
      </c>
      <c r="O92" s="146">
        <v>80.231821137356107</v>
      </c>
      <c r="Q92" s="130" t="s">
        <v>94</v>
      </c>
      <c r="R92" s="152">
        <v>0.26360622398454803</v>
      </c>
      <c r="S92" s="138">
        <v>0.65988139274664304</v>
      </c>
    </row>
    <row r="93" spans="2:19">
      <c r="B93" s="165">
        <v>0.06</v>
      </c>
      <c r="C93"/>
      <c r="I93" s="5"/>
      <c r="M93" s="130" t="s">
        <v>73</v>
      </c>
      <c r="N93" s="155">
        <v>4.4608007137281143E-4</v>
      </c>
      <c r="O93" s="148">
        <v>1.7430340014379154E-3</v>
      </c>
      <c r="Q93" s="130" t="s">
        <v>91</v>
      </c>
      <c r="R93" s="152">
        <v>0.65557564627550302</v>
      </c>
      <c r="S93" s="138">
        <v>0.20979086423945201</v>
      </c>
    </row>
    <row r="94" spans="2:19">
      <c r="C94"/>
      <c r="I94" s="5"/>
      <c r="J94" s="134" t="s">
        <v>35</v>
      </c>
      <c r="K94" s="134" t="s">
        <v>3</v>
      </c>
      <c r="M94" s="130" t="s">
        <v>74</v>
      </c>
      <c r="N94" s="152">
        <v>4.5165607226497154E-3</v>
      </c>
      <c r="O94" s="138">
        <v>3.6119732758167183E-2</v>
      </c>
      <c r="Q94" s="130" t="s">
        <v>100</v>
      </c>
      <c r="R94" s="152">
        <v>4.5391930131443603E-2</v>
      </c>
      <c r="S94" s="138">
        <v>9.3256726081774002E-2</v>
      </c>
    </row>
    <row r="95" spans="2:19">
      <c r="C95"/>
      <c r="I95" s="133" t="s">
        <v>63</v>
      </c>
      <c r="J95" s="150">
        <v>1.9874168246533599</v>
      </c>
      <c r="K95" s="136">
        <v>0.40163168323776499</v>
      </c>
      <c r="M95" s="130" t="s">
        <v>75</v>
      </c>
      <c r="N95" s="152">
        <v>0.43303222928515667</v>
      </c>
      <c r="O95" s="138">
        <v>0.5570975152120925</v>
      </c>
      <c r="Q95" s="130" t="s">
        <v>92</v>
      </c>
      <c r="R95" s="152">
        <v>2.3158025430607999E-3</v>
      </c>
      <c r="S95" s="138">
        <v>1.16067876421988E-2</v>
      </c>
    </row>
    <row r="96" spans="2:19" ht="15.75" thickBot="1">
      <c r="C96"/>
      <c r="I96" s="133" t="s">
        <v>64</v>
      </c>
      <c r="J96" s="150">
        <v>1.416666</v>
      </c>
      <c r="K96" s="136">
        <v>8.3333000000000004E-2</v>
      </c>
      <c r="M96" s="130" t="s">
        <v>76</v>
      </c>
      <c r="N96" s="156">
        <v>0.56200512992082075</v>
      </c>
      <c r="O96" s="142">
        <v>0.40503971802830241</v>
      </c>
      <c r="Q96" s="130" t="s">
        <v>90</v>
      </c>
      <c r="R96" s="152">
        <v>1.0148825871608501E-2</v>
      </c>
      <c r="S96" s="138">
        <v>5.25922109453317E-3</v>
      </c>
    </row>
    <row r="97" spans="2:19">
      <c r="C97"/>
      <c r="I97" s="133" t="s">
        <v>82</v>
      </c>
      <c r="J97" s="151">
        <v>394.02774543697302</v>
      </c>
      <c r="K97" s="137">
        <v>67.462522547798699</v>
      </c>
      <c r="M97" s="130" t="s">
        <v>86</v>
      </c>
      <c r="N97" s="161">
        <v>0.143582022973124</v>
      </c>
      <c r="O97" s="159">
        <v>0.24926438353762301</v>
      </c>
      <c r="Q97" s="130" t="s">
        <v>97</v>
      </c>
      <c r="R97" s="152">
        <v>3.1872735373785601E-3</v>
      </c>
      <c r="S97" s="138">
        <v>1.0092754105427501E-2</v>
      </c>
    </row>
    <row r="98" spans="2:19" ht="15.75" thickBot="1">
      <c r="C98"/>
      <c r="I98" s="133" t="s">
        <v>83</v>
      </c>
      <c r="J98" s="151">
        <v>249.835833333333</v>
      </c>
      <c r="K98" s="137">
        <v>0.33333333333333298</v>
      </c>
      <c r="M98" s="130" t="s">
        <v>87</v>
      </c>
      <c r="N98" s="162">
        <v>0.92650830824132901</v>
      </c>
      <c r="O98" s="160">
        <v>1.04377926245463</v>
      </c>
      <c r="Q98" s="130" t="s">
        <v>96</v>
      </c>
      <c r="R98" s="152">
        <v>1.16167319287641E-2</v>
      </c>
      <c r="S98" s="138">
        <v>3.8486811599400899E-3</v>
      </c>
    </row>
    <row r="99" spans="2:19">
      <c r="C99"/>
      <c r="I99" s="5"/>
      <c r="M99" s="130" t="s">
        <v>88</v>
      </c>
      <c r="N99" s="163">
        <v>0.44981599197055899</v>
      </c>
      <c r="O99" s="143">
        <v>0.43408560857137801</v>
      </c>
      <c r="Q99" s="130" t="s">
        <v>98</v>
      </c>
      <c r="R99" s="152">
        <v>9.8227118385680505E-4</v>
      </c>
      <c r="S99" s="138">
        <v>2.5343137806965499E-4</v>
      </c>
    </row>
    <row r="100" spans="2:19">
      <c r="C100"/>
      <c r="I100" s="23" t="s">
        <v>65</v>
      </c>
      <c r="M100" s="130"/>
      <c r="N100" s="14"/>
      <c r="O100" s="14"/>
      <c r="Q100" s="130" t="s">
        <v>93</v>
      </c>
      <c r="R100" s="152">
        <v>1.45376135210807E-4</v>
      </c>
      <c r="S100" s="138">
        <v>1.7610743935905101E-3</v>
      </c>
    </row>
    <row r="101" spans="2:19">
      <c r="C101"/>
      <c r="I101" s="5"/>
      <c r="M101" s="23" t="s">
        <v>163</v>
      </c>
      <c r="N101" s="14"/>
      <c r="O101" s="14"/>
      <c r="Q101" s="130" t="s">
        <v>95</v>
      </c>
      <c r="R101" s="152">
        <v>1.3123143016326899E-3</v>
      </c>
      <c r="S101" s="138">
        <v>4.2856176557156902E-4</v>
      </c>
    </row>
    <row r="102" spans="2:19">
      <c r="B102" s="166">
        <f>+B93</f>
        <v>0.06</v>
      </c>
      <c r="C102"/>
      <c r="I102" s="5"/>
      <c r="J102" s="134" t="s">
        <v>35</v>
      </c>
      <c r="K102" s="134" t="s">
        <v>3</v>
      </c>
      <c r="M102" s="130" t="s">
        <v>108</v>
      </c>
      <c r="N102" s="152">
        <v>0.69036467045834726</v>
      </c>
      <c r="O102" s="138">
        <v>0.7577007382467954</v>
      </c>
      <c r="Q102" s="130" t="s">
        <v>99</v>
      </c>
      <c r="R102" s="152">
        <v>2.51697168151468E-3</v>
      </c>
      <c r="S102" s="138">
        <v>2.2723845146257501E-3</v>
      </c>
    </row>
    <row r="103" spans="2:19">
      <c r="B103" s="166">
        <f>1-B102</f>
        <v>0.94</v>
      </c>
      <c r="C103"/>
      <c r="I103" s="133" t="s">
        <v>66</v>
      </c>
      <c r="J103" s="151">
        <v>1155.6542500278799</v>
      </c>
      <c r="K103" s="137">
        <v>1843.2724165395</v>
      </c>
      <c r="M103" s="130" t="s">
        <v>105</v>
      </c>
      <c r="N103" s="152">
        <v>2.0073603211776515E-2</v>
      </c>
      <c r="O103" s="138">
        <v>2.1403896399950901E-2</v>
      </c>
    </row>
    <row r="104" spans="2:19">
      <c r="C104"/>
      <c r="I104" s="133" t="s">
        <v>67</v>
      </c>
      <c r="J104" s="151">
        <v>987</v>
      </c>
      <c r="K104" s="137">
        <v>1134.22</v>
      </c>
      <c r="M104" s="130" t="s">
        <v>106</v>
      </c>
      <c r="N104" s="152">
        <v>1.0371361659417865E-2</v>
      </c>
      <c r="O104" s="138">
        <v>9.9146018552615425E-3</v>
      </c>
    </row>
    <row r="105" spans="2:19">
      <c r="C105"/>
      <c r="I105" s="133"/>
      <c r="J105" s="14"/>
      <c r="K105" s="14"/>
      <c r="M105" s="130" t="s">
        <v>107</v>
      </c>
      <c r="N105" s="152">
        <v>1.3940002230400357E-2</v>
      </c>
      <c r="O105" s="138">
        <v>1.2793939712767636E-2</v>
      </c>
    </row>
    <row r="106" spans="2:19" ht="15.75" thickBot="1">
      <c r="C106"/>
      <c r="I106" s="133" t="s">
        <v>68</v>
      </c>
      <c r="J106" s="152">
        <v>0.623006579681053</v>
      </c>
      <c r="K106" s="138">
        <v>0.61768635909306102</v>
      </c>
      <c r="M106" s="130" t="s">
        <v>109</v>
      </c>
      <c r="N106" s="156">
        <v>0.26525036244005801</v>
      </c>
      <c r="O106" s="142">
        <v>0.19818682378522454</v>
      </c>
    </row>
    <row r="107" spans="2:19">
      <c r="C107"/>
      <c r="I107" s="133" t="s">
        <v>70</v>
      </c>
      <c r="J107" s="153">
        <v>36</v>
      </c>
      <c r="K107" s="128">
        <v>35</v>
      </c>
      <c r="M107" s="130" t="s">
        <v>77</v>
      </c>
      <c r="N107" s="155">
        <v>0.198203423707557</v>
      </c>
      <c r="O107" s="148">
        <v>0.22801543381866199</v>
      </c>
    </row>
    <row r="108" spans="2:19" ht="18.75">
      <c r="C108"/>
      <c r="D108" s="167" t="s">
        <v>166</v>
      </c>
      <c r="I108" s="133" t="s">
        <v>69</v>
      </c>
      <c r="J108" s="153">
        <v>35</v>
      </c>
      <c r="K108" s="128">
        <v>34</v>
      </c>
      <c r="M108" s="130" t="s">
        <v>78</v>
      </c>
      <c r="N108" s="152">
        <v>0.20396689583035499</v>
      </c>
      <c r="O108" s="138">
        <v>0.27576822971430998</v>
      </c>
    </row>
    <row r="109" spans="2:19">
      <c r="C109"/>
      <c r="I109" s="133" t="s">
        <v>71</v>
      </c>
      <c r="J109" s="152">
        <v>0.535073045611687</v>
      </c>
      <c r="K109" s="138">
        <v>0.68115454083153604</v>
      </c>
      <c r="M109" s="130" t="s">
        <v>79</v>
      </c>
      <c r="N109" s="152">
        <v>0.21014321453829199</v>
      </c>
      <c r="O109" s="138">
        <v>0.25014709492911302</v>
      </c>
    </row>
    <row r="110" spans="2:19" ht="15" customHeight="1" thickBot="1">
      <c r="C110"/>
      <c r="D110" s="220" t="s">
        <v>174</v>
      </c>
      <c r="E110" s="220"/>
      <c r="F110" s="220"/>
      <c r="G110" s="220"/>
      <c r="I110" s="5"/>
      <c r="M110" s="130" t="s">
        <v>80</v>
      </c>
      <c r="N110" s="156">
        <v>0.39048088715387702</v>
      </c>
      <c r="O110" s="142">
        <v>0.41982258207547102</v>
      </c>
    </row>
    <row r="111" spans="2:19">
      <c r="C111"/>
      <c r="D111" s="220"/>
      <c r="E111" s="220"/>
      <c r="F111" s="220"/>
      <c r="G111" s="220"/>
      <c r="M111" s="130" t="s">
        <v>89</v>
      </c>
      <c r="N111" s="157">
        <v>0.60605553696888603</v>
      </c>
      <c r="O111" s="147">
        <v>1.0734073333684</v>
      </c>
    </row>
    <row r="112" spans="2:19">
      <c r="C112"/>
      <c r="D112" s="220"/>
      <c r="E112" s="220"/>
      <c r="F112" s="220"/>
      <c r="G112" s="220"/>
    </row>
    <row r="113" spans="2:19">
      <c r="C113"/>
    </row>
    <row r="114" spans="2:19">
      <c r="C114"/>
    </row>
    <row r="115" spans="2:19">
      <c r="C115"/>
    </row>
    <row r="116" spans="2:19" ht="15.75" thickBot="1">
      <c r="C116"/>
      <c r="I116" s="23" t="s">
        <v>72</v>
      </c>
      <c r="M116" s="23" t="s">
        <v>162</v>
      </c>
      <c r="R116" s="221" t="s">
        <v>110</v>
      </c>
      <c r="S116" s="221"/>
    </row>
    <row r="117" spans="2:19" ht="15.75" thickTop="1">
      <c r="C117"/>
      <c r="I117" s="5"/>
    </row>
    <row r="118" spans="2:19">
      <c r="C118"/>
      <c r="I118" s="5"/>
      <c r="J118" s="134" t="s">
        <v>35</v>
      </c>
      <c r="K118" s="134" t="s">
        <v>3</v>
      </c>
      <c r="N118" s="134" t="s">
        <v>35</v>
      </c>
      <c r="O118" s="134" t="s">
        <v>3</v>
      </c>
      <c r="R118" s="135" t="s">
        <v>35</v>
      </c>
      <c r="S118" s="135" t="s">
        <v>3</v>
      </c>
    </row>
    <row r="119" spans="2:19" ht="15.75" thickBot="1">
      <c r="B119" s="165">
        <v>0.08</v>
      </c>
      <c r="C119"/>
      <c r="I119" s="5" t="s">
        <v>81</v>
      </c>
      <c r="J119" s="149">
        <v>0.44434878489372598</v>
      </c>
      <c r="K119" s="139">
        <v>7.2237952213238102E-2</v>
      </c>
      <c r="M119" s="130" t="s">
        <v>85</v>
      </c>
      <c r="N119" s="154">
        <v>98.663207716273405</v>
      </c>
      <c r="O119" s="146">
        <v>80.231821137356107</v>
      </c>
      <c r="Q119" s="130" t="s">
        <v>94</v>
      </c>
      <c r="R119" s="152">
        <v>0.43600832144807999</v>
      </c>
      <c r="S119" s="138">
        <v>0.65988139274664304</v>
      </c>
    </row>
    <row r="120" spans="2:19">
      <c r="C120"/>
      <c r="I120" s="5"/>
      <c r="M120" s="130" t="s">
        <v>73</v>
      </c>
      <c r="N120" s="155">
        <v>4.2678502838120443E-3</v>
      </c>
      <c r="O120" s="148">
        <v>1.7430340014379154E-3</v>
      </c>
      <c r="Q120" s="130" t="s">
        <v>91</v>
      </c>
      <c r="R120" s="152">
        <v>0.447682054040213</v>
      </c>
      <c r="S120" s="138">
        <v>0.20979086423945201</v>
      </c>
    </row>
    <row r="121" spans="2:19">
      <c r="C121"/>
      <c r="I121" s="5"/>
      <c r="J121" s="134" t="s">
        <v>35</v>
      </c>
      <c r="K121" s="134" t="s">
        <v>3</v>
      </c>
      <c r="M121" s="130" t="s">
        <v>74</v>
      </c>
      <c r="N121" s="152">
        <v>4.8098672698561731E-2</v>
      </c>
      <c r="O121" s="138">
        <v>3.6119732758167183E-2</v>
      </c>
      <c r="Q121" s="130" t="s">
        <v>100</v>
      </c>
      <c r="R121" s="152">
        <v>5.74724468042878E-2</v>
      </c>
      <c r="S121" s="138">
        <v>9.3256726081774002E-2</v>
      </c>
    </row>
    <row r="122" spans="2:19">
      <c r="C122"/>
      <c r="I122" s="133" t="s">
        <v>63</v>
      </c>
      <c r="J122" s="150">
        <v>2.4286877782994001</v>
      </c>
      <c r="K122" s="136">
        <v>0.57532250805174201</v>
      </c>
      <c r="M122" s="130" t="s">
        <v>75</v>
      </c>
      <c r="N122" s="152">
        <v>0.58268959924885833</v>
      </c>
      <c r="O122" s="138">
        <v>0.5570975152120925</v>
      </c>
      <c r="Q122" s="130" t="s">
        <v>92</v>
      </c>
      <c r="R122" s="152">
        <v>1.3291729820180899E-2</v>
      </c>
      <c r="S122" s="138">
        <v>1.16067876421988E-2</v>
      </c>
    </row>
    <row r="123" spans="2:19" ht="15.75" thickBot="1">
      <c r="C123"/>
      <c r="I123" s="133" t="s">
        <v>64</v>
      </c>
      <c r="J123" s="150">
        <v>1.5</v>
      </c>
      <c r="K123" s="136">
        <v>0.16</v>
      </c>
      <c r="M123" s="130" t="s">
        <v>76</v>
      </c>
      <c r="N123" s="156">
        <v>0.36494387776876785</v>
      </c>
      <c r="O123" s="142">
        <v>0.40503971802830241</v>
      </c>
      <c r="Q123" s="130" t="s">
        <v>90</v>
      </c>
      <c r="R123" s="152">
        <v>1.6502565369827499E-2</v>
      </c>
      <c r="S123" s="138">
        <v>5.25922109453317E-3</v>
      </c>
    </row>
    <row r="124" spans="2:19">
      <c r="C124"/>
      <c r="I124" s="133" t="s">
        <v>82</v>
      </c>
      <c r="J124" s="151">
        <v>2863.1851336548498</v>
      </c>
      <c r="K124" s="137">
        <v>932.44830284777004</v>
      </c>
      <c r="M124" s="130" t="s">
        <v>86</v>
      </c>
      <c r="N124" s="161">
        <v>0.22184285775255</v>
      </c>
      <c r="O124" s="159">
        <v>0.24926438353762301</v>
      </c>
      <c r="Q124" s="130" t="s">
        <v>97</v>
      </c>
      <c r="R124" s="152">
        <v>7.6522211680329797E-3</v>
      </c>
      <c r="S124" s="138">
        <v>1.0092754105427501E-2</v>
      </c>
    </row>
    <row r="125" spans="2:19" ht="15.75" thickBot="1">
      <c r="C125"/>
      <c r="I125" s="133" t="s">
        <v>83</v>
      </c>
      <c r="J125" s="151">
        <v>294.816666666667</v>
      </c>
      <c r="K125" s="137">
        <v>1.6</v>
      </c>
      <c r="M125" s="130" t="s">
        <v>87</v>
      </c>
      <c r="N125" s="162">
        <v>1.01318765737698</v>
      </c>
      <c r="O125" s="160">
        <v>1.04377926245463</v>
      </c>
      <c r="Q125" s="130" t="s">
        <v>96</v>
      </c>
      <c r="R125" s="152">
        <v>3.0537321560456E-3</v>
      </c>
      <c r="S125" s="138">
        <v>3.8486811599400899E-3</v>
      </c>
    </row>
    <row r="126" spans="2:19">
      <c r="C126"/>
      <c r="I126" s="5"/>
      <c r="M126" s="130" t="s">
        <v>88</v>
      </c>
      <c r="N126" s="163">
        <v>0.43882036618155401</v>
      </c>
      <c r="O126" s="143">
        <v>0.43408560857137801</v>
      </c>
      <c r="Q126" s="130" t="s">
        <v>98</v>
      </c>
      <c r="R126" s="152">
        <v>1.16401873835352E-3</v>
      </c>
      <c r="S126" s="138">
        <v>2.5343137806965499E-4</v>
      </c>
    </row>
    <row r="127" spans="2:19">
      <c r="B127" s="166">
        <f>+B119</f>
        <v>0.08</v>
      </c>
      <c r="C127"/>
      <c r="I127" s="23" t="s">
        <v>65</v>
      </c>
      <c r="M127" s="130"/>
      <c r="N127" s="14"/>
      <c r="O127" s="14"/>
      <c r="Q127" s="130" t="s">
        <v>93</v>
      </c>
      <c r="R127" s="152">
        <v>7.8607605481510702E-4</v>
      </c>
      <c r="S127" s="138">
        <v>1.7610743935905101E-3</v>
      </c>
    </row>
    <row r="128" spans="2:19">
      <c r="B128" s="166">
        <f>1-B127</f>
        <v>0.92</v>
      </c>
      <c r="C128"/>
      <c r="I128" s="5"/>
      <c r="M128" s="23" t="s">
        <v>163</v>
      </c>
      <c r="N128" s="14"/>
      <c r="O128" s="14"/>
      <c r="Q128" s="130" t="s">
        <v>95</v>
      </c>
      <c r="R128" s="152">
        <v>2.6551032605383702E-3</v>
      </c>
      <c r="S128" s="138">
        <v>4.2856176557156902E-4</v>
      </c>
    </row>
    <row r="129" spans="3:19">
      <c r="C129"/>
      <c r="I129" s="5"/>
      <c r="J129" s="134" t="s">
        <v>35</v>
      </c>
      <c r="K129" s="134" t="s">
        <v>3</v>
      </c>
      <c r="M129" s="130" t="s">
        <v>108</v>
      </c>
      <c r="N129" s="152">
        <v>0.76351841577397461</v>
      </c>
      <c r="O129" s="138">
        <v>0.7577007382467954</v>
      </c>
      <c r="Q129" s="130" t="s">
        <v>99</v>
      </c>
      <c r="R129" s="152">
        <v>1.0984937642252701E-2</v>
      </c>
      <c r="S129" s="138">
        <v>2.2723845146257501E-3</v>
      </c>
    </row>
    <row r="130" spans="3:19">
      <c r="C130"/>
      <c r="I130" s="133" t="s">
        <v>66</v>
      </c>
      <c r="J130" s="151">
        <v>1787.71495540097</v>
      </c>
      <c r="K130" s="137">
        <v>1843.2724165395</v>
      </c>
      <c r="M130" s="130" t="s">
        <v>105</v>
      </c>
      <c r="N130" s="152">
        <v>1.8821219751611114E-2</v>
      </c>
      <c r="O130" s="138">
        <v>2.1403896399950901E-2</v>
      </c>
    </row>
    <row r="131" spans="3:19">
      <c r="C131"/>
      <c r="I131" s="133" t="s">
        <v>67</v>
      </c>
      <c r="J131" s="151">
        <v>1100</v>
      </c>
      <c r="K131" s="137">
        <v>1134.22</v>
      </c>
      <c r="M131" s="130" t="s">
        <v>106</v>
      </c>
      <c r="N131" s="152">
        <v>9.2185566130340152E-3</v>
      </c>
      <c r="O131" s="138">
        <v>9.9146018552615425E-3</v>
      </c>
    </row>
    <row r="132" spans="3:19">
      <c r="C132"/>
      <c r="I132" s="133"/>
      <c r="J132" s="14"/>
      <c r="K132" s="14"/>
      <c r="M132" s="130" t="s">
        <v>107</v>
      </c>
      <c r="N132" s="152">
        <v>1.1011053732235073E-2</v>
      </c>
      <c r="O132" s="138">
        <v>1.2793939712767636E-2</v>
      </c>
    </row>
    <row r="133" spans="3:19" ht="15.75" thickBot="1">
      <c r="C133"/>
      <c r="I133" s="133" t="s">
        <v>68</v>
      </c>
      <c r="J133" s="152">
        <v>0.67739319704664802</v>
      </c>
      <c r="K133" s="138">
        <v>0.61768635909306102</v>
      </c>
      <c r="M133" s="130" t="s">
        <v>109</v>
      </c>
      <c r="N133" s="156">
        <v>0.19743075412914515</v>
      </c>
      <c r="O133" s="142">
        <v>0.19818682378522454</v>
      </c>
    </row>
    <row r="134" spans="3:19">
      <c r="C134"/>
      <c r="I134" s="133" t="s">
        <v>70</v>
      </c>
      <c r="J134" s="153">
        <v>41</v>
      </c>
      <c r="K134" s="131">
        <v>35</v>
      </c>
      <c r="M134" s="130" t="s">
        <v>77</v>
      </c>
      <c r="N134" s="155">
        <v>0.17835035552530501</v>
      </c>
      <c r="O134" s="148">
        <v>0.22801543381866199</v>
      </c>
    </row>
    <row r="135" spans="3:19" ht="18.75">
      <c r="C135"/>
      <c r="D135" s="167" t="s">
        <v>167</v>
      </c>
      <c r="I135" s="133" t="s">
        <v>69</v>
      </c>
      <c r="J135" s="153">
        <v>41</v>
      </c>
      <c r="K135" s="131">
        <v>34</v>
      </c>
      <c r="M135" s="130" t="s">
        <v>78</v>
      </c>
      <c r="N135" s="152">
        <v>0.28043973532365801</v>
      </c>
      <c r="O135" s="138">
        <v>0.27576822971430998</v>
      </c>
    </row>
    <row r="136" spans="3:19" ht="14.45" customHeight="1">
      <c r="C136"/>
      <c r="I136" s="133" t="s">
        <v>71</v>
      </c>
      <c r="J136" s="152">
        <v>0.55460714438137504</v>
      </c>
      <c r="K136" s="138">
        <v>0.68115454083153604</v>
      </c>
      <c r="M136" s="130" t="s">
        <v>79</v>
      </c>
      <c r="N136" s="152">
        <v>0.32759225508415302</v>
      </c>
      <c r="O136" s="138">
        <v>0.25014709492911302</v>
      </c>
    </row>
    <row r="137" spans="3:19" ht="15" customHeight="1" thickBot="1">
      <c r="C137"/>
      <c r="D137" s="220" t="s">
        <v>175</v>
      </c>
      <c r="E137" s="220"/>
      <c r="F137" s="220"/>
      <c r="G137" s="220"/>
      <c r="I137" s="5"/>
      <c r="M137" s="130" t="s">
        <v>80</v>
      </c>
      <c r="N137" s="156">
        <v>0.53337873697953697</v>
      </c>
      <c r="O137" s="142">
        <v>0.41982258207547102</v>
      </c>
    </row>
    <row r="138" spans="3:19">
      <c r="C138"/>
      <c r="D138" s="220"/>
      <c r="E138" s="220"/>
      <c r="F138" s="220"/>
      <c r="G138" s="220"/>
      <c r="M138" s="130" t="s">
        <v>89</v>
      </c>
      <c r="N138" s="157">
        <v>0.99116554991250905</v>
      </c>
      <c r="O138" s="147">
        <v>1.0734073333684</v>
      </c>
    </row>
    <row r="139" spans="3:19">
      <c r="C139"/>
      <c r="D139" s="220"/>
      <c r="E139" s="220"/>
      <c r="F139" s="220"/>
      <c r="G139" s="220"/>
    </row>
    <row r="140" spans="3:19">
      <c r="C140"/>
    </row>
    <row r="141" spans="3:19">
      <c r="C141"/>
    </row>
    <row r="142" spans="3:19">
      <c r="C142"/>
    </row>
    <row r="143" spans="3:19" ht="15.75" thickBot="1">
      <c r="C143"/>
      <c r="I143" s="23" t="s">
        <v>72</v>
      </c>
      <c r="M143" s="23" t="s">
        <v>162</v>
      </c>
      <c r="R143" s="221" t="s">
        <v>110</v>
      </c>
      <c r="S143" s="221"/>
    </row>
    <row r="144" spans="3:19" ht="15.75" thickTop="1">
      <c r="C144"/>
      <c r="I144" s="5"/>
    </row>
    <row r="145" spans="2:19">
      <c r="C145"/>
      <c r="I145" s="5"/>
      <c r="J145" s="134" t="s">
        <v>35</v>
      </c>
      <c r="K145" s="134" t="s">
        <v>3</v>
      </c>
      <c r="N145" s="134" t="s">
        <v>35</v>
      </c>
      <c r="O145" s="134" t="s">
        <v>3</v>
      </c>
      <c r="R145" s="135" t="s">
        <v>35</v>
      </c>
      <c r="S145" s="135" t="s">
        <v>3</v>
      </c>
    </row>
    <row r="146" spans="2:19" ht="15.75" thickBot="1">
      <c r="C146"/>
      <c r="I146" s="5" t="s">
        <v>81</v>
      </c>
      <c r="J146" s="149">
        <v>0.64010237508575196</v>
      </c>
      <c r="K146" s="139">
        <v>0.110058944305189</v>
      </c>
      <c r="M146" s="130" t="s">
        <v>85</v>
      </c>
      <c r="N146" s="154">
        <v>93.3168396027353</v>
      </c>
      <c r="O146" s="146">
        <v>80.231821137356107</v>
      </c>
      <c r="Q146" s="130" t="s">
        <v>94</v>
      </c>
      <c r="R146" s="152">
        <v>0.717646508814479</v>
      </c>
      <c r="S146" s="138">
        <v>0.65988139274664304</v>
      </c>
    </row>
    <row r="147" spans="2:19">
      <c r="B147" s="165">
        <v>0.13</v>
      </c>
      <c r="C147"/>
      <c r="I147" s="5"/>
      <c r="M147" s="130" t="s">
        <v>73</v>
      </c>
      <c r="N147" s="155">
        <v>4.2202402723461726E-3</v>
      </c>
      <c r="O147" s="148">
        <v>1.7430340014379154E-3</v>
      </c>
      <c r="Q147" s="130" t="s">
        <v>91</v>
      </c>
      <c r="R147" s="152">
        <v>0.12574664112699099</v>
      </c>
      <c r="S147" s="138">
        <v>0.20979086423945201</v>
      </c>
    </row>
    <row r="148" spans="2:19">
      <c r="C148"/>
      <c r="I148" s="5"/>
      <c r="J148" s="134" t="s">
        <v>35</v>
      </c>
      <c r="K148" s="134" t="s">
        <v>3</v>
      </c>
      <c r="M148" s="130" t="s">
        <v>74</v>
      </c>
      <c r="N148" s="152">
        <v>8.3729567003348063E-2</v>
      </c>
      <c r="O148" s="138">
        <v>3.6119732758167183E-2</v>
      </c>
      <c r="Q148" s="130" t="s">
        <v>100</v>
      </c>
      <c r="R148" s="152">
        <v>0.70296742019852598</v>
      </c>
      <c r="S148" s="138">
        <v>9.3256726081774002E-2</v>
      </c>
    </row>
    <row r="149" spans="2:19">
      <c r="C149"/>
      <c r="I149" s="133" t="s">
        <v>63</v>
      </c>
      <c r="J149" s="150">
        <v>24.14209</v>
      </c>
      <c r="K149" s="136">
        <v>4.3638709999999996</v>
      </c>
      <c r="M149" s="130" t="s">
        <v>75</v>
      </c>
      <c r="N149" s="152">
        <v>0.62926595954196329</v>
      </c>
      <c r="O149" s="138">
        <v>0.5570975152120925</v>
      </c>
      <c r="Q149" s="130" t="s">
        <v>92</v>
      </c>
      <c r="R149" s="152">
        <v>2.06760500771257E-2</v>
      </c>
      <c r="S149" s="138">
        <v>1.16067876421988E-2</v>
      </c>
    </row>
    <row r="150" spans="2:19" ht="15.75" thickBot="1">
      <c r="C150"/>
      <c r="I150" s="133" t="s">
        <v>64</v>
      </c>
      <c r="J150" s="150">
        <v>11.5</v>
      </c>
      <c r="K150" s="136">
        <v>0</v>
      </c>
      <c r="M150" s="130" t="s">
        <v>76</v>
      </c>
      <c r="N150" s="156">
        <v>0.28278423318234253</v>
      </c>
      <c r="O150" s="142">
        <v>0.40503971802830241</v>
      </c>
      <c r="Q150" s="130" t="s">
        <v>90</v>
      </c>
      <c r="R150" s="152">
        <v>4.3980982100462404E-3</v>
      </c>
      <c r="S150" s="138">
        <v>5.25922109453317E-3</v>
      </c>
    </row>
    <row r="151" spans="2:19">
      <c r="C151"/>
      <c r="I151" s="133" t="s">
        <v>82</v>
      </c>
      <c r="J151" s="151">
        <v>820.43202974800499</v>
      </c>
      <c r="K151" s="137">
        <v>146.80386457292201</v>
      </c>
      <c r="M151" s="130" t="s">
        <v>86</v>
      </c>
      <c r="N151" s="161">
        <v>0.42947978504909501</v>
      </c>
      <c r="O151" s="159">
        <v>0.24926438353762301</v>
      </c>
      <c r="Q151" s="130" t="s">
        <v>97</v>
      </c>
      <c r="R151" s="152">
        <v>2.2062510740924E-2</v>
      </c>
      <c r="S151" s="138">
        <v>1.0092754105427501E-2</v>
      </c>
    </row>
    <row r="152" spans="2:19" ht="15.75" thickBot="1">
      <c r="C152"/>
      <c r="I152" s="133" t="s">
        <v>83</v>
      </c>
      <c r="J152" s="151">
        <v>2.5</v>
      </c>
      <c r="K152" s="137">
        <v>0</v>
      </c>
      <c r="M152" s="130" t="s">
        <v>87</v>
      </c>
      <c r="N152" s="162">
        <v>1.1252004614129401</v>
      </c>
      <c r="O152" s="160">
        <v>1.04377926245463</v>
      </c>
      <c r="Q152" s="130" t="s">
        <v>96</v>
      </c>
      <c r="R152" s="152">
        <v>7.40353279109406E-3</v>
      </c>
      <c r="S152" s="138">
        <v>3.8486811599400899E-3</v>
      </c>
    </row>
    <row r="153" spans="2:19">
      <c r="C153"/>
      <c r="I153" s="5"/>
      <c r="M153" s="130" t="s">
        <v>88</v>
      </c>
      <c r="N153" s="163">
        <v>0.42393720282474801</v>
      </c>
      <c r="O153" s="143">
        <v>0.43408560857137801</v>
      </c>
      <c r="Q153" s="130" t="s">
        <v>98</v>
      </c>
      <c r="R153" s="152">
        <v>2.8141873697703801E-4</v>
      </c>
      <c r="S153" s="138">
        <v>2.5343137806965499E-4</v>
      </c>
    </row>
    <row r="154" spans="2:19">
      <c r="C154"/>
      <c r="I154" s="23" t="s">
        <v>65</v>
      </c>
      <c r="M154" s="130"/>
      <c r="N154" s="14"/>
      <c r="O154" s="14"/>
      <c r="Q154" s="130" t="s">
        <v>93</v>
      </c>
      <c r="R154" s="152">
        <v>3.0240434766483802E-3</v>
      </c>
      <c r="S154" s="138">
        <v>1.7610743935905101E-3</v>
      </c>
    </row>
    <row r="155" spans="2:19">
      <c r="C155"/>
      <c r="I155" s="5"/>
      <c r="M155" s="23" t="s">
        <v>163</v>
      </c>
      <c r="N155" s="14"/>
      <c r="O155" s="14"/>
      <c r="Q155" s="130" t="s">
        <v>95</v>
      </c>
      <c r="R155" s="152">
        <v>3.15175926540177E-4</v>
      </c>
      <c r="S155" s="138">
        <v>4.2856176557156902E-4</v>
      </c>
    </row>
    <row r="156" spans="2:19">
      <c r="B156" s="166">
        <f>+B147</f>
        <v>0.13</v>
      </c>
      <c r="C156"/>
      <c r="I156" s="5"/>
      <c r="J156" s="134" t="s">
        <v>35</v>
      </c>
      <c r="K156" s="134" t="s">
        <v>3</v>
      </c>
      <c r="M156" s="130" t="s">
        <v>108</v>
      </c>
      <c r="N156" s="152">
        <v>0.81073629125284863</v>
      </c>
      <c r="O156" s="138">
        <v>0.7577007382467954</v>
      </c>
      <c r="Q156" s="130" t="s">
        <v>99</v>
      </c>
      <c r="R156" s="152">
        <v>2.4724366344251801E-3</v>
      </c>
      <c r="S156" s="138">
        <v>2.2723845146257501E-3</v>
      </c>
    </row>
    <row r="157" spans="2:19">
      <c r="B157" s="166">
        <f>1-B156</f>
        <v>0.87</v>
      </c>
      <c r="C157"/>
      <c r="I157" s="133" t="s">
        <v>66</v>
      </c>
      <c r="J157" s="151">
        <v>2792.3488205835201</v>
      </c>
      <c r="K157" s="137">
        <v>1843.2724165395</v>
      </c>
      <c r="M157" s="130" t="s">
        <v>105</v>
      </c>
      <c r="N157" s="152">
        <v>2.0819852010241117E-2</v>
      </c>
      <c r="O157" s="138">
        <v>2.1403896399950901E-2</v>
      </c>
    </row>
    <row r="158" spans="2:19">
      <c r="C158"/>
      <c r="I158" s="133" t="s">
        <v>67</v>
      </c>
      <c r="J158" s="151">
        <v>1560</v>
      </c>
      <c r="K158" s="137">
        <v>1134.22</v>
      </c>
      <c r="M158" s="130" t="s">
        <v>106</v>
      </c>
      <c r="N158" s="152">
        <v>9.7065526263961956E-3</v>
      </c>
      <c r="O158" s="138">
        <v>9.9146018552615425E-3</v>
      </c>
    </row>
    <row r="159" spans="2:19">
      <c r="C159"/>
      <c r="I159" s="133"/>
      <c r="J159" s="14"/>
      <c r="K159" s="14"/>
      <c r="M159" s="130" t="s">
        <v>107</v>
      </c>
      <c r="N159" s="152">
        <v>1.1535323411079537E-2</v>
      </c>
      <c r="O159" s="138">
        <v>1.2793939712767636E-2</v>
      </c>
    </row>
    <row r="160" spans="2:19" ht="15.75" thickBot="1">
      <c r="C160"/>
      <c r="I160" s="133" t="s">
        <v>68</v>
      </c>
      <c r="J160" s="152">
        <v>0.58337788031398596</v>
      </c>
      <c r="K160" s="138">
        <v>0.61768635909306102</v>
      </c>
      <c r="M160" s="130" t="s">
        <v>109</v>
      </c>
      <c r="N160" s="156">
        <v>0.14720198069943449</v>
      </c>
      <c r="O160" s="142">
        <v>0.19818682378522454</v>
      </c>
    </row>
    <row r="161" spans="2:19">
      <c r="C161"/>
      <c r="I161" s="133" t="s">
        <v>70</v>
      </c>
      <c r="J161" s="153">
        <v>34</v>
      </c>
      <c r="K161" s="131">
        <v>35</v>
      </c>
      <c r="M161" s="130" t="s">
        <v>77</v>
      </c>
      <c r="N161" s="155">
        <v>0.26216316884666302</v>
      </c>
      <c r="O161" s="148">
        <v>0.22801543381866199</v>
      </c>
    </row>
    <row r="162" spans="2:19" ht="18.75">
      <c r="C162"/>
      <c r="D162" s="167" t="s">
        <v>168</v>
      </c>
      <c r="I162" s="133" t="s">
        <v>69</v>
      </c>
      <c r="J162" s="153">
        <v>34</v>
      </c>
      <c r="K162" s="131">
        <v>34</v>
      </c>
      <c r="M162" s="130" t="s">
        <v>78</v>
      </c>
      <c r="N162" s="152">
        <v>0.344763033482204</v>
      </c>
      <c r="O162" s="138">
        <v>0.27576822971430998</v>
      </c>
    </row>
    <row r="163" spans="2:19">
      <c r="B163" s="3">
        <f>0.13*1700000</f>
        <v>221000</v>
      </c>
      <c r="C163"/>
      <c r="I163" s="133" t="s">
        <v>71</v>
      </c>
      <c r="J163" s="152">
        <v>0.73820442843879197</v>
      </c>
      <c r="K163" s="138">
        <v>0.68115454083153604</v>
      </c>
      <c r="M163" s="130" t="s">
        <v>79</v>
      </c>
      <c r="N163" s="152">
        <v>0.29048842774510297</v>
      </c>
      <c r="O163" s="138">
        <v>0.25014709492911302</v>
      </c>
    </row>
    <row r="164" spans="2:19" ht="15" customHeight="1" thickBot="1">
      <c r="C164"/>
      <c r="D164" s="220" t="s">
        <v>176</v>
      </c>
      <c r="E164" s="220"/>
      <c r="F164" s="220"/>
      <c r="G164" s="220"/>
      <c r="I164" s="5"/>
      <c r="M164" s="130" t="s">
        <v>80</v>
      </c>
      <c r="N164" s="156">
        <v>0.45359906135505901</v>
      </c>
      <c r="O164" s="142">
        <v>0.41982258207547102</v>
      </c>
    </row>
    <row r="165" spans="2:19">
      <c r="C165"/>
      <c r="D165" s="220"/>
      <c r="E165" s="220"/>
      <c r="F165" s="220"/>
      <c r="G165" s="220"/>
      <c r="M165" s="130" t="s">
        <v>89</v>
      </c>
      <c r="N165" s="157">
        <v>1.6034943589455</v>
      </c>
      <c r="O165" s="147">
        <v>1.0734073333684</v>
      </c>
    </row>
    <row r="166" spans="2:19">
      <c r="C166"/>
      <c r="D166" s="220"/>
      <c r="E166" s="220"/>
      <c r="F166" s="220"/>
      <c r="G166" s="220"/>
    </row>
    <row r="167" spans="2:19">
      <c r="C167"/>
    </row>
    <row r="168" spans="2:19">
      <c r="C168"/>
    </row>
    <row r="169" spans="2:19">
      <c r="C169"/>
    </row>
    <row r="170" spans="2:19">
      <c r="C170"/>
    </row>
    <row r="171" spans="2:19" ht="15.75" thickBot="1">
      <c r="C171"/>
      <c r="I171" s="23" t="s">
        <v>72</v>
      </c>
      <c r="M171" s="23" t="s">
        <v>162</v>
      </c>
      <c r="R171" s="221" t="s">
        <v>110</v>
      </c>
      <c r="S171" s="221"/>
    </row>
    <row r="172" spans="2:19" ht="15.75" thickTop="1">
      <c r="C172"/>
      <c r="I172" s="5"/>
    </row>
    <row r="173" spans="2:19">
      <c r="C173"/>
      <c r="I173" s="5"/>
      <c r="J173" s="134" t="s">
        <v>35</v>
      </c>
      <c r="K173" s="134" t="s">
        <v>3</v>
      </c>
      <c r="N173" s="134" t="s">
        <v>35</v>
      </c>
      <c r="O173" s="134" t="s">
        <v>3</v>
      </c>
      <c r="R173" s="135" t="s">
        <v>35</v>
      </c>
      <c r="S173" s="135" t="s">
        <v>3</v>
      </c>
    </row>
    <row r="174" spans="2:19" ht="15.75" thickBot="1">
      <c r="B174" s="165">
        <v>0.09</v>
      </c>
      <c r="C174"/>
      <c r="I174" s="5" t="s">
        <v>81</v>
      </c>
      <c r="J174" s="149">
        <v>0.80232366576327696</v>
      </c>
      <c r="K174" s="139">
        <v>9.9512182539699803E-2</v>
      </c>
      <c r="M174" s="130" t="s">
        <v>85</v>
      </c>
      <c r="N174" s="154">
        <v>64.094899306971001</v>
      </c>
      <c r="O174" s="146">
        <v>80.231821137356107</v>
      </c>
      <c r="Q174" s="130" t="s">
        <v>94</v>
      </c>
      <c r="R174" s="152">
        <v>0.87718767873098502</v>
      </c>
      <c r="S174" s="138">
        <v>0.65988139274664304</v>
      </c>
    </row>
    <row r="175" spans="2:19">
      <c r="C175"/>
      <c r="I175" s="5"/>
      <c r="M175" s="130" t="s">
        <v>73</v>
      </c>
      <c r="N175" s="155">
        <v>1.0191602119853241E-3</v>
      </c>
      <c r="O175" s="148">
        <v>1.7430340014379154E-3</v>
      </c>
      <c r="Q175" s="130" t="s">
        <v>91</v>
      </c>
      <c r="R175" s="152">
        <v>5.674901007811E-2</v>
      </c>
      <c r="S175" s="138">
        <v>0.20979086423945201</v>
      </c>
    </row>
    <row r="176" spans="2:19">
      <c r="C176"/>
      <c r="I176" s="5"/>
      <c r="J176" s="134" t="s">
        <v>35</v>
      </c>
      <c r="K176" s="134" t="s">
        <v>3</v>
      </c>
      <c r="M176" s="130" t="s">
        <v>74</v>
      </c>
      <c r="N176" s="152">
        <v>3.3265389319200978E-2</v>
      </c>
      <c r="O176" s="138">
        <v>3.6119732758167183E-2</v>
      </c>
      <c r="Q176" s="130" t="s">
        <v>100</v>
      </c>
      <c r="R176" s="152">
        <v>4.3102444773236499E-2</v>
      </c>
      <c r="S176" s="138">
        <v>9.3256726081774002E-2</v>
      </c>
    </row>
    <row r="177" spans="2:26">
      <c r="C177"/>
      <c r="I177" s="133" t="s">
        <v>63</v>
      </c>
      <c r="J177" s="150">
        <v>73.414118000000002</v>
      </c>
      <c r="K177" s="136">
        <v>7.971597</v>
      </c>
      <c r="M177" s="130" t="s">
        <v>75</v>
      </c>
      <c r="N177" s="152">
        <v>0.56599999999999995</v>
      </c>
      <c r="O177" s="138">
        <v>0.5570975152120925</v>
      </c>
      <c r="Q177" s="130" t="s">
        <v>92</v>
      </c>
      <c r="R177" s="152">
        <v>8.7016484241357901E-3</v>
      </c>
      <c r="S177" s="138">
        <v>1.16067876421988E-2</v>
      </c>
    </row>
    <row r="178" spans="2:26" ht="15.75" thickBot="1">
      <c r="C178"/>
      <c r="I178" s="133" t="s">
        <v>64</v>
      </c>
      <c r="J178" s="150">
        <v>43.833333000000003</v>
      </c>
      <c r="K178" s="136">
        <v>0</v>
      </c>
      <c r="M178" s="130" t="s">
        <v>76</v>
      </c>
      <c r="N178" s="156">
        <v>0.4</v>
      </c>
      <c r="O178" s="142">
        <v>0.40503971802830241</v>
      </c>
      <c r="Q178" s="130" t="s">
        <v>90</v>
      </c>
      <c r="R178" s="152">
        <v>2.32885243606666E-3</v>
      </c>
      <c r="S178" s="138">
        <v>5.25922109453317E-3</v>
      </c>
    </row>
    <row r="179" spans="2:26">
      <c r="C179"/>
      <c r="I179" s="133" t="s">
        <v>82</v>
      </c>
      <c r="J179" s="151">
        <v>425.28211271911999</v>
      </c>
      <c r="K179" s="137">
        <v>53.761850906880298</v>
      </c>
      <c r="M179" s="130" t="s">
        <v>86</v>
      </c>
      <c r="N179" s="161">
        <v>0.306441092539747</v>
      </c>
      <c r="O179" s="159">
        <v>0.24926438353762301</v>
      </c>
      <c r="Q179" s="130" t="s">
        <v>97</v>
      </c>
      <c r="R179" s="152">
        <v>6.4164149021936597E-3</v>
      </c>
      <c r="S179" s="138">
        <v>1.0092754105427501E-2</v>
      </c>
    </row>
    <row r="180" spans="2:26" ht="15.75" thickBot="1">
      <c r="C180"/>
      <c r="I180" s="133" t="s">
        <v>83</v>
      </c>
      <c r="J180" s="151">
        <v>6.6666666666666696</v>
      </c>
      <c r="K180" s="137">
        <v>0</v>
      </c>
      <c r="M180" s="130" t="s">
        <v>87</v>
      </c>
      <c r="N180" s="162">
        <v>1.0989808397880101</v>
      </c>
      <c r="O180" s="160">
        <v>1.04377926245463</v>
      </c>
      <c r="Q180" s="130" t="s">
        <v>96</v>
      </c>
      <c r="R180" s="152">
        <v>2.2967785807200499E-3</v>
      </c>
      <c r="S180" s="138">
        <v>3.8486811599400899E-3</v>
      </c>
    </row>
    <row r="181" spans="2:26">
      <c r="C181"/>
      <c r="I181" s="5"/>
      <c r="M181" s="130" t="s">
        <v>88</v>
      </c>
      <c r="N181" s="163">
        <v>0.44362005707297197</v>
      </c>
      <c r="O181" s="143">
        <v>0.43408560857137801</v>
      </c>
      <c r="Q181" s="130" t="s">
        <v>98</v>
      </c>
      <c r="R181" s="152">
        <v>7.0073154767973602E-5</v>
      </c>
      <c r="S181" s="138">
        <v>2.5343137806965499E-4</v>
      </c>
    </row>
    <row r="182" spans="2:26">
      <c r="B182" s="166">
        <f>+B174</f>
        <v>0.09</v>
      </c>
      <c r="C182"/>
      <c r="I182" s="23" t="s">
        <v>65</v>
      </c>
      <c r="M182" s="130"/>
      <c r="N182" s="14"/>
      <c r="O182" s="14"/>
      <c r="Q182" s="130" t="s">
        <v>93</v>
      </c>
      <c r="R182" s="152">
        <v>1.81551783583515E-3</v>
      </c>
      <c r="S182" s="138">
        <v>1.7610743935905101E-3</v>
      </c>
    </row>
    <row r="183" spans="2:26">
      <c r="B183" s="166">
        <f>1-B182</f>
        <v>0.91</v>
      </c>
      <c r="C183"/>
      <c r="I183" s="5"/>
      <c r="M183" s="23" t="s">
        <v>163</v>
      </c>
      <c r="N183" s="14"/>
      <c r="O183" s="14"/>
      <c r="Q183" s="130" t="s">
        <v>95</v>
      </c>
      <c r="R183" s="152">
        <v>9.1098924065510594E-5</v>
      </c>
      <c r="S183" s="138">
        <v>4.2856176557156902E-4</v>
      </c>
    </row>
    <row r="184" spans="2:26">
      <c r="C184"/>
      <c r="I184" s="5"/>
      <c r="J184" s="134" t="s">
        <v>35</v>
      </c>
      <c r="K184" s="134" t="s">
        <v>3</v>
      </c>
      <c r="M184" s="130" t="s">
        <v>108</v>
      </c>
      <c r="N184" s="152">
        <v>0.74276396249490417</v>
      </c>
      <c r="O184" s="138">
        <v>0.7577007382467954</v>
      </c>
      <c r="Q184" s="130" t="s">
        <v>99</v>
      </c>
      <c r="R184" s="152">
        <v>6.9190072457477004E-4</v>
      </c>
      <c r="S184" s="138">
        <v>2.2723845146257501E-3</v>
      </c>
    </row>
    <row r="185" spans="2:26">
      <c r="C185"/>
      <c r="I185" s="133" t="s">
        <v>66</v>
      </c>
      <c r="J185" s="151">
        <v>1989.93952466368</v>
      </c>
      <c r="K185" s="137">
        <v>1843.2724165395</v>
      </c>
      <c r="M185" s="130" t="s">
        <v>105</v>
      </c>
      <c r="N185" s="152">
        <v>2.4092947411333061E-2</v>
      </c>
      <c r="O185" s="138">
        <v>2.1403896399950901E-2</v>
      </c>
    </row>
    <row r="186" spans="2:26">
      <c r="C186"/>
      <c r="I186" s="133" t="s">
        <v>67</v>
      </c>
      <c r="J186" s="151">
        <v>1236.44</v>
      </c>
      <c r="K186" s="137">
        <v>1134.22</v>
      </c>
      <c r="M186" s="130" t="s">
        <v>106</v>
      </c>
      <c r="N186" s="152">
        <v>1.0232368528332699E-2</v>
      </c>
      <c r="O186" s="138">
        <v>9.9146018552615425E-3</v>
      </c>
    </row>
    <row r="187" spans="2:26">
      <c r="C187"/>
      <c r="I187" s="133"/>
      <c r="J187" s="14"/>
      <c r="K187" s="14"/>
      <c r="M187" s="130" t="s">
        <v>107</v>
      </c>
      <c r="N187" s="152">
        <v>1.3289849164288626E-2</v>
      </c>
      <c r="O187" s="138">
        <v>1.2793939712767636E-2</v>
      </c>
      <c r="X187" s="164"/>
      <c r="Z187" s="164"/>
    </row>
    <row r="188" spans="2:26" ht="15.75" thickBot="1">
      <c r="C188"/>
      <c r="I188" s="133" t="s">
        <v>68</v>
      </c>
      <c r="J188" s="152">
        <v>0.63330615572768001</v>
      </c>
      <c r="K188" s="138">
        <v>0.61768635909306102</v>
      </c>
      <c r="M188" s="130" t="s">
        <v>109</v>
      </c>
      <c r="N188" s="156">
        <v>0.20962087240114147</v>
      </c>
      <c r="O188" s="142">
        <v>0.19818682378522454</v>
      </c>
    </row>
    <row r="189" spans="2:26" ht="18.75">
      <c r="C189"/>
      <c r="D189" s="167" t="s">
        <v>169</v>
      </c>
      <c r="I189" s="133" t="s">
        <v>70</v>
      </c>
      <c r="J189" s="153">
        <v>29</v>
      </c>
      <c r="K189" s="131">
        <v>35</v>
      </c>
      <c r="M189" s="130" t="s">
        <v>77</v>
      </c>
      <c r="N189" s="155">
        <v>0.24148247128687</v>
      </c>
      <c r="O189" s="148">
        <v>0.22801543381866199</v>
      </c>
    </row>
    <row r="190" spans="2:26" ht="14.45" customHeight="1">
      <c r="C190"/>
      <c r="I190" s="133" t="s">
        <v>69</v>
      </c>
      <c r="J190" s="153">
        <v>28</v>
      </c>
      <c r="K190" s="131">
        <v>34</v>
      </c>
      <c r="M190" s="130" t="s">
        <v>78</v>
      </c>
      <c r="N190" s="152">
        <v>0.32892069274805602</v>
      </c>
      <c r="O190" s="138">
        <v>0.27576822971430998</v>
      </c>
    </row>
    <row r="191" spans="2:26" ht="14.45" customHeight="1">
      <c r="C191"/>
      <c r="D191" s="220" t="s">
        <v>177</v>
      </c>
      <c r="E191" s="220"/>
      <c r="F191" s="220"/>
      <c r="G191" s="220"/>
      <c r="I191" s="133" t="s">
        <v>71</v>
      </c>
      <c r="J191" s="152">
        <v>0.78442723196086395</v>
      </c>
      <c r="K191" s="138">
        <v>0.68115454083153604</v>
      </c>
      <c r="M191" s="130" t="s">
        <v>79</v>
      </c>
      <c r="N191" s="152">
        <v>0.21444917061546601</v>
      </c>
      <c r="O191" s="138">
        <v>0.25014709492911302</v>
      </c>
    </row>
    <row r="192" spans="2:26" ht="15.75" thickBot="1">
      <c r="C192"/>
      <c r="D192" s="220"/>
      <c r="E192" s="220"/>
      <c r="F192" s="220"/>
      <c r="G192" s="220"/>
      <c r="I192" s="5"/>
      <c r="M192" s="130" t="s">
        <v>80</v>
      </c>
      <c r="N192" s="156">
        <v>0.40492528363754399</v>
      </c>
      <c r="O192" s="142">
        <v>0.41982258207547102</v>
      </c>
    </row>
    <row r="193" spans="2:19">
      <c r="C193"/>
      <c r="D193" s="220"/>
      <c r="E193" s="220"/>
      <c r="F193" s="220"/>
      <c r="G193" s="220"/>
      <c r="M193" s="130" t="s">
        <v>89</v>
      </c>
      <c r="N193" s="157">
        <v>1.18597635548308</v>
      </c>
      <c r="O193" s="147">
        <v>1.0734073333684</v>
      </c>
    </row>
    <row r="194" spans="2:19">
      <c r="C194"/>
    </row>
    <row r="195" spans="2:19">
      <c r="C195"/>
    </row>
    <row r="196" spans="2:19">
      <c r="C196"/>
    </row>
    <row r="197" spans="2:19" ht="15.75" thickBot="1">
      <c r="C197"/>
      <c r="I197" s="23" t="s">
        <v>72</v>
      </c>
      <c r="M197" s="23" t="s">
        <v>162</v>
      </c>
      <c r="R197" s="221" t="s">
        <v>110</v>
      </c>
      <c r="S197" s="221"/>
    </row>
    <row r="198" spans="2:19" ht="15.75" thickTop="1">
      <c r="C198"/>
      <c r="I198" s="5"/>
    </row>
    <row r="199" spans="2:19">
      <c r="C199"/>
      <c r="I199" s="5"/>
      <c r="J199" s="134" t="s">
        <v>35</v>
      </c>
      <c r="K199" s="134" t="s">
        <v>3</v>
      </c>
      <c r="N199" s="134" t="s">
        <v>35</v>
      </c>
      <c r="O199" s="134" t="s">
        <v>3</v>
      </c>
      <c r="R199" s="135" t="s">
        <v>35</v>
      </c>
      <c r="S199" s="135" t="s">
        <v>3</v>
      </c>
    </row>
    <row r="200" spans="2:19" ht="15.75" thickBot="1">
      <c r="C200"/>
      <c r="I200" s="5" t="s">
        <v>81</v>
      </c>
      <c r="J200" s="149">
        <v>0.650714519369188</v>
      </c>
      <c r="K200" s="139">
        <v>0.20957112684488899</v>
      </c>
      <c r="M200" s="130" t="s">
        <v>85</v>
      </c>
      <c r="N200" s="154">
        <v>73.569604286892002</v>
      </c>
      <c r="O200" s="146">
        <v>80.231821137356107</v>
      </c>
      <c r="Q200" s="130" t="s">
        <v>94</v>
      </c>
      <c r="R200" s="152">
        <v>0.74539119739051796</v>
      </c>
      <c r="S200" s="138">
        <v>0.65988139274664304</v>
      </c>
    </row>
    <row r="201" spans="2:19">
      <c r="B201" s="165">
        <v>0.05</v>
      </c>
      <c r="C201"/>
      <c r="I201" s="5"/>
      <c r="M201" s="130" t="s">
        <v>73</v>
      </c>
      <c r="N201" s="155">
        <v>1.3053036548502336E-3</v>
      </c>
      <c r="O201" s="148">
        <v>1.7430340014379154E-3</v>
      </c>
      <c r="Q201" s="130" t="s">
        <v>91</v>
      </c>
      <c r="R201" s="152">
        <v>0.117276175666886</v>
      </c>
      <c r="S201" s="138">
        <v>0.20979086423945201</v>
      </c>
    </row>
    <row r="202" spans="2:19">
      <c r="C202"/>
      <c r="I202" s="5"/>
      <c r="J202" s="134" t="s">
        <v>35</v>
      </c>
      <c r="K202" s="134" t="s">
        <v>3</v>
      </c>
      <c r="M202" s="130" t="s">
        <v>74</v>
      </c>
      <c r="N202" s="152">
        <v>4.8845836768342948E-2</v>
      </c>
      <c r="O202" s="138">
        <v>3.6119732758167183E-2</v>
      </c>
      <c r="Q202" s="130" t="s">
        <v>100</v>
      </c>
      <c r="R202" s="152">
        <v>9.5028043041848406E-2</v>
      </c>
      <c r="S202" s="138">
        <v>9.3256726081774002E-2</v>
      </c>
    </row>
    <row r="203" spans="2:19">
      <c r="C203"/>
      <c r="I203" s="133" t="s">
        <v>63</v>
      </c>
      <c r="J203" s="150">
        <v>39.804971603920499</v>
      </c>
      <c r="K203" s="136">
        <v>12.335469455988701</v>
      </c>
      <c r="M203" s="130" t="s">
        <v>75</v>
      </c>
      <c r="N203" s="152">
        <v>0.58436383621874144</v>
      </c>
      <c r="O203" s="138">
        <v>0.5570975152120925</v>
      </c>
      <c r="Q203" s="130" t="s">
        <v>92</v>
      </c>
      <c r="R203" s="152">
        <v>1.5704103435080798E-2</v>
      </c>
      <c r="S203" s="138">
        <v>1.16067876421988E-2</v>
      </c>
    </row>
    <row r="204" spans="2:19" ht="15.75" thickBot="1">
      <c r="I204" s="133" t="s">
        <v>64</v>
      </c>
      <c r="J204" s="150">
        <v>19.333333</v>
      </c>
      <c r="K204" s="136">
        <v>0</v>
      </c>
      <c r="M204" s="130" t="s">
        <v>76</v>
      </c>
      <c r="N204" s="156">
        <v>0.36548502335806538</v>
      </c>
      <c r="O204" s="142">
        <v>0.40503971802830241</v>
      </c>
      <c r="Q204" s="130" t="s">
        <v>90</v>
      </c>
      <c r="R204" s="152">
        <v>3.7995847396313301E-3</v>
      </c>
      <c r="S204" s="138">
        <v>5.25922109453317E-3</v>
      </c>
    </row>
    <row r="205" spans="2:19">
      <c r="I205" s="133" t="s">
        <v>82</v>
      </c>
      <c r="J205" s="151">
        <v>755.54753595310103</v>
      </c>
      <c r="K205" s="137">
        <v>200.56571547980201</v>
      </c>
      <c r="M205" s="130" t="s">
        <v>86</v>
      </c>
      <c r="N205" s="161">
        <v>0.37441604836493497</v>
      </c>
      <c r="O205" s="159">
        <v>0.24926438353762301</v>
      </c>
      <c r="Q205" s="130" t="s">
        <v>97</v>
      </c>
      <c r="R205" s="152">
        <v>1.2449342839616699E-2</v>
      </c>
      <c r="S205" s="138">
        <v>1.0092754105427501E-2</v>
      </c>
    </row>
    <row r="206" spans="2:19" ht="15.75" thickBot="1">
      <c r="I206" s="133" t="s">
        <v>83</v>
      </c>
      <c r="J206" s="151">
        <v>8.5833333333333304</v>
      </c>
      <c r="K206" s="137">
        <v>0</v>
      </c>
      <c r="M206" s="130" t="s">
        <v>87</v>
      </c>
      <c r="N206" s="162">
        <v>1.1551937345424601</v>
      </c>
      <c r="O206" s="160">
        <v>1.04377926245463</v>
      </c>
      <c r="Q206" s="130" t="s">
        <v>96</v>
      </c>
      <c r="R206" s="152">
        <v>4.99635601881427E-3</v>
      </c>
      <c r="S206" s="138">
        <v>3.8486811599400899E-3</v>
      </c>
    </row>
    <row r="207" spans="2:19">
      <c r="I207" s="5"/>
      <c r="M207" s="130" t="s">
        <v>88</v>
      </c>
      <c r="N207" s="163">
        <v>0.47348172574883202</v>
      </c>
      <c r="O207" s="143">
        <v>0.43408560857137801</v>
      </c>
      <c r="Q207" s="130" t="s">
        <v>98</v>
      </c>
      <c r="R207" s="152">
        <v>1.5952010593743999E-4</v>
      </c>
      <c r="S207" s="138">
        <v>2.5343137806965499E-4</v>
      </c>
    </row>
    <row r="208" spans="2:19">
      <c r="I208" s="23" t="s">
        <v>65</v>
      </c>
      <c r="M208" s="130"/>
      <c r="N208" s="14"/>
      <c r="O208" s="14"/>
      <c r="Q208" s="130" t="s">
        <v>93</v>
      </c>
      <c r="R208" s="152">
        <v>2.3557531238471998E-3</v>
      </c>
      <c r="S208" s="138">
        <v>1.7610743935905101E-3</v>
      </c>
    </row>
    <row r="209" spans="2:19">
      <c r="I209" s="5"/>
      <c r="M209" s="23" t="s">
        <v>163</v>
      </c>
      <c r="N209" s="14"/>
      <c r="O209" s="14"/>
      <c r="Q209" s="130" t="s">
        <v>95</v>
      </c>
      <c r="R209" s="152">
        <v>1.82807712643636E-4</v>
      </c>
      <c r="S209" s="138">
        <v>4.2856176557156902E-4</v>
      </c>
    </row>
    <row r="210" spans="2:19">
      <c r="B210" s="166">
        <f>+B201</f>
        <v>0.05</v>
      </c>
      <c r="I210" s="5"/>
      <c r="J210" s="134" t="s">
        <v>35</v>
      </c>
      <c r="K210" s="134" t="s">
        <v>3</v>
      </c>
      <c r="M210" s="130" t="s">
        <v>108</v>
      </c>
      <c r="N210" s="152">
        <v>0.75068700192360538</v>
      </c>
      <c r="O210" s="138">
        <v>0.7577007382467954</v>
      </c>
      <c r="Q210" s="130" t="s">
        <v>99</v>
      </c>
      <c r="R210" s="152">
        <v>1.58461578359886E-3</v>
      </c>
      <c r="S210" s="138">
        <v>2.2723845146257501E-3</v>
      </c>
    </row>
    <row r="211" spans="2:19">
      <c r="B211" s="166">
        <f>1-B210</f>
        <v>0.95</v>
      </c>
      <c r="I211" s="133" t="s">
        <v>66</v>
      </c>
      <c r="J211" s="151">
        <v>2340.4413650728202</v>
      </c>
      <c r="K211" s="137">
        <v>1843.2724165395</v>
      </c>
      <c r="M211" s="130" t="s">
        <v>105</v>
      </c>
      <c r="N211" s="152">
        <v>2.672437482824952E-2</v>
      </c>
      <c r="O211" s="138">
        <v>2.1403896399950901E-2</v>
      </c>
    </row>
    <row r="212" spans="2:19">
      <c r="I212" s="133" t="s">
        <v>67</v>
      </c>
      <c r="J212" s="151">
        <v>1383</v>
      </c>
      <c r="K212" s="137">
        <v>1134.22</v>
      </c>
      <c r="M212" s="130" t="s">
        <v>106</v>
      </c>
      <c r="N212" s="152">
        <v>1.0717230008244023E-2</v>
      </c>
      <c r="O212" s="138">
        <v>9.9146018552615425E-3</v>
      </c>
    </row>
    <row r="213" spans="2:19">
      <c r="I213" s="133"/>
      <c r="J213" s="14"/>
      <c r="K213" s="14"/>
      <c r="M213" s="130" t="s">
        <v>107</v>
      </c>
      <c r="N213" s="152">
        <v>1.4083539433910415E-2</v>
      </c>
      <c r="O213" s="138">
        <v>1.2793939712767636E-2</v>
      </c>
    </row>
    <row r="214" spans="2:19" ht="15.75" thickBot="1">
      <c r="I214" s="133" t="s">
        <v>68</v>
      </c>
      <c r="J214" s="152">
        <v>0.61411101951085501</v>
      </c>
      <c r="K214" s="138">
        <v>0.61768635909306102</v>
      </c>
      <c r="M214" s="130" t="s">
        <v>109</v>
      </c>
      <c r="N214" s="156">
        <v>0.19778785380599065</v>
      </c>
      <c r="O214" s="142">
        <v>0.19818682378522454</v>
      </c>
    </row>
    <row r="215" spans="2:19">
      <c r="I215" s="133" t="s">
        <v>70</v>
      </c>
      <c r="J215" s="153">
        <v>30</v>
      </c>
      <c r="K215" s="131">
        <v>35</v>
      </c>
      <c r="M215" s="130" t="s">
        <v>77</v>
      </c>
      <c r="N215" s="155">
        <v>0.29313330463149101</v>
      </c>
      <c r="O215" s="148">
        <v>0.22801543381866199</v>
      </c>
    </row>
    <row r="216" spans="2:19" ht="18.75">
      <c r="D216" s="167" t="s">
        <v>170</v>
      </c>
      <c r="I216" s="133" t="s">
        <v>69</v>
      </c>
      <c r="J216" s="153">
        <v>29</v>
      </c>
      <c r="K216" s="131">
        <v>34</v>
      </c>
      <c r="M216" s="130" t="s">
        <v>78</v>
      </c>
      <c r="N216" s="152">
        <v>0.35699751570353699</v>
      </c>
      <c r="O216" s="138">
        <v>0.27576822971430998</v>
      </c>
    </row>
    <row r="217" spans="2:19">
      <c r="I217" s="133" t="s">
        <v>71</v>
      </c>
      <c r="J217" s="152">
        <v>0.78936521022258899</v>
      </c>
      <c r="K217" s="138">
        <v>0.68115454083153604</v>
      </c>
      <c r="M217" s="130" t="s">
        <v>79</v>
      </c>
      <c r="N217" s="152">
        <v>0.28703071584634399</v>
      </c>
      <c r="O217" s="138">
        <v>0.25014709492911302</v>
      </c>
    </row>
    <row r="218" spans="2:19" ht="15" customHeight="1" thickBot="1">
      <c r="D218" s="220" t="s">
        <v>178</v>
      </c>
      <c r="E218" s="220"/>
      <c r="F218" s="220"/>
      <c r="G218" s="220"/>
      <c r="I218" s="5"/>
      <c r="M218" s="130" t="s">
        <v>80</v>
      </c>
      <c r="N218" s="156">
        <v>0.40634082011065997</v>
      </c>
      <c r="O218" s="142">
        <v>0.41982258207547102</v>
      </c>
    </row>
    <row r="219" spans="2:19">
      <c r="D219" s="220"/>
      <c r="E219" s="220"/>
      <c r="F219" s="220"/>
      <c r="G219" s="220"/>
      <c r="M219" s="130" t="s">
        <v>89</v>
      </c>
      <c r="N219" s="157">
        <v>1.3272877164056101</v>
      </c>
      <c r="O219" s="147">
        <v>1.0734073333684</v>
      </c>
    </row>
    <row r="220" spans="2:19">
      <c r="D220" s="220"/>
      <c r="E220" s="220"/>
      <c r="F220" s="220"/>
      <c r="G220" s="220"/>
    </row>
  </sheetData>
  <sortState ref="V16:X20">
    <sortCondition ref="V16:V20"/>
  </sortState>
  <mergeCells count="17">
    <mergeCell ref="R116:S116"/>
    <mergeCell ref="R143:S143"/>
    <mergeCell ref="D110:G112"/>
    <mergeCell ref="D26:G28"/>
    <mergeCell ref="D53:G55"/>
    <mergeCell ref="D82:G84"/>
    <mergeCell ref="D137:G139"/>
    <mergeCell ref="B3:F3"/>
    <mergeCell ref="R6:S6"/>
    <mergeCell ref="R33:S33"/>
    <mergeCell ref="R62:S62"/>
    <mergeCell ref="R89:S89"/>
    <mergeCell ref="D164:G166"/>
    <mergeCell ref="D191:G193"/>
    <mergeCell ref="D218:G220"/>
    <mergeCell ref="R171:S171"/>
    <mergeCell ref="R197:S197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04"/>
  <sheetViews>
    <sheetView showGridLines="0" workbookViewId="0">
      <selection activeCell="Z47" sqref="Z47"/>
    </sheetView>
  </sheetViews>
  <sheetFormatPr baseColWidth="10" defaultRowHeight="15"/>
  <cols>
    <col min="1" max="1" width="4.28515625" customWidth="1"/>
    <col min="2" max="2" width="5.5703125" customWidth="1"/>
    <col min="3" max="22" width="4" style="1" customWidth="1"/>
    <col min="24" max="24" width="5" customWidth="1"/>
    <col min="25" max="25" width="3.7109375" customWidth="1"/>
    <col min="26" max="26" width="22.7109375" customWidth="1"/>
  </cols>
  <sheetData>
    <row r="1" spans="2:28" ht="10.15" customHeight="1">
      <c r="C1"/>
    </row>
    <row r="2" spans="2:28" ht="10.15" customHeight="1">
      <c r="C2"/>
    </row>
    <row r="3" spans="2:28" ht="26.45" customHeight="1" thickBot="1">
      <c r="B3" s="187" t="s">
        <v>111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</row>
    <row r="4" spans="2:28" ht="10.15" customHeight="1">
      <c r="C4"/>
    </row>
    <row r="5" spans="2:28" ht="10.15" customHeight="1">
      <c r="C5"/>
    </row>
    <row r="6" spans="2:28" ht="10.15" customHeight="1">
      <c r="C6"/>
    </row>
    <row r="7" spans="2:28" ht="10.15" customHeight="1">
      <c r="C7"/>
    </row>
    <row r="8" spans="2:28" ht="10.15" customHeight="1">
      <c r="C8"/>
    </row>
    <row r="9" spans="2:28">
      <c r="B9" s="9" t="s">
        <v>61</v>
      </c>
      <c r="C9" s="18">
        <v>19</v>
      </c>
    </row>
    <row r="11" spans="2:28" hidden="1">
      <c r="B11" s="9" t="s">
        <v>9</v>
      </c>
      <c r="C11" s="9" t="s">
        <v>62</v>
      </c>
      <c r="V11"/>
    </row>
    <row r="12" spans="2:28" hidden="1">
      <c r="B12" s="9" t="s">
        <v>51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>
        <v>10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 t="s">
        <v>52</v>
      </c>
      <c r="V12"/>
      <c r="AB12" s="5"/>
    </row>
    <row r="13" spans="2:28" hidden="1">
      <c r="B13" s="6">
        <v>1</v>
      </c>
      <c r="C13" s="129">
        <v>0</v>
      </c>
      <c r="D13" s="129">
        <v>0.13997113997113997</v>
      </c>
      <c r="E13" s="129">
        <v>0.52386363636363631</v>
      </c>
      <c r="F13" s="129">
        <v>0.30320699708454812</v>
      </c>
      <c r="G13" s="129">
        <v>0.40729483282674772</v>
      </c>
      <c r="H13" s="129">
        <v>0.43870967741935485</v>
      </c>
      <c r="I13" s="129">
        <v>0.48181818181818181</v>
      </c>
      <c r="J13" s="129">
        <v>0.38095238095238093</v>
      </c>
      <c r="K13" s="129">
        <v>0.5178571428571429</v>
      </c>
      <c r="L13" s="129">
        <v>0.29545454545454547</v>
      </c>
      <c r="M13" s="129">
        <v>0.33333333333333331</v>
      </c>
      <c r="N13" s="129">
        <v>0.30769230769230771</v>
      </c>
      <c r="O13" s="129">
        <v>7.6923076923076927E-2</v>
      </c>
      <c r="P13" s="129">
        <v>0.17647058823529413</v>
      </c>
      <c r="Q13" s="129">
        <v>6.6666666666666666E-2</v>
      </c>
      <c r="R13" s="129">
        <v>4.7619047619047616E-2</v>
      </c>
      <c r="S13" s="129">
        <v>0</v>
      </c>
      <c r="T13" s="129">
        <v>0</v>
      </c>
      <c r="U13" s="129">
        <v>0.32031917925334852</v>
      </c>
      <c r="V13"/>
      <c r="AB13" s="5"/>
    </row>
    <row r="14" spans="2:28" hidden="1">
      <c r="B14" s="6">
        <v>2</v>
      </c>
      <c r="C14" s="129">
        <v>0</v>
      </c>
      <c r="D14" s="129">
        <v>0</v>
      </c>
      <c r="E14" s="129">
        <v>0</v>
      </c>
      <c r="F14" s="129">
        <v>0</v>
      </c>
      <c r="G14" s="129">
        <v>0</v>
      </c>
      <c r="H14" s="129">
        <v>2.5806451612903226E-2</v>
      </c>
      <c r="I14" s="129">
        <v>0.1</v>
      </c>
      <c r="J14" s="129">
        <v>0.10714285714285714</v>
      </c>
      <c r="K14" s="129">
        <v>7.1428571428571425E-2</v>
      </c>
      <c r="L14" s="129">
        <v>0.22727272727272727</v>
      </c>
      <c r="M14" s="129">
        <v>0.33333333333333331</v>
      </c>
      <c r="N14" s="129">
        <v>0.35897435897435898</v>
      </c>
      <c r="O14" s="129">
        <v>0.23076923076923078</v>
      </c>
      <c r="P14" s="129">
        <v>0.47058823529411764</v>
      </c>
      <c r="Q14" s="129">
        <v>0.36666666666666664</v>
      </c>
      <c r="R14" s="129">
        <v>0.19047619047619047</v>
      </c>
      <c r="S14" s="129">
        <v>0.1875</v>
      </c>
      <c r="T14" s="129">
        <v>1.0791366906474821E-2</v>
      </c>
      <c r="U14" s="129">
        <v>2.7358221715588486E-2</v>
      </c>
      <c r="V14"/>
      <c r="AB14" s="5"/>
    </row>
    <row r="15" spans="2:28" hidden="1">
      <c r="B15" s="6">
        <v>3</v>
      </c>
      <c r="C15" s="129">
        <v>0</v>
      </c>
      <c r="D15" s="129">
        <v>0</v>
      </c>
      <c r="E15" s="129">
        <v>0</v>
      </c>
      <c r="F15" s="129">
        <v>1.020408163265306E-2</v>
      </c>
      <c r="G15" s="129">
        <v>4.8632218844984802E-2</v>
      </c>
      <c r="H15" s="129">
        <v>0.16129032258064516</v>
      </c>
      <c r="I15" s="129">
        <v>0.10909090909090909</v>
      </c>
      <c r="J15" s="129">
        <v>5.9523809523809521E-2</v>
      </c>
      <c r="K15" s="129">
        <v>0.125</v>
      </c>
      <c r="L15" s="129">
        <v>0.18181818181818182</v>
      </c>
      <c r="M15" s="129">
        <v>0.1111111111111111</v>
      </c>
      <c r="N15" s="129">
        <v>0.10256410256410256</v>
      </c>
      <c r="O15" s="129">
        <v>0.11538461538461539</v>
      </c>
      <c r="P15" s="129">
        <v>0.17647058823529413</v>
      </c>
      <c r="Q15" s="129">
        <v>0.26666666666666666</v>
      </c>
      <c r="R15" s="129">
        <v>0.14285714285714285</v>
      </c>
      <c r="S15" s="129">
        <v>0.25</v>
      </c>
      <c r="T15" s="129">
        <v>7.1942446043165464E-2</v>
      </c>
      <c r="U15" s="129">
        <v>3.6477628954117984E-2</v>
      </c>
      <c r="V15"/>
      <c r="AB15" s="5"/>
    </row>
    <row r="16" spans="2:28" hidden="1">
      <c r="B16" s="6">
        <v>4</v>
      </c>
      <c r="C16" s="129">
        <v>0</v>
      </c>
      <c r="D16" s="129">
        <v>7.792207792207792E-2</v>
      </c>
      <c r="E16" s="129">
        <v>8.9772727272727268E-2</v>
      </c>
      <c r="F16" s="129">
        <v>0.17930029154518951</v>
      </c>
      <c r="G16" s="129">
        <v>0.32522796352583588</v>
      </c>
      <c r="H16" s="129">
        <v>9.6774193548387094E-2</v>
      </c>
      <c r="I16" s="129">
        <v>9.0909090909090912E-2</v>
      </c>
      <c r="J16" s="129">
        <v>8.3333333333333329E-2</v>
      </c>
      <c r="K16" s="129">
        <v>3.5714285714285712E-2</v>
      </c>
      <c r="L16" s="129">
        <v>2.2727272727272728E-2</v>
      </c>
      <c r="M16" s="129">
        <v>0.1111111111111111</v>
      </c>
      <c r="N16" s="129">
        <v>2.564102564102564E-2</v>
      </c>
      <c r="O16" s="129">
        <v>7.6923076923076927E-2</v>
      </c>
      <c r="P16" s="129">
        <v>0</v>
      </c>
      <c r="Q16" s="129">
        <v>3.3333333333333333E-2</v>
      </c>
      <c r="R16" s="129">
        <v>0</v>
      </c>
      <c r="S16" s="129">
        <v>0</v>
      </c>
      <c r="T16" s="129">
        <v>1.7985611510791366E-2</v>
      </c>
      <c r="U16" s="129">
        <v>0.11684240524365916</v>
      </c>
      <c r="V16"/>
      <c r="AB16" s="5"/>
    </row>
    <row r="17" spans="2:27" hidden="1">
      <c r="B17" s="6">
        <v>5</v>
      </c>
      <c r="C17" s="129">
        <v>1</v>
      </c>
      <c r="D17" s="129">
        <v>0.78210678210678208</v>
      </c>
      <c r="E17" s="129">
        <v>0.38636363636363635</v>
      </c>
      <c r="F17" s="129">
        <v>0.50728862973760935</v>
      </c>
      <c r="G17" s="129">
        <v>0.21884498480243161</v>
      </c>
      <c r="H17" s="129">
        <v>0.27741935483870966</v>
      </c>
      <c r="I17" s="129">
        <v>0.21818181818181817</v>
      </c>
      <c r="J17" s="129">
        <v>0.36904761904761907</v>
      </c>
      <c r="K17" s="129">
        <v>0.25</v>
      </c>
      <c r="L17" s="129">
        <v>0.27272727272727271</v>
      </c>
      <c r="M17" s="129">
        <v>0.1111111111111111</v>
      </c>
      <c r="N17" s="129">
        <v>0.20512820512820512</v>
      </c>
      <c r="O17" s="129">
        <v>0.26923076923076922</v>
      </c>
      <c r="P17" s="129">
        <v>0.17647058823529413</v>
      </c>
      <c r="Q17" s="129">
        <v>0.1</v>
      </c>
      <c r="R17" s="129">
        <v>0</v>
      </c>
      <c r="S17" s="129">
        <v>0.1875</v>
      </c>
      <c r="T17" s="129">
        <v>2.1582733812949641E-2</v>
      </c>
      <c r="U17" s="129">
        <v>0.42091764035337703</v>
      </c>
      <c r="V17"/>
      <c r="X17" s="129"/>
      <c r="Y17" s="129"/>
      <c r="Z17" s="129"/>
      <c r="AA17" s="129"/>
    </row>
    <row r="18" spans="2:27" hidden="1">
      <c r="B18" s="6">
        <v>6</v>
      </c>
      <c r="C18" s="129">
        <v>0</v>
      </c>
      <c r="D18" s="129">
        <v>0</v>
      </c>
      <c r="E18" s="129">
        <v>0</v>
      </c>
      <c r="F18" s="129">
        <v>0</v>
      </c>
      <c r="G18" s="129">
        <v>0</v>
      </c>
      <c r="H18" s="129">
        <v>0</v>
      </c>
      <c r="I18" s="129">
        <v>0</v>
      </c>
      <c r="J18" s="129">
        <v>0</v>
      </c>
      <c r="K18" s="129">
        <v>0</v>
      </c>
      <c r="L18" s="129">
        <v>0</v>
      </c>
      <c r="M18" s="129">
        <v>0</v>
      </c>
      <c r="N18" s="129">
        <v>0</v>
      </c>
      <c r="O18" s="129">
        <v>0.23076923076923078</v>
      </c>
      <c r="P18" s="129">
        <v>0</v>
      </c>
      <c r="Q18" s="129">
        <v>0.16666666666666666</v>
      </c>
      <c r="R18" s="129">
        <v>0.5714285714285714</v>
      </c>
      <c r="S18" s="129">
        <v>0.375</v>
      </c>
      <c r="T18" s="129">
        <v>0.73741007194244601</v>
      </c>
      <c r="U18" s="129">
        <v>6.6685665431746935E-2</v>
      </c>
      <c r="V18"/>
      <c r="X18" s="129"/>
      <c r="Y18" s="129"/>
    </row>
    <row r="19" spans="2:27" hidden="1">
      <c r="B19" s="6">
        <v>7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  <c r="N19" s="129">
        <v>0</v>
      </c>
      <c r="O19" s="129">
        <v>0</v>
      </c>
      <c r="P19" s="129">
        <v>0</v>
      </c>
      <c r="Q19" s="129">
        <v>0</v>
      </c>
      <c r="R19" s="129">
        <v>0</v>
      </c>
      <c r="S19" s="129">
        <v>0</v>
      </c>
      <c r="T19" s="129">
        <v>3.9568345323741004E-2</v>
      </c>
      <c r="U19" s="129">
        <v>3.134796238244514E-3</v>
      </c>
      <c r="V19"/>
    </row>
    <row r="20" spans="2:27" hidden="1">
      <c r="B20" s="6">
        <v>8</v>
      </c>
      <c r="C20" s="129">
        <v>0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29">
        <v>0</v>
      </c>
      <c r="N20" s="129">
        <v>0</v>
      </c>
      <c r="O20" s="129">
        <v>0</v>
      </c>
      <c r="P20" s="129">
        <v>0</v>
      </c>
      <c r="Q20" s="129">
        <v>0</v>
      </c>
      <c r="R20" s="129">
        <v>4.7619047619047616E-2</v>
      </c>
      <c r="S20" s="129">
        <v>0</v>
      </c>
      <c r="T20" s="129">
        <v>0.10071942446043165</v>
      </c>
      <c r="U20" s="129">
        <v>8.2644628099173556E-3</v>
      </c>
      <c r="V20"/>
    </row>
    <row r="21" spans="2:27" hidden="1">
      <c r="B21" s="6" t="s">
        <v>52</v>
      </c>
      <c r="C21" s="129">
        <v>1</v>
      </c>
      <c r="D21" s="129">
        <v>1</v>
      </c>
      <c r="E21" s="129">
        <v>1</v>
      </c>
      <c r="F21" s="129">
        <v>1</v>
      </c>
      <c r="G21" s="129">
        <v>1</v>
      </c>
      <c r="H21" s="129">
        <v>1</v>
      </c>
      <c r="I21" s="129">
        <v>1</v>
      </c>
      <c r="J21" s="129">
        <v>1</v>
      </c>
      <c r="K21" s="129">
        <v>1</v>
      </c>
      <c r="L21" s="129">
        <v>1</v>
      </c>
      <c r="M21" s="129">
        <v>1</v>
      </c>
      <c r="N21" s="129">
        <v>1</v>
      </c>
      <c r="O21" s="129">
        <v>1</v>
      </c>
      <c r="P21" s="129">
        <v>1</v>
      </c>
      <c r="Q21" s="129">
        <v>1</v>
      </c>
      <c r="R21" s="129">
        <v>1</v>
      </c>
      <c r="S21" s="129">
        <v>1</v>
      </c>
      <c r="T21" s="129">
        <v>1</v>
      </c>
      <c r="U21" s="129">
        <v>1</v>
      </c>
      <c r="V21"/>
    </row>
    <row r="22" spans="2:27" hidden="1">
      <c r="B22" s="6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</row>
    <row r="23" spans="2:27" hidden="1">
      <c r="B23" s="6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</row>
    <row r="24" spans="2:27" hidden="1">
      <c r="C24" s="1">
        <v>21</v>
      </c>
      <c r="D24" s="1">
        <v>20</v>
      </c>
      <c r="E24" s="1">
        <v>19</v>
      </c>
      <c r="F24" s="1">
        <v>18</v>
      </c>
      <c r="G24" s="1">
        <v>17</v>
      </c>
      <c r="H24" s="1">
        <v>16</v>
      </c>
      <c r="I24" s="1">
        <v>15</v>
      </c>
      <c r="J24" s="1">
        <v>14</v>
      </c>
      <c r="K24" s="1">
        <v>13</v>
      </c>
      <c r="L24" s="1">
        <v>12</v>
      </c>
      <c r="M24" s="1">
        <v>11</v>
      </c>
      <c r="N24" s="1">
        <v>10</v>
      </c>
      <c r="O24" s="1">
        <v>9</v>
      </c>
      <c r="P24" s="1">
        <v>8</v>
      </c>
      <c r="Q24" s="1">
        <v>7</v>
      </c>
      <c r="R24" s="1">
        <v>6</v>
      </c>
      <c r="S24" s="1">
        <v>5</v>
      </c>
      <c r="T24" s="1">
        <v>4</v>
      </c>
      <c r="U24" s="1">
        <v>3</v>
      </c>
      <c r="V24" s="1">
        <v>2</v>
      </c>
    </row>
    <row r="25" spans="2:27" hidden="1">
      <c r="C25" s="1">
        <v>1</v>
      </c>
      <c r="D25" s="1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1">
        <v>8</v>
      </c>
      <c r="K25" s="1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1">
        <v>15</v>
      </c>
      <c r="R25" s="1">
        <v>16</v>
      </c>
      <c r="S25" s="1">
        <v>17</v>
      </c>
      <c r="T25" s="1">
        <v>18</v>
      </c>
      <c r="U25" s="1">
        <v>19</v>
      </c>
      <c r="V25" s="1">
        <v>20</v>
      </c>
    </row>
    <row r="26" spans="2:27" hidden="1">
      <c r="B26" s="1">
        <v>1</v>
      </c>
      <c r="C26" s="114">
        <f>+IF($C$25=1,IFERROR(VLOOKUP($B26,$B$13:$V$20,2,0),""))</f>
        <v>0</v>
      </c>
      <c r="D26" s="114">
        <f>+IF($D$25=2,IFERROR(VLOOKUP($B26,$B$13:$V$20,3,0),""))</f>
        <v>0.13997113997113997</v>
      </c>
      <c r="E26" s="114">
        <f>+IF($E$25=3,IFERROR(VLOOKUP($B26,$B$13:$V$20,4,0),""))</f>
        <v>0.52386363636363631</v>
      </c>
      <c r="F26" s="114">
        <f>+IF($F$25=4,IFERROR(VLOOKUP($B26,$B$13:$V$20,5,0),""))</f>
        <v>0.30320699708454812</v>
      </c>
      <c r="G26" s="114">
        <f>+IF($G$25=5,IFERROR(VLOOKUP($B26,$B$13:$V$20,6,0),""))</f>
        <v>0.40729483282674772</v>
      </c>
      <c r="H26" s="114">
        <f>+IF($H$25=6,IFERROR(VLOOKUP($B26,$B$13:$V$20,7,0),""))</f>
        <v>0.43870967741935485</v>
      </c>
      <c r="I26" s="114">
        <f>+IF($I$25=7,IFERROR(VLOOKUP($B26,$B$13:$V$20,8,0),""))</f>
        <v>0.48181818181818181</v>
      </c>
      <c r="J26" s="114">
        <f>+IF($J$25=8,IFERROR(VLOOKUP($B26,$B$13:$V$20,9,0),""))</f>
        <v>0.38095238095238093</v>
      </c>
      <c r="K26" s="114">
        <f>+IF($K$25=9,IFERROR(VLOOKUP($B26,$B$13:$V$20,10,0),""))</f>
        <v>0.5178571428571429</v>
      </c>
      <c r="L26" s="114">
        <f>+IF($L$25=10,IFERROR(VLOOKUP($B26,$B$13:$V$20,11,0),""))</f>
        <v>0.29545454545454547</v>
      </c>
      <c r="M26" s="114">
        <f>+IF($M$25=11,IFERROR(VLOOKUP($B26,$B$13:$V$20,12,0),""))</f>
        <v>0.33333333333333331</v>
      </c>
      <c r="N26" s="114">
        <f>+IF($N$25=12,IFERROR(VLOOKUP($B26,$B$13:$V$20,13,0),""))</f>
        <v>0.30769230769230771</v>
      </c>
      <c r="O26" s="114">
        <f>+IF($O$25=13,IFERROR(VLOOKUP($B26,$B$13:$V$20,14,0),""))</f>
        <v>7.6923076923076927E-2</v>
      </c>
      <c r="P26" s="114">
        <f>+IF($P$25=14,IFERROR(VLOOKUP($B26,$B$13:$V$20,15,0),""))</f>
        <v>0.17647058823529413</v>
      </c>
      <c r="Q26" s="114">
        <f>+IF($Q$25=15,IFERROR(VLOOKUP($B26,$B$13:$V$20,16,0),""))</f>
        <v>6.6666666666666666E-2</v>
      </c>
      <c r="R26" s="114">
        <f>+IF($R$25=16,IFERROR(VLOOKUP($B26,$B$13:$V$20,17,0),""))</f>
        <v>4.7619047619047616E-2</v>
      </c>
      <c r="S26" s="114">
        <f>+IF($S$25=17,IFERROR(VLOOKUP($B26,$B$13:$V$20,18,0),""))</f>
        <v>0</v>
      </c>
      <c r="T26" s="114">
        <f>+IF($T$25=18,IFERROR(VLOOKUP($B26,$B$13:$V$20,19,0),""))</f>
        <v>0</v>
      </c>
      <c r="U26" s="114">
        <f>+IF($U$25=19,IFERROR(VLOOKUP($B26,$B$13:$V$20,20,0),""))</f>
        <v>0.32031917925334852</v>
      </c>
      <c r="V26" s="114">
        <f>+IF($V$25=20,IFERROR(VLOOKUP($B26,$B$13:$V$20,21,0),""))</f>
        <v>0</v>
      </c>
      <c r="W26" s="1">
        <f>+B26</f>
        <v>1</v>
      </c>
    </row>
    <row r="27" spans="2:27" hidden="1">
      <c r="B27" s="1">
        <v>2</v>
      </c>
      <c r="C27" s="114">
        <f t="shared" ref="C27:C32" si="0">+IF($C$25=1,IFERROR(VLOOKUP($B27,$B$13:$V$20,2,0),""))</f>
        <v>0</v>
      </c>
      <c r="D27" s="114">
        <f t="shared" ref="D27:D33" si="1">+IF($D$25=2,IFERROR(VLOOKUP($B27,$B$13:$V$20,3,0),""))</f>
        <v>0</v>
      </c>
      <c r="E27" s="114">
        <f t="shared" ref="E27:E33" si="2">+IF($E$25=3,IFERROR(VLOOKUP($B27,$B$13:$V$20,4,0),""))</f>
        <v>0</v>
      </c>
      <c r="F27" s="114">
        <f t="shared" ref="F27:F33" si="3">+IF($F$25=4,IFERROR(VLOOKUP($B27,$B$13:$V$20,5,0),""))</f>
        <v>0</v>
      </c>
      <c r="G27" s="114">
        <f t="shared" ref="G27:G33" si="4">+IF($G$25=5,IFERROR(VLOOKUP($B27,$B$13:$V$20,6,0),""))</f>
        <v>0</v>
      </c>
      <c r="H27" s="114">
        <f t="shared" ref="H27:H33" si="5">+IF($H$25=6,IFERROR(VLOOKUP($B27,$B$13:$V$20,7,0),""))</f>
        <v>2.5806451612903226E-2</v>
      </c>
      <c r="I27" s="114">
        <f t="shared" ref="I27:I33" si="6">+IF($I$25=7,IFERROR(VLOOKUP($B27,$B$13:$V$20,8,0),""))</f>
        <v>0.1</v>
      </c>
      <c r="J27" s="114">
        <f t="shared" ref="J27:J33" si="7">+IF($J$25=8,IFERROR(VLOOKUP($B27,$B$13:$V$20,9,0),""))</f>
        <v>0.10714285714285714</v>
      </c>
      <c r="K27" s="114">
        <f t="shared" ref="K27:K33" si="8">+IF($K$25=9,IFERROR(VLOOKUP($B27,$B$13:$V$20,10,0),""))</f>
        <v>7.1428571428571425E-2</v>
      </c>
      <c r="L27" s="114">
        <f t="shared" ref="L27:L33" si="9">+IF($L$25=10,IFERROR(VLOOKUP($B27,$B$13:$V$20,11,0),""))</f>
        <v>0.22727272727272727</v>
      </c>
      <c r="M27" s="114">
        <f t="shared" ref="M27:M33" si="10">+IF($M$25=11,IFERROR(VLOOKUP($B27,$B$13:$V$20,12,0),""))</f>
        <v>0.33333333333333331</v>
      </c>
      <c r="N27" s="114">
        <f t="shared" ref="N27:N33" si="11">+IF($N$25=12,IFERROR(VLOOKUP($B27,$B$13:$V$20,13,0),""))</f>
        <v>0.35897435897435898</v>
      </c>
      <c r="O27" s="114">
        <f t="shared" ref="O27:O33" si="12">+IF($O$25=13,IFERROR(VLOOKUP($B27,$B$13:$V$20,14,0),""))</f>
        <v>0.23076923076923078</v>
      </c>
      <c r="P27" s="114">
        <f t="shared" ref="P27:P33" si="13">+IF($P$25=14,IFERROR(VLOOKUP($B27,$B$13:$V$20,15,0),""))</f>
        <v>0.47058823529411764</v>
      </c>
      <c r="Q27" s="114">
        <f t="shared" ref="Q27:Q33" si="14">+IF($Q$25=15,IFERROR(VLOOKUP($B27,$B$13:$V$20,16,0),""))</f>
        <v>0.36666666666666664</v>
      </c>
      <c r="R27" s="114">
        <f t="shared" ref="R27:R33" si="15">+IF($R$25=16,IFERROR(VLOOKUP($B27,$B$13:$V$20,17,0),""))</f>
        <v>0.19047619047619047</v>
      </c>
      <c r="S27" s="114">
        <f t="shared" ref="S27:S33" si="16">+IF($S$25=17,IFERROR(VLOOKUP($B27,$B$13:$V$20,18,0),""))</f>
        <v>0.1875</v>
      </c>
      <c r="T27" s="114">
        <f t="shared" ref="T27:T33" si="17">+IF($T$25=18,IFERROR(VLOOKUP($B27,$B$13:$V$20,19,0),""))</f>
        <v>1.0791366906474821E-2</v>
      </c>
      <c r="U27" s="114">
        <f t="shared" ref="U27:U33" si="18">+IF($U$25=19,IFERROR(VLOOKUP($B27,$B$13:$V$20,20,0),""))</f>
        <v>2.7358221715588486E-2</v>
      </c>
      <c r="V27" s="114">
        <f t="shared" ref="V27:V33" si="19">+IF($V$25=20,IFERROR(VLOOKUP($B27,$B$13:$V$20,21,0),""))</f>
        <v>0</v>
      </c>
      <c r="W27" s="1">
        <f t="shared" ref="W27:W33" si="20">+B27</f>
        <v>2</v>
      </c>
    </row>
    <row r="28" spans="2:27" hidden="1">
      <c r="B28" s="1">
        <v>3</v>
      </c>
      <c r="C28" s="114">
        <f t="shared" si="0"/>
        <v>0</v>
      </c>
      <c r="D28" s="114">
        <f t="shared" si="1"/>
        <v>0</v>
      </c>
      <c r="E28" s="114">
        <f t="shared" si="2"/>
        <v>0</v>
      </c>
      <c r="F28" s="114">
        <f t="shared" si="3"/>
        <v>1.020408163265306E-2</v>
      </c>
      <c r="G28" s="114">
        <f t="shared" si="4"/>
        <v>4.8632218844984802E-2</v>
      </c>
      <c r="H28" s="114">
        <f t="shared" si="5"/>
        <v>0.16129032258064516</v>
      </c>
      <c r="I28" s="114">
        <f t="shared" si="6"/>
        <v>0.10909090909090909</v>
      </c>
      <c r="J28" s="114">
        <f t="shared" si="7"/>
        <v>5.9523809523809521E-2</v>
      </c>
      <c r="K28" s="114">
        <f t="shared" si="8"/>
        <v>0.125</v>
      </c>
      <c r="L28" s="114">
        <f t="shared" si="9"/>
        <v>0.18181818181818182</v>
      </c>
      <c r="M28" s="114">
        <f t="shared" si="10"/>
        <v>0.1111111111111111</v>
      </c>
      <c r="N28" s="114">
        <f t="shared" si="11"/>
        <v>0.10256410256410256</v>
      </c>
      <c r="O28" s="114">
        <f t="shared" si="12"/>
        <v>0.11538461538461539</v>
      </c>
      <c r="P28" s="114">
        <f t="shared" si="13"/>
        <v>0.17647058823529413</v>
      </c>
      <c r="Q28" s="114">
        <f t="shared" si="14"/>
        <v>0.26666666666666666</v>
      </c>
      <c r="R28" s="114">
        <f t="shared" si="15"/>
        <v>0.14285714285714285</v>
      </c>
      <c r="S28" s="114">
        <f t="shared" si="16"/>
        <v>0.25</v>
      </c>
      <c r="T28" s="114">
        <f t="shared" si="17"/>
        <v>7.1942446043165464E-2</v>
      </c>
      <c r="U28" s="114">
        <f t="shared" si="18"/>
        <v>3.6477628954117984E-2</v>
      </c>
      <c r="V28" s="114">
        <f t="shared" si="19"/>
        <v>0</v>
      </c>
      <c r="W28" s="1">
        <f t="shared" si="20"/>
        <v>3</v>
      </c>
    </row>
    <row r="29" spans="2:27" hidden="1">
      <c r="B29" s="1">
        <v>4</v>
      </c>
      <c r="C29" s="114">
        <f t="shared" si="0"/>
        <v>0</v>
      </c>
      <c r="D29" s="114">
        <f t="shared" si="1"/>
        <v>7.792207792207792E-2</v>
      </c>
      <c r="E29" s="114">
        <f t="shared" si="2"/>
        <v>8.9772727272727268E-2</v>
      </c>
      <c r="F29" s="114">
        <f t="shared" si="3"/>
        <v>0.17930029154518951</v>
      </c>
      <c r="G29" s="114">
        <f t="shared" si="4"/>
        <v>0.32522796352583588</v>
      </c>
      <c r="H29" s="114">
        <f t="shared" si="5"/>
        <v>9.6774193548387094E-2</v>
      </c>
      <c r="I29" s="114">
        <f t="shared" si="6"/>
        <v>9.0909090909090912E-2</v>
      </c>
      <c r="J29" s="114">
        <f t="shared" si="7"/>
        <v>8.3333333333333329E-2</v>
      </c>
      <c r="K29" s="114">
        <f t="shared" si="8"/>
        <v>3.5714285714285712E-2</v>
      </c>
      <c r="L29" s="114">
        <f t="shared" si="9"/>
        <v>2.2727272727272728E-2</v>
      </c>
      <c r="M29" s="114">
        <f t="shared" si="10"/>
        <v>0.1111111111111111</v>
      </c>
      <c r="N29" s="114">
        <f t="shared" si="11"/>
        <v>2.564102564102564E-2</v>
      </c>
      <c r="O29" s="114">
        <f t="shared" si="12"/>
        <v>7.6923076923076927E-2</v>
      </c>
      <c r="P29" s="114">
        <f t="shared" si="13"/>
        <v>0</v>
      </c>
      <c r="Q29" s="114">
        <f t="shared" si="14"/>
        <v>3.3333333333333333E-2</v>
      </c>
      <c r="R29" s="114">
        <f t="shared" si="15"/>
        <v>0</v>
      </c>
      <c r="S29" s="114">
        <f t="shared" si="16"/>
        <v>0</v>
      </c>
      <c r="T29" s="114">
        <f t="shared" si="17"/>
        <v>1.7985611510791366E-2</v>
      </c>
      <c r="U29" s="114">
        <f t="shared" si="18"/>
        <v>0.11684240524365916</v>
      </c>
      <c r="V29" s="114">
        <f t="shared" si="19"/>
        <v>0</v>
      </c>
      <c r="W29" s="1">
        <f t="shared" si="20"/>
        <v>4</v>
      </c>
    </row>
    <row r="30" spans="2:27" hidden="1">
      <c r="B30" s="1">
        <v>5</v>
      </c>
      <c r="C30" s="114">
        <f t="shared" si="0"/>
        <v>1</v>
      </c>
      <c r="D30" s="114">
        <f t="shared" si="1"/>
        <v>0.78210678210678208</v>
      </c>
      <c r="E30" s="114">
        <f t="shared" si="2"/>
        <v>0.38636363636363635</v>
      </c>
      <c r="F30" s="114">
        <f t="shared" si="3"/>
        <v>0.50728862973760935</v>
      </c>
      <c r="G30" s="114">
        <f t="shared" si="4"/>
        <v>0.21884498480243161</v>
      </c>
      <c r="H30" s="114">
        <f t="shared" si="5"/>
        <v>0.27741935483870966</v>
      </c>
      <c r="I30" s="114">
        <f t="shared" si="6"/>
        <v>0.21818181818181817</v>
      </c>
      <c r="J30" s="114">
        <f t="shared" si="7"/>
        <v>0.36904761904761907</v>
      </c>
      <c r="K30" s="114">
        <f t="shared" si="8"/>
        <v>0.25</v>
      </c>
      <c r="L30" s="114">
        <f t="shared" si="9"/>
        <v>0.27272727272727271</v>
      </c>
      <c r="M30" s="114">
        <f t="shared" si="10"/>
        <v>0.1111111111111111</v>
      </c>
      <c r="N30" s="114">
        <f t="shared" si="11"/>
        <v>0.20512820512820512</v>
      </c>
      <c r="O30" s="114">
        <f t="shared" si="12"/>
        <v>0.26923076923076922</v>
      </c>
      <c r="P30" s="114">
        <f t="shared" si="13"/>
        <v>0.17647058823529413</v>
      </c>
      <c r="Q30" s="114">
        <f t="shared" si="14"/>
        <v>0.1</v>
      </c>
      <c r="R30" s="114">
        <f t="shared" si="15"/>
        <v>0</v>
      </c>
      <c r="S30" s="114">
        <f t="shared" si="16"/>
        <v>0.1875</v>
      </c>
      <c r="T30" s="114">
        <f t="shared" si="17"/>
        <v>2.1582733812949641E-2</v>
      </c>
      <c r="U30" s="114">
        <f t="shared" si="18"/>
        <v>0.42091764035337703</v>
      </c>
      <c r="V30" s="114">
        <f t="shared" si="19"/>
        <v>0</v>
      </c>
      <c r="W30" s="1">
        <f t="shared" si="20"/>
        <v>5</v>
      </c>
    </row>
    <row r="31" spans="2:27" hidden="1">
      <c r="B31" s="1">
        <v>6</v>
      </c>
      <c r="C31" s="114">
        <f t="shared" si="0"/>
        <v>0</v>
      </c>
      <c r="D31" s="114">
        <f t="shared" si="1"/>
        <v>0</v>
      </c>
      <c r="E31" s="114">
        <f t="shared" si="2"/>
        <v>0</v>
      </c>
      <c r="F31" s="114">
        <f t="shared" si="3"/>
        <v>0</v>
      </c>
      <c r="G31" s="114">
        <f t="shared" si="4"/>
        <v>0</v>
      </c>
      <c r="H31" s="114">
        <f t="shared" si="5"/>
        <v>0</v>
      </c>
      <c r="I31" s="114">
        <f t="shared" si="6"/>
        <v>0</v>
      </c>
      <c r="J31" s="114">
        <f t="shared" si="7"/>
        <v>0</v>
      </c>
      <c r="K31" s="114">
        <f t="shared" si="8"/>
        <v>0</v>
      </c>
      <c r="L31" s="114">
        <f t="shared" si="9"/>
        <v>0</v>
      </c>
      <c r="M31" s="114">
        <f t="shared" si="10"/>
        <v>0</v>
      </c>
      <c r="N31" s="114">
        <f t="shared" si="11"/>
        <v>0</v>
      </c>
      <c r="O31" s="114">
        <f t="shared" si="12"/>
        <v>0.23076923076923078</v>
      </c>
      <c r="P31" s="114">
        <f t="shared" si="13"/>
        <v>0</v>
      </c>
      <c r="Q31" s="114">
        <f t="shared" si="14"/>
        <v>0.16666666666666666</v>
      </c>
      <c r="R31" s="114">
        <f t="shared" si="15"/>
        <v>0.5714285714285714</v>
      </c>
      <c r="S31" s="114">
        <f t="shared" si="16"/>
        <v>0.375</v>
      </c>
      <c r="T31" s="114">
        <f t="shared" si="17"/>
        <v>0.73741007194244601</v>
      </c>
      <c r="U31" s="114">
        <f t="shared" si="18"/>
        <v>6.6685665431746935E-2</v>
      </c>
      <c r="V31" s="114">
        <f t="shared" si="19"/>
        <v>0</v>
      </c>
      <c r="W31" s="1">
        <f t="shared" si="20"/>
        <v>6</v>
      </c>
    </row>
    <row r="32" spans="2:27" hidden="1">
      <c r="B32" s="1">
        <v>7</v>
      </c>
      <c r="C32" s="114">
        <f t="shared" si="0"/>
        <v>0</v>
      </c>
      <c r="D32" s="114">
        <f t="shared" si="1"/>
        <v>0</v>
      </c>
      <c r="E32" s="114">
        <f t="shared" si="2"/>
        <v>0</v>
      </c>
      <c r="F32" s="114">
        <f t="shared" si="3"/>
        <v>0</v>
      </c>
      <c r="G32" s="114">
        <f t="shared" si="4"/>
        <v>0</v>
      </c>
      <c r="H32" s="114">
        <f t="shared" si="5"/>
        <v>0</v>
      </c>
      <c r="I32" s="114">
        <f t="shared" si="6"/>
        <v>0</v>
      </c>
      <c r="J32" s="114">
        <f t="shared" si="7"/>
        <v>0</v>
      </c>
      <c r="K32" s="114">
        <f t="shared" si="8"/>
        <v>0</v>
      </c>
      <c r="L32" s="114">
        <f t="shared" si="9"/>
        <v>0</v>
      </c>
      <c r="M32" s="114">
        <f t="shared" si="10"/>
        <v>0</v>
      </c>
      <c r="N32" s="114">
        <f t="shared" si="11"/>
        <v>0</v>
      </c>
      <c r="O32" s="114">
        <f t="shared" si="12"/>
        <v>0</v>
      </c>
      <c r="P32" s="114">
        <f t="shared" si="13"/>
        <v>0</v>
      </c>
      <c r="Q32" s="114">
        <f t="shared" si="14"/>
        <v>0</v>
      </c>
      <c r="R32" s="114">
        <f t="shared" si="15"/>
        <v>0</v>
      </c>
      <c r="S32" s="114">
        <f t="shared" si="16"/>
        <v>0</v>
      </c>
      <c r="T32" s="114">
        <f t="shared" si="17"/>
        <v>3.9568345323741004E-2</v>
      </c>
      <c r="U32" s="114">
        <f t="shared" si="18"/>
        <v>3.134796238244514E-3</v>
      </c>
      <c r="V32" s="114">
        <f t="shared" si="19"/>
        <v>0</v>
      </c>
      <c r="W32" s="1">
        <f t="shared" si="20"/>
        <v>7</v>
      </c>
    </row>
    <row r="33" spans="2:27" hidden="1">
      <c r="B33" s="1">
        <v>8</v>
      </c>
      <c r="C33" s="114">
        <f>+IF($C$25=1,IFERROR(VLOOKUP($B33,$B$13:$V$20,2,0),""))</f>
        <v>0</v>
      </c>
      <c r="D33" s="114">
        <f t="shared" si="1"/>
        <v>0</v>
      </c>
      <c r="E33" s="114">
        <f t="shared" si="2"/>
        <v>0</v>
      </c>
      <c r="F33" s="114">
        <f t="shared" si="3"/>
        <v>0</v>
      </c>
      <c r="G33" s="114">
        <f t="shared" si="4"/>
        <v>0</v>
      </c>
      <c r="H33" s="114">
        <f t="shared" si="5"/>
        <v>0</v>
      </c>
      <c r="I33" s="114">
        <f t="shared" si="6"/>
        <v>0</v>
      </c>
      <c r="J33" s="114">
        <f t="shared" si="7"/>
        <v>0</v>
      </c>
      <c r="K33" s="114">
        <f t="shared" si="8"/>
        <v>0</v>
      </c>
      <c r="L33" s="114">
        <f t="shared" si="9"/>
        <v>0</v>
      </c>
      <c r="M33" s="114">
        <f t="shared" si="10"/>
        <v>0</v>
      </c>
      <c r="N33" s="114">
        <f t="shared" si="11"/>
        <v>0</v>
      </c>
      <c r="O33" s="114">
        <f t="shared" si="12"/>
        <v>0</v>
      </c>
      <c r="P33" s="114">
        <f t="shared" si="13"/>
        <v>0</v>
      </c>
      <c r="Q33" s="114">
        <f t="shared" si="14"/>
        <v>0</v>
      </c>
      <c r="R33" s="114">
        <f t="shared" si="15"/>
        <v>4.7619047619047616E-2</v>
      </c>
      <c r="S33" s="114">
        <f t="shared" si="16"/>
        <v>0</v>
      </c>
      <c r="T33" s="114">
        <f t="shared" si="17"/>
        <v>0.10071942446043165</v>
      </c>
      <c r="U33" s="114">
        <f t="shared" si="18"/>
        <v>8.2644628099173556E-3</v>
      </c>
      <c r="V33" s="114">
        <f t="shared" si="19"/>
        <v>0</v>
      </c>
      <c r="W33" s="1">
        <f t="shared" si="20"/>
        <v>8</v>
      </c>
    </row>
    <row r="35" spans="2:27" ht="15.75" thickBot="1">
      <c r="C35" s="115">
        <f>+MAX(C26:C33)</f>
        <v>1</v>
      </c>
      <c r="D35" s="115">
        <f t="shared" ref="D35:V35" si="21">+MAX(D26:D33)</f>
        <v>0.78210678210678208</v>
      </c>
      <c r="E35" s="115">
        <f t="shared" si="21"/>
        <v>0.52386363636363631</v>
      </c>
      <c r="F35" s="115">
        <f t="shared" si="21"/>
        <v>0.50728862973760935</v>
      </c>
      <c r="G35" s="115">
        <f t="shared" si="21"/>
        <v>0.40729483282674772</v>
      </c>
      <c r="H35" s="115">
        <f t="shared" si="21"/>
        <v>0.43870967741935485</v>
      </c>
      <c r="I35" s="115">
        <f t="shared" si="21"/>
        <v>0.48181818181818181</v>
      </c>
      <c r="J35" s="115">
        <f t="shared" si="21"/>
        <v>0.38095238095238093</v>
      </c>
      <c r="K35" s="115">
        <f t="shared" si="21"/>
        <v>0.5178571428571429</v>
      </c>
      <c r="L35" s="115">
        <f t="shared" si="21"/>
        <v>0.29545454545454547</v>
      </c>
      <c r="M35" s="115">
        <f t="shared" si="21"/>
        <v>0.33333333333333331</v>
      </c>
      <c r="N35" s="115">
        <f t="shared" si="21"/>
        <v>0.35897435897435898</v>
      </c>
      <c r="O35" s="115">
        <f t="shared" si="21"/>
        <v>0.26923076923076922</v>
      </c>
      <c r="P35" s="115">
        <f t="shared" si="21"/>
        <v>0.47058823529411764</v>
      </c>
      <c r="Q35" s="115">
        <f t="shared" si="21"/>
        <v>0.36666666666666664</v>
      </c>
      <c r="R35" s="115">
        <f t="shared" si="21"/>
        <v>0.5714285714285714</v>
      </c>
      <c r="S35" s="115">
        <f t="shared" si="21"/>
        <v>0.375</v>
      </c>
      <c r="T35" s="115">
        <f t="shared" si="21"/>
        <v>0.73741007194244601</v>
      </c>
      <c r="U35" s="115">
        <f t="shared" si="21"/>
        <v>0.42091764035337703</v>
      </c>
      <c r="V35" s="115">
        <f t="shared" si="21"/>
        <v>0</v>
      </c>
    </row>
    <row r="36" spans="2:27">
      <c r="C36" s="4">
        <f>IFERROR(VLOOKUP(C35,C26:$W$33,C24,0),"")</f>
        <v>5</v>
      </c>
      <c r="D36" s="4">
        <f>IFERROR(VLOOKUP(D35,D26:$W$33,D24,0),"")</f>
        <v>5</v>
      </c>
      <c r="E36" s="4">
        <f>IFERROR(VLOOKUP(E35,E26:$W$33,E24,0),"")</f>
        <v>1</v>
      </c>
      <c r="F36" s="4">
        <f>IFERROR(VLOOKUP(F35,F26:$W$33,F24,0),"")</f>
        <v>5</v>
      </c>
      <c r="G36" s="4">
        <f>IFERROR(VLOOKUP(G35,G26:$W$33,G24,0),"")</f>
        <v>1</v>
      </c>
      <c r="H36" s="4">
        <f>IFERROR(VLOOKUP(H35,H26:$W$33,H24,0),"")</f>
        <v>1</v>
      </c>
      <c r="I36" s="4">
        <f>IFERROR(VLOOKUP(I35,I26:$W$33,I24,0),"")</f>
        <v>1</v>
      </c>
      <c r="J36" s="4">
        <f>IFERROR(VLOOKUP(J35,J26:$W$33,J24,0),"")</f>
        <v>1</v>
      </c>
      <c r="K36" s="4">
        <f>IFERROR(VLOOKUP(K35,K26:$W$33,K24,0),"")</f>
        <v>1</v>
      </c>
      <c r="L36" s="4">
        <f>IFERROR(VLOOKUP(L35,L26:$W$33,L24,0),"")</f>
        <v>1</v>
      </c>
      <c r="M36" s="4">
        <f>IFERROR(VLOOKUP(M35,M26:$W$33,M24,0),"")</f>
        <v>1</v>
      </c>
      <c r="N36" s="4">
        <f>IFERROR(VLOOKUP(N35,N26:$W$33,N24,0),"")</f>
        <v>2</v>
      </c>
      <c r="O36" s="4">
        <f>IFERROR(VLOOKUP(O35,O26:$W$33,O24,0),"")</f>
        <v>5</v>
      </c>
      <c r="P36" s="4">
        <f>IFERROR(VLOOKUP(P35,P26:$W$33,P24,0),"")</f>
        <v>2</v>
      </c>
      <c r="Q36" s="4">
        <f>IFERROR(VLOOKUP(Q35,Q26:$W$33,Q24,0),"")</f>
        <v>2</v>
      </c>
      <c r="R36" s="4">
        <f>IFERROR(VLOOKUP(R35,R26:$W$33,R24,0),"")</f>
        <v>6</v>
      </c>
      <c r="S36" s="4">
        <f>IFERROR(VLOOKUP(S35,S26:$W$33,S24,0),"")</f>
        <v>6</v>
      </c>
      <c r="T36" s="4">
        <f>IFERROR(VLOOKUP(T35,T26:$W$33,T24,0),"")</f>
        <v>6</v>
      </c>
      <c r="U36" s="4">
        <f>IFERROR(VLOOKUP(U35,U26:$W$33,U24,0),"")</f>
        <v>5</v>
      </c>
      <c r="V36" s="4">
        <f>IFERROR(VLOOKUP(V35,V26:$W$33,V24,0),"")</f>
        <v>1</v>
      </c>
    </row>
    <row r="37" spans="2:27" ht="14.45" customHeight="1">
      <c r="Z37" s="168" t="s">
        <v>126</v>
      </c>
    </row>
    <row r="38" spans="2:27" ht="14.45" customHeight="1"/>
    <row r="39" spans="2:27" ht="14.45" customHeight="1">
      <c r="C39" s="174">
        <v>1</v>
      </c>
      <c r="D39" s="174">
        <v>2</v>
      </c>
      <c r="E39" s="174">
        <v>3</v>
      </c>
      <c r="F39" s="174">
        <v>4</v>
      </c>
      <c r="G39" s="174">
        <v>5</v>
      </c>
      <c r="H39" s="174">
        <v>6</v>
      </c>
      <c r="I39" s="174">
        <v>7</v>
      </c>
      <c r="J39" s="174">
        <v>8</v>
      </c>
      <c r="K39" s="174">
        <v>9</v>
      </c>
      <c r="L39" s="174">
        <v>10</v>
      </c>
      <c r="M39" s="174">
        <v>11</v>
      </c>
      <c r="N39" s="174">
        <v>12</v>
      </c>
      <c r="O39" s="174">
        <v>13</v>
      </c>
      <c r="P39" s="174">
        <v>14</v>
      </c>
      <c r="Q39" s="174">
        <v>15</v>
      </c>
      <c r="R39" s="174">
        <v>16</v>
      </c>
      <c r="S39" s="174">
        <v>17</v>
      </c>
      <c r="T39" s="174">
        <v>18</v>
      </c>
      <c r="U39" s="174">
        <v>19</v>
      </c>
      <c r="V39" s="174">
        <v>20</v>
      </c>
      <c r="X39" s="4">
        <v>1</v>
      </c>
      <c r="Y39" s="119"/>
      <c r="Z39" t="s">
        <v>161</v>
      </c>
      <c r="AA39" s="176">
        <v>0.42899999999999999</v>
      </c>
    </row>
    <row r="40" spans="2:27" ht="16.149999999999999" customHeight="1">
      <c r="B40" s="173">
        <v>1</v>
      </c>
      <c r="C40" s="96">
        <v>2</v>
      </c>
      <c r="D40" s="96">
        <v>2</v>
      </c>
      <c r="E40" s="96">
        <v>2</v>
      </c>
      <c r="F40" s="96">
        <v>2</v>
      </c>
      <c r="G40" s="96">
        <v>2</v>
      </c>
      <c r="H40" s="96">
        <v>2</v>
      </c>
      <c r="I40" s="96">
        <v>2</v>
      </c>
      <c r="J40" s="96">
        <v>2</v>
      </c>
      <c r="K40" s="96">
        <v>2</v>
      </c>
      <c r="L40" s="96">
        <v>2</v>
      </c>
      <c r="M40" s="96">
        <v>2</v>
      </c>
      <c r="N40" s="96">
        <v>2</v>
      </c>
      <c r="O40" s="96">
        <v>8</v>
      </c>
      <c r="P40" s="96">
        <v>8</v>
      </c>
      <c r="Q40" s="175">
        <v>7</v>
      </c>
      <c r="R40" s="175">
        <v>7</v>
      </c>
      <c r="S40" s="175">
        <v>7</v>
      </c>
      <c r="T40" s="96">
        <v>2</v>
      </c>
      <c r="U40" s="96">
        <v>2</v>
      </c>
      <c r="V40" s="96">
        <v>2</v>
      </c>
      <c r="X40" s="4">
        <v>2</v>
      </c>
      <c r="Y40" s="118"/>
      <c r="Z40" t="s">
        <v>164</v>
      </c>
      <c r="AA40" s="176">
        <v>0.11940000000000001</v>
      </c>
    </row>
    <row r="41" spans="2:27" ht="16.149999999999999" customHeight="1">
      <c r="B41" s="173">
        <v>2</v>
      </c>
      <c r="C41" s="96">
        <v>2</v>
      </c>
      <c r="D41" s="96">
        <v>2</v>
      </c>
      <c r="E41" s="96">
        <v>2</v>
      </c>
      <c r="F41" s="96">
        <v>2</v>
      </c>
      <c r="G41" s="96">
        <v>2</v>
      </c>
      <c r="H41" s="96">
        <v>2</v>
      </c>
      <c r="I41" s="96">
        <v>2</v>
      </c>
      <c r="J41" s="96">
        <v>2</v>
      </c>
      <c r="K41" s="96">
        <v>2</v>
      </c>
      <c r="L41" s="96">
        <v>2</v>
      </c>
      <c r="M41" s="96">
        <v>2</v>
      </c>
      <c r="N41" s="96">
        <v>2</v>
      </c>
      <c r="O41" s="96">
        <v>8</v>
      </c>
      <c r="P41" s="96">
        <v>8</v>
      </c>
      <c r="Q41" s="96">
        <v>8</v>
      </c>
      <c r="R41" s="96">
        <v>7</v>
      </c>
      <c r="S41" s="96">
        <v>7</v>
      </c>
      <c r="T41" s="96">
        <v>7</v>
      </c>
      <c r="U41" s="96">
        <v>2</v>
      </c>
      <c r="V41" s="96">
        <v>2</v>
      </c>
      <c r="X41" s="4">
        <v>3</v>
      </c>
      <c r="Y41" s="125"/>
      <c r="Z41" t="s">
        <v>165</v>
      </c>
      <c r="AA41" s="176">
        <v>4.48E-2</v>
      </c>
    </row>
    <row r="42" spans="2:27" ht="16.149999999999999" customHeight="1">
      <c r="B42" s="173">
        <v>3</v>
      </c>
      <c r="C42" s="96">
        <v>2</v>
      </c>
      <c r="D42" s="96">
        <v>2</v>
      </c>
      <c r="E42" s="96">
        <v>2</v>
      </c>
      <c r="F42" s="96">
        <v>2</v>
      </c>
      <c r="G42" s="96">
        <v>2</v>
      </c>
      <c r="H42" s="96">
        <v>2</v>
      </c>
      <c r="I42" s="96">
        <v>2</v>
      </c>
      <c r="J42" s="96">
        <v>2</v>
      </c>
      <c r="K42" s="96">
        <v>2</v>
      </c>
      <c r="L42" s="96">
        <v>2</v>
      </c>
      <c r="M42" s="96">
        <v>2</v>
      </c>
      <c r="N42" s="96">
        <v>2</v>
      </c>
      <c r="O42" s="96">
        <v>8</v>
      </c>
      <c r="P42" s="96">
        <v>8</v>
      </c>
      <c r="Q42" s="96">
        <v>8</v>
      </c>
      <c r="R42" s="96">
        <v>8</v>
      </c>
      <c r="S42" s="96">
        <v>8</v>
      </c>
      <c r="T42" s="96">
        <v>7</v>
      </c>
      <c r="U42" s="96">
        <v>2</v>
      </c>
      <c r="V42" s="96">
        <v>2</v>
      </c>
      <c r="X42" s="4">
        <v>4</v>
      </c>
      <c r="Y42" s="124"/>
      <c r="Z42" t="s">
        <v>166</v>
      </c>
      <c r="AA42" s="177">
        <v>0.06</v>
      </c>
    </row>
    <row r="43" spans="2:27" ht="16.149999999999999" customHeight="1">
      <c r="B43" s="173">
        <v>4</v>
      </c>
      <c r="C43" s="96">
        <v>1</v>
      </c>
      <c r="D43" s="96">
        <v>1</v>
      </c>
      <c r="E43" s="96">
        <v>2</v>
      </c>
      <c r="F43" s="96">
        <v>2</v>
      </c>
      <c r="G43" s="96">
        <v>2</v>
      </c>
      <c r="H43" s="96">
        <v>2</v>
      </c>
      <c r="I43" s="96">
        <v>2</v>
      </c>
      <c r="J43" s="96">
        <v>2</v>
      </c>
      <c r="K43" s="96">
        <v>2</v>
      </c>
      <c r="L43" s="96">
        <v>2</v>
      </c>
      <c r="M43" s="96">
        <v>2</v>
      </c>
      <c r="N43" s="96">
        <v>2</v>
      </c>
      <c r="O43" s="96">
        <v>2</v>
      </c>
      <c r="P43" s="96">
        <v>8</v>
      </c>
      <c r="Q43" s="96">
        <v>8</v>
      </c>
      <c r="R43" s="96">
        <v>8</v>
      </c>
      <c r="S43" s="96">
        <v>8</v>
      </c>
      <c r="T43" s="96">
        <v>8</v>
      </c>
      <c r="U43" s="96">
        <v>6</v>
      </c>
      <c r="V43" s="96">
        <v>2</v>
      </c>
      <c r="X43" s="4">
        <v>5</v>
      </c>
      <c r="Y43" s="123"/>
      <c r="Z43" t="s">
        <v>167</v>
      </c>
      <c r="AA43" s="177">
        <v>0.08</v>
      </c>
    </row>
    <row r="44" spans="2:27" ht="16.149999999999999" customHeight="1">
      <c r="B44" s="173">
        <v>5</v>
      </c>
      <c r="C44" s="96">
        <v>1</v>
      </c>
      <c r="D44" s="96">
        <v>1</v>
      </c>
      <c r="E44" s="96">
        <v>1</v>
      </c>
      <c r="F44" s="96">
        <v>2</v>
      </c>
      <c r="G44" s="96">
        <v>2</v>
      </c>
      <c r="H44" s="96">
        <v>2</v>
      </c>
      <c r="I44" s="96">
        <v>2</v>
      </c>
      <c r="J44" s="96">
        <v>2</v>
      </c>
      <c r="K44" s="96">
        <v>2</v>
      </c>
      <c r="L44" s="96">
        <v>2</v>
      </c>
      <c r="M44" s="96">
        <v>2</v>
      </c>
      <c r="N44" s="96">
        <v>2</v>
      </c>
      <c r="O44" s="96">
        <v>2</v>
      </c>
      <c r="P44" s="96">
        <v>8</v>
      </c>
      <c r="Q44" s="96">
        <v>8</v>
      </c>
      <c r="R44" s="96">
        <v>6</v>
      </c>
      <c r="S44" s="96">
        <v>6</v>
      </c>
      <c r="T44" s="96">
        <v>6</v>
      </c>
      <c r="U44" s="96">
        <v>6</v>
      </c>
      <c r="V44" s="96">
        <v>6</v>
      </c>
      <c r="X44" s="4">
        <v>6</v>
      </c>
      <c r="Y44" s="121"/>
      <c r="Z44" t="s">
        <v>168</v>
      </c>
      <c r="AA44" s="177">
        <v>0.13</v>
      </c>
    </row>
    <row r="45" spans="2:27" ht="16.149999999999999" customHeight="1">
      <c r="B45" s="173">
        <v>6</v>
      </c>
      <c r="C45" s="96">
        <v>1</v>
      </c>
      <c r="D45" s="96">
        <v>1</v>
      </c>
      <c r="E45" s="96">
        <v>1</v>
      </c>
      <c r="F45" s="96">
        <v>1</v>
      </c>
      <c r="G45" s="96">
        <v>2</v>
      </c>
      <c r="H45" s="96">
        <v>2</v>
      </c>
      <c r="I45" s="96">
        <v>2</v>
      </c>
      <c r="J45" s="96">
        <v>2</v>
      </c>
      <c r="K45" s="96">
        <v>2</v>
      </c>
      <c r="L45" s="96">
        <v>1</v>
      </c>
      <c r="M45" s="96">
        <v>1</v>
      </c>
      <c r="N45" s="96">
        <v>2</v>
      </c>
      <c r="O45" s="96">
        <v>2</v>
      </c>
      <c r="P45" s="96">
        <v>6</v>
      </c>
      <c r="Q45" s="96">
        <v>6</v>
      </c>
      <c r="R45" s="96">
        <v>6</v>
      </c>
      <c r="S45" s="96">
        <v>6</v>
      </c>
      <c r="T45" s="96">
        <v>6</v>
      </c>
      <c r="U45" s="96">
        <v>6</v>
      </c>
      <c r="V45" s="96">
        <v>6</v>
      </c>
      <c r="X45" s="4">
        <v>7</v>
      </c>
      <c r="Y45" s="120"/>
      <c r="Z45" t="s">
        <v>179</v>
      </c>
      <c r="AA45" s="177">
        <v>0.09</v>
      </c>
    </row>
    <row r="46" spans="2:27" ht="16.149999999999999" customHeight="1">
      <c r="B46" s="173">
        <v>7</v>
      </c>
      <c r="C46" s="96">
        <v>1</v>
      </c>
      <c r="D46" s="96">
        <v>1</v>
      </c>
      <c r="E46" s="96">
        <v>1</v>
      </c>
      <c r="F46" s="96">
        <v>1</v>
      </c>
      <c r="G46" s="96">
        <v>1</v>
      </c>
      <c r="H46" s="96">
        <v>2</v>
      </c>
      <c r="I46" s="96">
        <v>2</v>
      </c>
      <c r="J46" s="96">
        <v>2</v>
      </c>
      <c r="K46" s="96">
        <v>1</v>
      </c>
      <c r="L46" s="96">
        <v>1</v>
      </c>
      <c r="M46" s="96">
        <v>1</v>
      </c>
      <c r="N46" s="96">
        <v>1</v>
      </c>
      <c r="O46" s="96">
        <v>1</v>
      </c>
      <c r="P46" s="96">
        <v>6</v>
      </c>
      <c r="Q46" s="96">
        <v>6</v>
      </c>
      <c r="R46" s="96">
        <v>6</v>
      </c>
      <c r="S46" s="96">
        <v>6</v>
      </c>
      <c r="T46" s="96">
        <v>6</v>
      </c>
      <c r="U46" s="96">
        <v>6</v>
      </c>
      <c r="V46" s="96">
        <v>6</v>
      </c>
      <c r="X46" s="4">
        <v>8</v>
      </c>
      <c r="Y46" s="122"/>
      <c r="Z46" t="s">
        <v>170</v>
      </c>
      <c r="AA46" s="177">
        <v>0.05</v>
      </c>
    </row>
    <row r="47" spans="2:27" ht="16.149999999999999" customHeight="1">
      <c r="B47" s="173">
        <v>8</v>
      </c>
      <c r="C47" s="96">
        <v>1</v>
      </c>
      <c r="D47" s="96">
        <v>1</v>
      </c>
      <c r="E47" s="96">
        <v>1</v>
      </c>
      <c r="F47" s="96">
        <v>1</v>
      </c>
      <c r="G47" s="96">
        <v>1</v>
      </c>
      <c r="H47" s="96">
        <v>2</v>
      </c>
      <c r="I47" s="96">
        <v>2</v>
      </c>
      <c r="J47" s="96">
        <v>2</v>
      </c>
      <c r="K47" s="96">
        <v>1</v>
      </c>
      <c r="L47" s="96">
        <v>1</v>
      </c>
      <c r="M47" s="96">
        <v>1</v>
      </c>
      <c r="N47" s="96">
        <v>1</v>
      </c>
      <c r="O47" s="96">
        <v>1</v>
      </c>
      <c r="P47" s="96">
        <v>6</v>
      </c>
      <c r="Q47" s="96">
        <v>6</v>
      </c>
      <c r="R47" s="96">
        <v>6</v>
      </c>
      <c r="S47" s="96">
        <v>6</v>
      </c>
      <c r="T47" s="96">
        <v>6</v>
      </c>
      <c r="U47" s="96">
        <v>6</v>
      </c>
      <c r="V47" s="96">
        <v>6</v>
      </c>
    </row>
    <row r="48" spans="2:27" ht="16.149999999999999" customHeight="1">
      <c r="B48" s="173">
        <v>9</v>
      </c>
      <c r="C48" s="96">
        <v>1</v>
      </c>
      <c r="D48" s="96">
        <v>1</v>
      </c>
      <c r="E48" s="96">
        <v>1</v>
      </c>
      <c r="F48" s="96">
        <v>1</v>
      </c>
      <c r="G48" s="96">
        <v>1</v>
      </c>
      <c r="H48" s="96">
        <v>2</v>
      </c>
      <c r="I48" s="96">
        <v>2</v>
      </c>
      <c r="J48" s="96">
        <v>2</v>
      </c>
      <c r="K48" s="96">
        <v>1</v>
      </c>
      <c r="L48" s="96">
        <v>1</v>
      </c>
      <c r="M48" s="96">
        <v>1</v>
      </c>
      <c r="N48" s="96">
        <v>1</v>
      </c>
      <c r="O48" s="96">
        <v>1</v>
      </c>
      <c r="P48" s="96">
        <v>6</v>
      </c>
      <c r="Q48" s="96">
        <v>6</v>
      </c>
      <c r="R48" s="96">
        <v>6</v>
      </c>
      <c r="S48" s="96">
        <v>6</v>
      </c>
      <c r="T48" s="96">
        <v>6</v>
      </c>
      <c r="U48" s="96">
        <v>6</v>
      </c>
      <c r="V48" s="96">
        <v>6</v>
      </c>
    </row>
    <row r="49" spans="2:22" ht="16.149999999999999" customHeight="1">
      <c r="B49" s="173">
        <v>10</v>
      </c>
      <c r="C49" s="96">
        <v>1</v>
      </c>
      <c r="D49" s="96">
        <v>1</v>
      </c>
      <c r="E49" s="96">
        <v>1</v>
      </c>
      <c r="F49" s="96">
        <v>1</v>
      </c>
      <c r="G49" s="96">
        <v>1</v>
      </c>
      <c r="H49" s="96">
        <v>2</v>
      </c>
      <c r="I49" s="96">
        <v>2</v>
      </c>
      <c r="J49" s="96">
        <v>2</v>
      </c>
      <c r="K49" s="96">
        <v>1</v>
      </c>
      <c r="L49" s="96">
        <v>1</v>
      </c>
      <c r="M49" s="96">
        <v>1</v>
      </c>
      <c r="N49" s="96">
        <v>1</v>
      </c>
      <c r="O49" s="96">
        <v>1</v>
      </c>
      <c r="P49" s="96">
        <v>6</v>
      </c>
      <c r="Q49" s="96">
        <v>6</v>
      </c>
      <c r="R49" s="96">
        <v>6</v>
      </c>
      <c r="S49" s="96">
        <v>6</v>
      </c>
      <c r="T49" s="96">
        <v>6</v>
      </c>
      <c r="U49" s="96">
        <v>6</v>
      </c>
      <c r="V49" s="96">
        <v>6</v>
      </c>
    </row>
    <row r="50" spans="2:22" ht="16.149999999999999" customHeight="1">
      <c r="B50" s="173">
        <v>11</v>
      </c>
      <c r="C50" s="96">
        <v>1</v>
      </c>
      <c r="D50" s="96">
        <v>1</v>
      </c>
      <c r="E50" s="96">
        <v>1</v>
      </c>
      <c r="F50" s="96">
        <v>1</v>
      </c>
      <c r="G50" s="96">
        <v>1</v>
      </c>
      <c r="H50" s="96">
        <v>2</v>
      </c>
      <c r="I50" s="96">
        <v>2</v>
      </c>
      <c r="J50" s="96">
        <v>2</v>
      </c>
      <c r="K50" s="96">
        <v>1</v>
      </c>
      <c r="L50" s="96">
        <v>1</v>
      </c>
      <c r="M50" s="96">
        <v>1</v>
      </c>
      <c r="N50" s="96">
        <v>1</v>
      </c>
      <c r="O50" s="96">
        <v>1</v>
      </c>
      <c r="P50" s="96">
        <v>6</v>
      </c>
      <c r="Q50" s="96">
        <v>6</v>
      </c>
      <c r="R50" s="96">
        <v>6</v>
      </c>
      <c r="S50" s="96">
        <v>6</v>
      </c>
      <c r="T50" s="96">
        <v>6</v>
      </c>
      <c r="U50" s="96">
        <v>6</v>
      </c>
      <c r="V50" s="96">
        <v>6</v>
      </c>
    </row>
    <row r="51" spans="2:22" ht="16.149999999999999" customHeight="1">
      <c r="B51" s="173">
        <v>12</v>
      </c>
      <c r="C51" s="96">
        <v>5</v>
      </c>
      <c r="D51" s="96">
        <v>1</v>
      </c>
      <c r="E51" s="96">
        <v>1</v>
      </c>
      <c r="F51" s="96">
        <v>4</v>
      </c>
      <c r="G51" s="96">
        <v>4</v>
      </c>
      <c r="H51" s="96">
        <v>2</v>
      </c>
      <c r="I51" s="96">
        <v>2</v>
      </c>
      <c r="J51" s="96">
        <v>2</v>
      </c>
      <c r="K51" s="96">
        <v>1</v>
      </c>
      <c r="L51" s="96">
        <v>1</v>
      </c>
      <c r="M51" s="96">
        <v>1</v>
      </c>
      <c r="N51" s="96">
        <v>1</v>
      </c>
      <c r="O51" s="96">
        <v>1</v>
      </c>
      <c r="P51" s="96">
        <v>6</v>
      </c>
      <c r="Q51" s="96">
        <v>6</v>
      </c>
      <c r="R51" s="96">
        <v>6</v>
      </c>
      <c r="S51" s="96">
        <v>6</v>
      </c>
      <c r="T51" s="96">
        <v>6</v>
      </c>
      <c r="U51" s="96">
        <v>6</v>
      </c>
      <c r="V51" s="96">
        <v>6</v>
      </c>
    </row>
    <row r="52" spans="2:22" ht="16.149999999999999" customHeight="1">
      <c r="B52" s="173">
        <v>13</v>
      </c>
      <c r="C52" s="96">
        <v>5</v>
      </c>
      <c r="D52" s="96">
        <v>1</v>
      </c>
      <c r="E52" s="96">
        <v>1</v>
      </c>
      <c r="F52" s="96">
        <v>4</v>
      </c>
      <c r="G52" s="96">
        <v>4</v>
      </c>
      <c r="H52" s="96">
        <v>4</v>
      </c>
      <c r="I52" s="96">
        <v>2</v>
      </c>
      <c r="J52" s="96">
        <v>2</v>
      </c>
      <c r="K52" s="96">
        <v>1</v>
      </c>
      <c r="L52" s="96">
        <v>1</v>
      </c>
      <c r="M52" s="96">
        <v>1</v>
      </c>
      <c r="N52" s="96">
        <v>1</v>
      </c>
      <c r="O52" s="96">
        <v>1</v>
      </c>
      <c r="P52" s="96">
        <v>6</v>
      </c>
      <c r="Q52" s="96">
        <v>6</v>
      </c>
      <c r="R52" s="96">
        <v>6</v>
      </c>
      <c r="S52" s="96">
        <v>6</v>
      </c>
      <c r="T52" s="96">
        <v>6</v>
      </c>
      <c r="U52" s="96">
        <v>6</v>
      </c>
      <c r="V52" s="96">
        <v>6</v>
      </c>
    </row>
    <row r="53" spans="2:22" ht="16.149999999999999" customHeight="1">
      <c r="B53" s="173">
        <v>14</v>
      </c>
      <c r="C53" s="96">
        <v>5</v>
      </c>
      <c r="D53" s="96">
        <v>1</v>
      </c>
      <c r="E53" s="96">
        <v>1</v>
      </c>
      <c r="F53" s="96">
        <v>4</v>
      </c>
      <c r="G53" s="96">
        <v>4</v>
      </c>
      <c r="H53" s="96">
        <v>4</v>
      </c>
      <c r="I53" s="96">
        <v>2</v>
      </c>
      <c r="J53" s="96">
        <v>2</v>
      </c>
      <c r="K53" s="96">
        <v>1</v>
      </c>
      <c r="L53" s="96">
        <v>1</v>
      </c>
      <c r="M53" s="96">
        <v>1</v>
      </c>
      <c r="N53" s="96">
        <v>1</v>
      </c>
      <c r="O53" s="96">
        <v>1</v>
      </c>
      <c r="P53" s="96">
        <v>6</v>
      </c>
      <c r="Q53" s="96">
        <v>6</v>
      </c>
      <c r="R53" s="96">
        <v>6</v>
      </c>
      <c r="S53" s="96">
        <v>6</v>
      </c>
      <c r="T53" s="96">
        <v>6</v>
      </c>
      <c r="U53" s="96">
        <v>6</v>
      </c>
      <c r="V53" s="96">
        <v>6</v>
      </c>
    </row>
    <row r="54" spans="2:22" ht="16.149999999999999" customHeight="1">
      <c r="B54" s="173">
        <v>15</v>
      </c>
      <c r="C54" s="96">
        <v>5</v>
      </c>
      <c r="D54" s="96">
        <v>1</v>
      </c>
      <c r="E54" s="96">
        <v>1</v>
      </c>
      <c r="F54" s="96">
        <v>1</v>
      </c>
      <c r="G54" s="96">
        <v>4</v>
      </c>
      <c r="H54" s="96">
        <v>4</v>
      </c>
      <c r="I54" s="96">
        <v>4</v>
      </c>
      <c r="J54" s="96">
        <v>1</v>
      </c>
      <c r="K54" s="96">
        <v>1</v>
      </c>
      <c r="L54" s="96">
        <v>1</v>
      </c>
      <c r="M54" s="96">
        <v>1</v>
      </c>
      <c r="N54" s="96">
        <v>1</v>
      </c>
      <c r="O54" s="96">
        <v>1</v>
      </c>
      <c r="P54" s="96">
        <v>1</v>
      </c>
      <c r="Q54" s="96">
        <v>1</v>
      </c>
      <c r="R54" s="96">
        <v>6</v>
      </c>
      <c r="S54" s="96">
        <v>6</v>
      </c>
      <c r="T54" s="96">
        <v>6</v>
      </c>
      <c r="U54" s="96">
        <v>6</v>
      </c>
      <c r="V54" s="96">
        <v>6</v>
      </c>
    </row>
    <row r="55" spans="2:22" ht="16.149999999999999" customHeight="1">
      <c r="B55" s="173">
        <v>16</v>
      </c>
      <c r="C55" s="96">
        <v>5</v>
      </c>
      <c r="D55" s="96">
        <v>5</v>
      </c>
      <c r="E55" s="96">
        <v>1</v>
      </c>
      <c r="F55" s="96">
        <v>1</v>
      </c>
      <c r="G55" s="96">
        <v>4</v>
      </c>
      <c r="H55" s="96">
        <v>4</v>
      </c>
      <c r="I55" s="96">
        <v>4</v>
      </c>
      <c r="J55" s="96">
        <v>1</v>
      </c>
      <c r="K55" s="96">
        <v>1</v>
      </c>
      <c r="L55" s="96">
        <v>1</v>
      </c>
      <c r="M55" s="96">
        <v>1</v>
      </c>
      <c r="N55" s="96">
        <v>1</v>
      </c>
      <c r="O55" s="96">
        <v>1</v>
      </c>
      <c r="P55" s="96">
        <v>1</v>
      </c>
      <c r="Q55" s="96">
        <v>1</v>
      </c>
      <c r="R55" s="96">
        <v>6</v>
      </c>
      <c r="S55" s="96">
        <v>6</v>
      </c>
      <c r="T55" s="96">
        <v>6</v>
      </c>
      <c r="U55" s="96">
        <v>6</v>
      </c>
      <c r="V55" s="96">
        <v>6</v>
      </c>
    </row>
    <row r="56" spans="2:22" ht="16.149999999999999" customHeight="1">
      <c r="B56" s="173">
        <v>17</v>
      </c>
      <c r="C56" s="96">
        <v>5</v>
      </c>
      <c r="D56" s="96">
        <v>5</v>
      </c>
      <c r="E56" s="96">
        <v>1</v>
      </c>
      <c r="F56" s="96">
        <v>1</v>
      </c>
      <c r="G56" s="96">
        <v>1</v>
      </c>
      <c r="H56" s="96">
        <v>4</v>
      </c>
      <c r="I56" s="96">
        <v>4</v>
      </c>
      <c r="J56" s="96">
        <v>1</v>
      </c>
      <c r="K56" s="96">
        <v>1</v>
      </c>
      <c r="L56" s="96">
        <v>1</v>
      </c>
      <c r="M56" s="96">
        <v>1</v>
      </c>
      <c r="N56" s="96">
        <v>1</v>
      </c>
      <c r="O56" s="96">
        <v>1</v>
      </c>
      <c r="P56" s="96">
        <v>1</v>
      </c>
      <c r="Q56" s="96">
        <v>6</v>
      </c>
      <c r="R56" s="96">
        <v>6</v>
      </c>
      <c r="S56" s="96">
        <v>6</v>
      </c>
      <c r="T56" s="96">
        <v>6</v>
      </c>
      <c r="U56" s="96">
        <v>6</v>
      </c>
      <c r="V56" s="96">
        <v>6</v>
      </c>
    </row>
    <row r="57" spans="2:22" ht="16.149999999999999" customHeight="1">
      <c r="B57" s="173">
        <v>18</v>
      </c>
      <c r="C57" s="96">
        <v>5</v>
      </c>
      <c r="D57" s="96">
        <v>5</v>
      </c>
      <c r="E57" s="96">
        <v>5</v>
      </c>
      <c r="F57" s="96">
        <v>1</v>
      </c>
      <c r="G57" s="96">
        <v>1</v>
      </c>
      <c r="H57" s="96">
        <v>1</v>
      </c>
      <c r="I57" s="96">
        <v>1</v>
      </c>
      <c r="J57" s="96">
        <v>1</v>
      </c>
      <c r="K57" s="96">
        <v>1</v>
      </c>
      <c r="L57" s="96">
        <v>1</v>
      </c>
      <c r="M57" s="96">
        <v>1</v>
      </c>
      <c r="N57" s="96">
        <v>1</v>
      </c>
      <c r="O57" s="96">
        <v>1</v>
      </c>
      <c r="P57" s="96">
        <v>1</v>
      </c>
      <c r="Q57" s="96">
        <v>1</v>
      </c>
      <c r="R57" s="96">
        <v>6</v>
      </c>
      <c r="S57" s="96">
        <v>6</v>
      </c>
      <c r="T57" s="96">
        <v>6</v>
      </c>
      <c r="U57" s="96">
        <v>6</v>
      </c>
      <c r="V57" s="96">
        <v>3</v>
      </c>
    </row>
    <row r="58" spans="2:22" ht="16.149999999999999" customHeight="1">
      <c r="B58" s="173">
        <v>19</v>
      </c>
      <c r="C58" s="96">
        <v>5</v>
      </c>
      <c r="D58" s="96">
        <v>5</v>
      </c>
      <c r="E58" s="96">
        <v>5</v>
      </c>
      <c r="F58" s="96">
        <v>5</v>
      </c>
      <c r="G58" s="96">
        <v>1</v>
      </c>
      <c r="H58" s="96">
        <v>1</v>
      </c>
      <c r="I58" s="96">
        <v>1</v>
      </c>
      <c r="J58" s="96">
        <v>1</v>
      </c>
      <c r="K58" s="96">
        <v>1</v>
      </c>
      <c r="L58" s="96">
        <v>1</v>
      </c>
      <c r="M58" s="96">
        <v>3</v>
      </c>
      <c r="N58" s="96">
        <v>3</v>
      </c>
      <c r="O58" s="96">
        <v>3</v>
      </c>
      <c r="P58" s="96">
        <v>3</v>
      </c>
      <c r="Q58" s="96">
        <v>3</v>
      </c>
      <c r="R58" s="96">
        <v>3</v>
      </c>
      <c r="S58" s="96">
        <v>6</v>
      </c>
      <c r="T58" s="96">
        <v>6</v>
      </c>
      <c r="U58" s="96">
        <v>3</v>
      </c>
      <c r="V58" s="96">
        <v>3</v>
      </c>
    </row>
    <row r="59" spans="2:22" ht="16.149999999999999" customHeight="1">
      <c r="B59" s="173">
        <v>20</v>
      </c>
      <c r="C59" s="96">
        <v>5</v>
      </c>
      <c r="D59" s="96">
        <v>5</v>
      </c>
      <c r="E59" s="96">
        <v>5</v>
      </c>
      <c r="F59" s="96">
        <v>5</v>
      </c>
      <c r="G59" s="96">
        <v>5</v>
      </c>
      <c r="H59" s="96">
        <v>5</v>
      </c>
      <c r="I59" s="96">
        <v>5</v>
      </c>
      <c r="J59" s="96">
        <v>5</v>
      </c>
      <c r="K59" s="96">
        <v>5</v>
      </c>
      <c r="L59" s="96">
        <v>3</v>
      </c>
      <c r="M59" s="96">
        <v>3</v>
      </c>
      <c r="N59" s="96">
        <v>3</v>
      </c>
      <c r="O59" s="96">
        <v>3</v>
      </c>
      <c r="P59" s="96">
        <v>3</v>
      </c>
      <c r="Q59" s="96">
        <v>3</v>
      </c>
      <c r="R59" s="96">
        <v>3</v>
      </c>
      <c r="S59" s="96">
        <v>3</v>
      </c>
      <c r="T59" s="96">
        <v>3</v>
      </c>
      <c r="U59" s="96">
        <v>3</v>
      </c>
      <c r="V59" s="96">
        <v>3</v>
      </c>
    </row>
    <row r="60" spans="2:22" ht="14.45" customHeight="1"/>
    <row r="61" spans="2:22" ht="14.45" customHeight="1"/>
    <row r="62" spans="2:22" ht="14.45" customHeight="1"/>
    <row r="63" spans="2:22" ht="14.45" customHeight="1"/>
    <row r="64" spans="2:22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45" customHeight="1"/>
    <row r="102" ht="14.45" customHeight="1"/>
    <row r="103" ht="14.45" customHeight="1"/>
    <row r="104" ht="14.45" customHeight="1"/>
    <row r="105" ht="14.45" customHeight="1"/>
    <row r="106" ht="14.45" customHeight="1"/>
    <row r="107" ht="14.45" customHeight="1"/>
    <row r="108" ht="14.45" customHeight="1"/>
    <row r="109" ht="14.45" customHeight="1"/>
    <row r="110" ht="14.45" customHeight="1"/>
    <row r="111" ht="14.45" customHeight="1"/>
    <row r="112" ht="14.45" customHeight="1"/>
    <row r="113" ht="14.45" customHeight="1"/>
    <row r="114" ht="14.45" customHeight="1"/>
    <row r="115" ht="14.45" customHeight="1"/>
    <row r="116" ht="14.45" customHeight="1"/>
    <row r="117" ht="14.45" customHeight="1"/>
    <row r="118" ht="14.45" customHeight="1"/>
    <row r="119" ht="14.45" customHeight="1"/>
    <row r="120" ht="14.45" customHeight="1"/>
    <row r="121" ht="14.45" customHeight="1"/>
    <row r="122" ht="14.45" customHeight="1"/>
    <row r="123" ht="14.45" customHeight="1"/>
    <row r="124" ht="14.45" customHeight="1"/>
    <row r="125" ht="14.45" customHeight="1"/>
    <row r="126" ht="14.45" customHeight="1"/>
    <row r="127" ht="14.45" customHeight="1"/>
    <row r="128" ht="14.45" customHeight="1"/>
    <row r="129" ht="14.45" customHeight="1"/>
    <row r="130" ht="14.45" customHeight="1"/>
    <row r="131" ht="14.45" customHeight="1"/>
    <row r="132" ht="14.45" customHeight="1"/>
    <row r="133" ht="14.45" customHeight="1"/>
    <row r="134" ht="14.45" customHeight="1"/>
    <row r="135" ht="14.45" customHeight="1"/>
    <row r="136" ht="14.45" customHeight="1"/>
    <row r="137" ht="14.45" customHeight="1"/>
    <row r="138" ht="14.45" customHeight="1"/>
    <row r="139" ht="14.45" customHeight="1"/>
    <row r="140" ht="14.45" customHeight="1"/>
    <row r="141" ht="14.45" customHeight="1"/>
    <row r="142" ht="14.45" customHeight="1"/>
    <row r="143" ht="14.45" customHeight="1"/>
    <row r="144" ht="14.45" customHeight="1"/>
    <row r="145" spans="2:26" ht="14.45" customHeight="1"/>
    <row r="146" spans="2:26" ht="14.45" customHeight="1"/>
    <row r="147" spans="2:26" ht="14.45" customHeight="1"/>
    <row r="148" spans="2:26" ht="14.45" customHeight="1"/>
    <row r="149" spans="2:26" ht="14.45" customHeight="1"/>
    <row r="150" spans="2:26" ht="14.45" customHeight="1"/>
    <row r="151" spans="2:26" ht="14.45" customHeight="1"/>
    <row r="152" spans="2:26" ht="14.45" customHeight="1"/>
    <row r="153" spans="2:26" ht="14.45" hidden="1" customHeight="1"/>
    <row r="154" spans="2:26" ht="14.45" hidden="1" customHeight="1"/>
    <row r="155" spans="2:26" ht="14.45" hidden="1" customHeight="1"/>
    <row r="156" spans="2:26" ht="14.45" hidden="1" customHeight="1" thickBot="1">
      <c r="C156" s="116">
        <v>1</v>
      </c>
      <c r="D156" s="116">
        <v>2</v>
      </c>
      <c r="E156" s="116">
        <v>3</v>
      </c>
      <c r="F156" s="116">
        <v>4</v>
      </c>
      <c r="G156" s="116">
        <v>5</v>
      </c>
      <c r="H156" s="116">
        <v>6</v>
      </c>
      <c r="I156" s="116">
        <v>7</v>
      </c>
      <c r="J156" s="116">
        <v>8</v>
      </c>
      <c r="K156" s="116">
        <v>9</v>
      </c>
      <c r="L156" s="116">
        <v>10</v>
      </c>
      <c r="M156" s="116">
        <v>11</v>
      </c>
      <c r="N156" s="116">
        <v>12</v>
      </c>
      <c r="O156" s="116">
        <v>13</v>
      </c>
      <c r="P156" s="116">
        <v>14</v>
      </c>
      <c r="Q156" s="116">
        <v>15</v>
      </c>
      <c r="R156" s="116">
        <v>16</v>
      </c>
      <c r="S156" s="116">
        <v>17</v>
      </c>
      <c r="T156" s="116">
        <v>18</v>
      </c>
      <c r="U156" s="116">
        <v>19</v>
      </c>
      <c r="V156" s="116">
        <v>20</v>
      </c>
    </row>
    <row r="157" spans="2:26" ht="14.45" hidden="1" customHeight="1">
      <c r="B157" s="117">
        <v>1</v>
      </c>
      <c r="C157" s="126">
        <v>2</v>
      </c>
      <c r="D157" s="127">
        <v>2</v>
      </c>
      <c r="E157" s="127">
        <v>2</v>
      </c>
      <c r="F157" s="127">
        <v>2</v>
      </c>
      <c r="G157" s="127">
        <v>2</v>
      </c>
      <c r="H157" s="127">
        <v>2</v>
      </c>
      <c r="I157" s="127">
        <v>2</v>
      </c>
      <c r="J157" s="127">
        <v>2</v>
      </c>
      <c r="K157" s="127">
        <v>2</v>
      </c>
      <c r="L157" s="127">
        <v>2</v>
      </c>
      <c r="M157" s="127">
        <v>2</v>
      </c>
      <c r="N157" s="127">
        <v>2</v>
      </c>
      <c r="O157" s="127">
        <v>2</v>
      </c>
      <c r="P157" s="127">
        <v>7</v>
      </c>
      <c r="Q157" s="127">
        <v>7</v>
      </c>
      <c r="R157" s="127">
        <v>2</v>
      </c>
      <c r="S157" s="127">
        <v>2</v>
      </c>
      <c r="T157" s="127">
        <v>2</v>
      </c>
      <c r="U157" s="127">
        <v>2</v>
      </c>
      <c r="V157" s="127">
        <v>2</v>
      </c>
      <c r="X157" s="4">
        <v>1</v>
      </c>
      <c r="Y157" s="119"/>
      <c r="Z157" t="s">
        <v>53</v>
      </c>
    </row>
    <row r="158" spans="2:26" ht="14.45" hidden="1" customHeight="1">
      <c r="B158" s="117">
        <v>2</v>
      </c>
      <c r="C158" s="7">
        <v>2</v>
      </c>
      <c r="D158" s="8">
        <v>2</v>
      </c>
      <c r="E158" s="8">
        <v>2</v>
      </c>
      <c r="F158" s="8">
        <v>2</v>
      </c>
      <c r="G158" s="8">
        <v>2</v>
      </c>
      <c r="H158" s="8">
        <v>2</v>
      </c>
      <c r="I158" s="8">
        <v>2</v>
      </c>
      <c r="J158" s="8">
        <v>2</v>
      </c>
      <c r="K158" s="8">
        <v>2</v>
      </c>
      <c r="L158" s="8">
        <v>2</v>
      </c>
      <c r="M158" s="8">
        <v>2</v>
      </c>
      <c r="N158" s="8">
        <v>2</v>
      </c>
      <c r="O158" s="8">
        <v>8</v>
      </c>
      <c r="P158" s="8">
        <v>8</v>
      </c>
      <c r="Q158" s="8">
        <v>7</v>
      </c>
      <c r="R158" s="8">
        <v>7</v>
      </c>
      <c r="S158" s="8">
        <v>2</v>
      </c>
      <c r="T158" s="8">
        <v>2</v>
      </c>
      <c r="U158" s="8">
        <v>2</v>
      </c>
      <c r="V158" s="8">
        <v>2</v>
      </c>
      <c r="X158" s="4">
        <v>2</v>
      </c>
      <c r="Y158" s="118"/>
      <c r="Z158" t="s">
        <v>54</v>
      </c>
    </row>
    <row r="159" spans="2:26" ht="14.45" hidden="1" customHeight="1">
      <c r="B159" s="117">
        <v>3</v>
      </c>
      <c r="C159" s="7">
        <v>2</v>
      </c>
      <c r="D159" s="8">
        <v>2</v>
      </c>
      <c r="E159" s="8">
        <v>2</v>
      </c>
      <c r="F159" s="8">
        <v>2</v>
      </c>
      <c r="G159" s="8">
        <v>2</v>
      </c>
      <c r="H159" s="8">
        <v>2</v>
      </c>
      <c r="I159" s="8">
        <v>2</v>
      </c>
      <c r="J159" s="8">
        <v>2</v>
      </c>
      <c r="K159" s="8">
        <v>2</v>
      </c>
      <c r="L159" s="8">
        <v>2</v>
      </c>
      <c r="M159" s="8">
        <v>2</v>
      </c>
      <c r="N159" s="8">
        <v>2</v>
      </c>
      <c r="O159" s="8">
        <v>8</v>
      </c>
      <c r="P159" s="8">
        <v>8</v>
      </c>
      <c r="Q159" s="8">
        <v>8</v>
      </c>
      <c r="R159" s="8">
        <v>8</v>
      </c>
      <c r="S159" s="8">
        <v>7</v>
      </c>
      <c r="T159" s="8">
        <v>2</v>
      </c>
      <c r="U159" s="8">
        <v>1</v>
      </c>
      <c r="V159" s="8">
        <v>1</v>
      </c>
      <c r="X159" s="4">
        <v>3</v>
      </c>
      <c r="Y159" s="125"/>
      <c r="Z159" t="s">
        <v>55</v>
      </c>
    </row>
    <row r="160" spans="2:26" ht="14.45" hidden="1" customHeight="1">
      <c r="B160" s="117">
        <v>4</v>
      </c>
      <c r="C160" s="7">
        <v>1</v>
      </c>
      <c r="D160" s="8">
        <v>1</v>
      </c>
      <c r="E160" s="8">
        <v>2</v>
      </c>
      <c r="F160" s="8">
        <v>2</v>
      </c>
      <c r="G160" s="8">
        <v>2</v>
      </c>
      <c r="H160" s="8">
        <v>2</v>
      </c>
      <c r="I160" s="8">
        <v>2</v>
      </c>
      <c r="J160" s="8">
        <v>2</v>
      </c>
      <c r="K160" s="8">
        <v>2</v>
      </c>
      <c r="L160" s="8">
        <v>2</v>
      </c>
      <c r="M160" s="8">
        <v>2</v>
      </c>
      <c r="N160" s="8">
        <v>2</v>
      </c>
      <c r="O160" s="8">
        <v>8</v>
      </c>
      <c r="P160" s="8">
        <v>8</v>
      </c>
      <c r="Q160" s="8">
        <v>8</v>
      </c>
      <c r="R160" s="8">
        <v>8</v>
      </c>
      <c r="S160" s="8">
        <v>8</v>
      </c>
      <c r="T160" s="8">
        <v>6</v>
      </c>
      <c r="U160" s="8">
        <v>2</v>
      </c>
      <c r="V160" s="8">
        <v>1</v>
      </c>
      <c r="X160" s="4">
        <v>4</v>
      </c>
      <c r="Y160" s="124"/>
      <c r="Z160" t="s">
        <v>56</v>
      </c>
    </row>
    <row r="161" spans="2:26" ht="14.45" hidden="1" customHeight="1">
      <c r="B161" s="117">
        <v>5</v>
      </c>
      <c r="C161" s="7">
        <v>1</v>
      </c>
      <c r="D161" s="8">
        <v>1</v>
      </c>
      <c r="E161" s="8">
        <v>1</v>
      </c>
      <c r="F161" s="8">
        <v>2</v>
      </c>
      <c r="G161" s="8">
        <v>2</v>
      </c>
      <c r="H161" s="8">
        <v>2</v>
      </c>
      <c r="I161" s="8">
        <v>2</v>
      </c>
      <c r="J161" s="8">
        <v>2</v>
      </c>
      <c r="K161" s="8">
        <v>2</v>
      </c>
      <c r="L161" s="8">
        <v>2</v>
      </c>
      <c r="M161" s="8">
        <v>2</v>
      </c>
      <c r="N161" s="8">
        <v>2</v>
      </c>
      <c r="O161" s="8">
        <v>6</v>
      </c>
      <c r="P161" s="8">
        <v>6</v>
      </c>
      <c r="Q161" s="8">
        <v>6</v>
      </c>
      <c r="R161" s="8">
        <v>6</v>
      </c>
      <c r="S161" s="8">
        <v>6</v>
      </c>
      <c r="T161" s="8">
        <v>6</v>
      </c>
      <c r="U161" s="8">
        <v>6</v>
      </c>
      <c r="V161" s="8">
        <v>6</v>
      </c>
      <c r="X161" s="4">
        <v>5</v>
      </c>
      <c r="Y161" s="123"/>
      <c r="Z161" t="s">
        <v>57</v>
      </c>
    </row>
    <row r="162" spans="2:26" ht="14.45" hidden="1" customHeight="1">
      <c r="B162" s="117">
        <v>6</v>
      </c>
      <c r="C162" s="7">
        <v>1</v>
      </c>
      <c r="D162" s="8">
        <v>1</v>
      </c>
      <c r="E162" s="8">
        <v>1</v>
      </c>
      <c r="F162" s="8">
        <v>1</v>
      </c>
      <c r="G162" s="8">
        <v>2</v>
      </c>
      <c r="H162" s="8">
        <v>2</v>
      </c>
      <c r="I162" s="8">
        <v>2</v>
      </c>
      <c r="J162" s="8">
        <v>2</v>
      </c>
      <c r="K162" s="8">
        <v>2</v>
      </c>
      <c r="L162" s="8">
        <v>1</v>
      </c>
      <c r="M162" s="8">
        <v>1</v>
      </c>
      <c r="N162" s="8">
        <v>1</v>
      </c>
      <c r="O162" s="8">
        <v>6</v>
      </c>
      <c r="P162" s="8">
        <v>6</v>
      </c>
      <c r="Q162" s="8">
        <v>6</v>
      </c>
      <c r="R162" s="8">
        <v>6</v>
      </c>
      <c r="S162" s="8">
        <v>6</v>
      </c>
      <c r="T162" s="8">
        <v>6</v>
      </c>
      <c r="U162" s="8">
        <v>6</v>
      </c>
      <c r="V162" s="8">
        <v>6</v>
      </c>
      <c r="X162" s="4">
        <v>6</v>
      </c>
      <c r="Y162" s="121"/>
      <c r="Z162" t="s">
        <v>58</v>
      </c>
    </row>
    <row r="163" spans="2:26" ht="14.45" hidden="1" customHeight="1">
      <c r="B163" s="117">
        <v>7</v>
      </c>
      <c r="C163" s="7">
        <v>1</v>
      </c>
      <c r="D163" s="8">
        <v>1</v>
      </c>
      <c r="E163" s="8">
        <v>1</v>
      </c>
      <c r="F163" s="8">
        <v>1</v>
      </c>
      <c r="G163" s="8">
        <v>1</v>
      </c>
      <c r="H163" s="8">
        <v>2</v>
      </c>
      <c r="I163" s="8">
        <v>2</v>
      </c>
      <c r="J163" s="8">
        <v>2</v>
      </c>
      <c r="K163" s="8">
        <v>1</v>
      </c>
      <c r="L163" s="8">
        <v>1</v>
      </c>
      <c r="M163" s="8">
        <v>1</v>
      </c>
      <c r="N163" s="8">
        <v>1</v>
      </c>
      <c r="O163" s="8">
        <v>6</v>
      </c>
      <c r="P163" s="8">
        <v>6</v>
      </c>
      <c r="Q163" s="8">
        <v>6</v>
      </c>
      <c r="R163" s="8">
        <v>6</v>
      </c>
      <c r="S163" s="8">
        <v>6</v>
      </c>
      <c r="T163" s="8">
        <v>6</v>
      </c>
      <c r="U163" s="8">
        <v>6</v>
      </c>
      <c r="V163" s="8">
        <v>6</v>
      </c>
      <c r="X163" s="4">
        <v>7</v>
      </c>
      <c r="Y163" s="120"/>
      <c r="Z163" t="s">
        <v>59</v>
      </c>
    </row>
    <row r="164" spans="2:26" ht="14.45" hidden="1" customHeight="1">
      <c r="B164" s="117">
        <v>8</v>
      </c>
      <c r="C164" s="7">
        <v>1</v>
      </c>
      <c r="D164" s="8">
        <v>1</v>
      </c>
      <c r="E164" s="8">
        <v>1</v>
      </c>
      <c r="F164" s="8">
        <v>1</v>
      </c>
      <c r="G164" s="8">
        <v>1</v>
      </c>
      <c r="H164" s="8">
        <v>2</v>
      </c>
      <c r="I164" s="8">
        <v>2</v>
      </c>
      <c r="J164" s="8">
        <v>2</v>
      </c>
      <c r="K164" s="8">
        <v>2</v>
      </c>
      <c r="L164" s="8">
        <v>1</v>
      </c>
      <c r="M164" s="8">
        <v>1</v>
      </c>
      <c r="N164" s="8">
        <v>1</v>
      </c>
      <c r="O164" s="8">
        <v>6</v>
      </c>
      <c r="P164" s="8">
        <v>6</v>
      </c>
      <c r="Q164" s="8">
        <v>6</v>
      </c>
      <c r="R164" s="8">
        <v>6</v>
      </c>
      <c r="S164" s="8">
        <v>6</v>
      </c>
      <c r="T164" s="8">
        <v>6</v>
      </c>
      <c r="U164" s="8">
        <v>6</v>
      </c>
      <c r="V164" s="8">
        <v>6</v>
      </c>
      <c r="X164" s="4">
        <v>8</v>
      </c>
      <c r="Y164" s="122"/>
      <c r="Z164" t="s">
        <v>60</v>
      </c>
    </row>
    <row r="165" spans="2:26" ht="14.45" hidden="1" customHeight="1">
      <c r="B165" s="117">
        <v>9</v>
      </c>
      <c r="C165" s="7">
        <v>1</v>
      </c>
      <c r="D165" s="8">
        <v>1</v>
      </c>
      <c r="E165" s="8">
        <v>1</v>
      </c>
      <c r="F165" s="8">
        <v>1</v>
      </c>
      <c r="G165" s="8">
        <v>1</v>
      </c>
      <c r="H165" s="8">
        <v>2</v>
      </c>
      <c r="I165" s="8">
        <v>2</v>
      </c>
      <c r="J165" s="8">
        <v>2</v>
      </c>
      <c r="K165" s="8">
        <v>2</v>
      </c>
      <c r="L165" s="8">
        <v>1</v>
      </c>
      <c r="M165" s="8">
        <v>1</v>
      </c>
      <c r="N165" s="8">
        <v>1</v>
      </c>
      <c r="O165" s="8">
        <v>6</v>
      </c>
      <c r="P165" s="8">
        <v>6</v>
      </c>
      <c r="Q165" s="8">
        <v>6</v>
      </c>
      <c r="R165" s="8">
        <v>6</v>
      </c>
      <c r="S165" s="8">
        <v>6</v>
      </c>
      <c r="T165" s="8">
        <v>6</v>
      </c>
      <c r="U165" s="8">
        <v>6</v>
      </c>
      <c r="V165" s="8">
        <v>6</v>
      </c>
    </row>
    <row r="166" spans="2:26" ht="14.45" hidden="1" customHeight="1">
      <c r="B166" s="117">
        <v>10</v>
      </c>
      <c r="C166" s="7">
        <v>1</v>
      </c>
      <c r="D166" s="8">
        <v>1</v>
      </c>
      <c r="E166" s="8">
        <v>1</v>
      </c>
      <c r="F166" s="8">
        <v>1</v>
      </c>
      <c r="G166" s="8">
        <v>1</v>
      </c>
      <c r="H166" s="8">
        <v>2</v>
      </c>
      <c r="I166" s="8">
        <v>2</v>
      </c>
      <c r="J166" s="8">
        <v>2</v>
      </c>
      <c r="K166" s="8">
        <v>1</v>
      </c>
      <c r="L166" s="8">
        <v>1</v>
      </c>
      <c r="M166" s="8">
        <v>1</v>
      </c>
      <c r="N166" s="8">
        <v>6</v>
      </c>
      <c r="O166" s="8">
        <v>6</v>
      </c>
      <c r="P166" s="8">
        <v>6</v>
      </c>
      <c r="Q166" s="8">
        <v>6</v>
      </c>
      <c r="R166" s="8">
        <v>6</v>
      </c>
      <c r="S166" s="8">
        <v>6</v>
      </c>
      <c r="T166" s="8">
        <v>6</v>
      </c>
      <c r="U166" s="8">
        <v>6</v>
      </c>
      <c r="V166" s="8">
        <v>1</v>
      </c>
    </row>
    <row r="167" spans="2:26" ht="14.45" hidden="1" customHeight="1">
      <c r="B167" s="117">
        <v>11</v>
      </c>
      <c r="C167" s="7">
        <v>1</v>
      </c>
      <c r="D167" s="8">
        <v>1</v>
      </c>
      <c r="E167" s="8">
        <v>1</v>
      </c>
      <c r="F167" s="8">
        <v>1</v>
      </c>
      <c r="G167" s="8">
        <v>1</v>
      </c>
      <c r="H167" s="8">
        <v>2</v>
      </c>
      <c r="I167" s="8">
        <v>2</v>
      </c>
      <c r="J167" s="8">
        <v>2</v>
      </c>
      <c r="K167" s="8">
        <v>2</v>
      </c>
      <c r="L167" s="8">
        <v>1</v>
      </c>
      <c r="M167" s="8">
        <v>1</v>
      </c>
      <c r="N167" s="8">
        <v>1</v>
      </c>
      <c r="O167" s="8">
        <v>6</v>
      </c>
      <c r="P167" s="8">
        <v>6</v>
      </c>
      <c r="Q167" s="8">
        <v>6</v>
      </c>
      <c r="R167" s="8">
        <v>6</v>
      </c>
      <c r="S167" s="8">
        <v>6</v>
      </c>
      <c r="T167" s="8">
        <v>6</v>
      </c>
      <c r="U167" s="8">
        <v>6</v>
      </c>
      <c r="V167" s="8">
        <v>1</v>
      </c>
    </row>
    <row r="168" spans="2:26" ht="14.45" hidden="1" customHeight="1">
      <c r="B168" s="117">
        <v>12</v>
      </c>
      <c r="C168" s="7">
        <v>1</v>
      </c>
      <c r="D168" s="8">
        <v>1</v>
      </c>
      <c r="E168" s="8">
        <v>1</v>
      </c>
      <c r="F168" s="8">
        <v>1</v>
      </c>
      <c r="G168" s="8">
        <v>1</v>
      </c>
      <c r="H168" s="8">
        <v>2</v>
      </c>
      <c r="I168" s="8">
        <v>2</v>
      </c>
      <c r="J168" s="8">
        <v>2</v>
      </c>
      <c r="K168" s="8">
        <v>1</v>
      </c>
      <c r="L168" s="8">
        <v>1</v>
      </c>
      <c r="M168" s="8">
        <v>1</v>
      </c>
      <c r="N168" s="8">
        <v>2</v>
      </c>
      <c r="O168" s="8">
        <v>6</v>
      </c>
      <c r="P168" s="8">
        <v>6</v>
      </c>
      <c r="Q168" s="8">
        <v>6</v>
      </c>
      <c r="R168" s="8">
        <v>6</v>
      </c>
      <c r="S168" s="8">
        <v>6</v>
      </c>
      <c r="T168" s="8">
        <v>6</v>
      </c>
      <c r="U168" s="8">
        <v>6</v>
      </c>
      <c r="V168" s="8">
        <v>1</v>
      </c>
    </row>
    <row r="169" spans="2:26" ht="14.45" hidden="1" customHeight="1">
      <c r="B169" s="117">
        <v>13</v>
      </c>
      <c r="C169" s="7">
        <v>5</v>
      </c>
      <c r="D169" s="8">
        <v>1</v>
      </c>
      <c r="E169" s="8">
        <v>1</v>
      </c>
      <c r="F169" s="8">
        <v>1</v>
      </c>
      <c r="G169" s="8">
        <v>1</v>
      </c>
      <c r="H169" s="8">
        <v>1</v>
      </c>
      <c r="I169" s="8">
        <v>2</v>
      </c>
      <c r="J169" s="8">
        <v>2</v>
      </c>
      <c r="K169" s="8">
        <v>2</v>
      </c>
      <c r="L169" s="8">
        <v>2</v>
      </c>
      <c r="M169" s="8">
        <v>1</v>
      </c>
      <c r="N169" s="8">
        <v>1</v>
      </c>
      <c r="O169" s="8">
        <v>6</v>
      </c>
      <c r="P169" s="8">
        <v>6</v>
      </c>
      <c r="Q169" s="8">
        <v>6</v>
      </c>
      <c r="R169" s="8">
        <v>6</v>
      </c>
      <c r="S169" s="8">
        <v>6</v>
      </c>
      <c r="T169" s="8">
        <v>6</v>
      </c>
      <c r="U169" s="8">
        <v>6</v>
      </c>
      <c r="V169" s="8">
        <v>1</v>
      </c>
    </row>
    <row r="170" spans="2:26" ht="14.45" hidden="1" customHeight="1">
      <c r="B170" s="117">
        <v>14</v>
      </c>
      <c r="C170" s="7">
        <v>5</v>
      </c>
      <c r="D170" s="8">
        <v>1</v>
      </c>
      <c r="E170" s="8">
        <v>1</v>
      </c>
      <c r="F170" s="8">
        <v>1</v>
      </c>
      <c r="G170" s="8">
        <v>1</v>
      </c>
      <c r="H170" s="8">
        <v>1</v>
      </c>
      <c r="I170" s="8">
        <v>2</v>
      </c>
      <c r="J170" s="8">
        <v>2</v>
      </c>
      <c r="K170" s="8">
        <v>1</v>
      </c>
      <c r="L170" s="8">
        <v>2</v>
      </c>
      <c r="M170" s="8">
        <v>1</v>
      </c>
      <c r="N170" s="8">
        <v>2</v>
      </c>
      <c r="O170" s="8">
        <v>6</v>
      </c>
      <c r="P170" s="8">
        <v>6</v>
      </c>
      <c r="Q170" s="8">
        <v>6</v>
      </c>
      <c r="R170" s="8">
        <v>6</v>
      </c>
      <c r="S170" s="8">
        <v>6</v>
      </c>
      <c r="T170" s="8">
        <v>6</v>
      </c>
      <c r="U170" s="8">
        <v>1</v>
      </c>
      <c r="V170" s="8">
        <v>1</v>
      </c>
    </row>
    <row r="171" spans="2:26" ht="14.45" hidden="1" customHeight="1">
      <c r="B171" s="117">
        <v>15</v>
      </c>
      <c r="C171" s="7">
        <v>5</v>
      </c>
      <c r="D171" s="8">
        <v>1</v>
      </c>
      <c r="E171" s="8">
        <v>1</v>
      </c>
      <c r="F171" s="8">
        <v>1</v>
      </c>
      <c r="G171" s="8">
        <v>1</v>
      </c>
      <c r="H171" s="8">
        <v>1</v>
      </c>
      <c r="I171" s="8">
        <v>1</v>
      </c>
      <c r="J171" s="8">
        <v>1</v>
      </c>
      <c r="K171" s="8">
        <v>2</v>
      </c>
      <c r="L171" s="8">
        <v>2</v>
      </c>
      <c r="M171" s="8">
        <v>1</v>
      </c>
      <c r="N171" s="8">
        <v>2</v>
      </c>
      <c r="O171" s="8">
        <v>5</v>
      </c>
      <c r="P171" s="8">
        <v>6</v>
      </c>
      <c r="Q171" s="8">
        <v>6</v>
      </c>
      <c r="R171" s="8">
        <v>6</v>
      </c>
      <c r="S171" s="8">
        <v>6</v>
      </c>
      <c r="T171" s="8">
        <v>6</v>
      </c>
      <c r="U171" s="8">
        <v>1</v>
      </c>
      <c r="V171" s="8">
        <v>1</v>
      </c>
    </row>
    <row r="172" spans="2:26" ht="14.45" hidden="1" customHeight="1">
      <c r="B172" s="117">
        <v>16</v>
      </c>
      <c r="C172" s="7">
        <v>5</v>
      </c>
      <c r="D172" s="8">
        <v>5</v>
      </c>
      <c r="E172" s="8">
        <v>1</v>
      </c>
      <c r="F172" s="8">
        <v>1</v>
      </c>
      <c r="G172" s="8">
        <v>1</v>
      </c>
      <c r="H172" s="8">
        <v>1</v>
      </c>
      <c r="I172" s="8">
        <v>1</v>
      </c>
      <c r="J172" s="8">
        <v>1</v>
      </c>
      <c r="K172" s="8">
        <v>1</v>
      </c>
      <c r="L172" s="8">
        <v>1</v>
      </c>
      <c r="M172" s="8">
        <v>1</v>
      </c>
      <c r="N172" s="8">
        <v>2</v>
      </c>
      <c r="O172" s="8">
        <v>6</v>
      </c>
      <c r="P172" s="8">
        <v>6</v>
      </c>
      <c r="Q172" s="8">
        <v>6</v>
      </c>
      <c r="R172" s="8">
        <v>6</v>
      </c>
      <c r="S172" s="8">
        <v>6</v>
      </c>
      <c r="T172" s="8">
        <v>6</v>
      </c>
      <c r="U172" s="8">
        <v>1</v>
      </c>
      <c r="V172" s="8">
        <v>1</v>
      </c>
    </row>
    <row r="173" spans="2:26" ht="14.45" hidden="1" customHeight="1">
      <c r="B173" s="117">
        <v>17</v>
      </c>
      <c r="C173" s="7">
        <v>5</v>
      </c>
      <c r="D173" s="8">
        <v>5</v>
      </c>
      <c r="E173" s="8">
        <v>1</v>
      </c>
      <c r="F173" s="8">
        <v>1</v>
      </c>
      <c r="G173" s="8">
        <v>1</v>
      </c>
      <c r="H173" s="8">
        <v>1</v>
      </c>
      <c r="I173" s="8">
        <v>1</v>
      </c>
      <c r="J173" s="8">
        <v>1</v>
      </c>
      <c r="K173" s="8">
        <v>1</v>
      </c>
      <c r="L173" s="8">
        <v>1</v>
      </c>
      <c r="M173" s="8">
        <v>1</v>
      </c>
      <c r="N173" s="8">
        <v>2</v>
      </c>
      <c r="O173" s="8">
        <v>6</v>
      </c>
      <c r="P173" s="8">
        <v>6</v>
      </c>
      <c r="Q173" s="8">
        <v>6</v>
      </c>
      <c r="R173" s="8">
        <v>6</v>
      </c>
      <c r="S173" s="8">
        <v>6</v>
      </c>
      <c r="T173" s="8">
        <v>6</v>
      </c>
      <c r="U173" s="8">
        <v>1</v>
      </c>
      <c r="V173" s="8">
        <v>1</v>
      </c>
    </row>
    <row r="174" spans="2:26" ht="14.45" hidden="1" customHeight="1">
      <c r="B174" s="117">
        <v>18</v>
      </c>
      <c r="C174" s="7">
        <v>5</v>
      </c>
      <c r="D174" s="8">
        <v>5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1</v>
      </c>
      <c r="K174" s="8">
        <v>1</v>
      </c>
      <c r="L174" s="8">
        <v>1</v>
      </c>
      <c r="M174" s="8">
        <v>1</v>
      </c>
      <c r="N174" s="8">
        <v>2</v>
      </c>
      <c r="O174" s="8">
        <v>2</v>
      </c>
      <c r="P174" s="8">
        <v>2</v>
      </c>
      <c r="Q174" s="8">
        <v>6</v>
      </c>
      <c r="R174" s="8">
        <v>6</v>
      </c>
      <c r="S174" s="8">
        <v>6</v>
      </c>
      <c r="T174" s="8">
        <v>6</v>
      </c>
      <c r="U174" s="8">
        <v>5</v>
      </c>
      <c r="V174" s="8">
        <v>1</v>
      </c>
    </row>
    <row r="175" spans="2:26" ht="14.45" hidden="1" customHeight="1">
      <c r="B175" s="117">
        <v>19</v>
      </c>
      <c r="C175" s="7">
        <v>5</v>
      </c>
      <c r="D175" s="8">
        <v>5</v>
      </c>
      <c r="E175" s="8">
        <v>1</v>
      </c>
      <c r="F175" s="8">
        <v>5</v>
      </c>
      <c r="G175" s="8">
        <v>1</v>
      </c>
      <c r="H175" s="8">
        <v>1</v>
      </c>
      <c r="I175" s="8">
        <v>1</v>
      </c>
      <c r="J175" s="8">
        <v>1</v>
      </c>
      <c r="K175" s="8">
        <v>1</v>
      </c>
      <c r="L175" s="8">
        <v>1</v>
      </c>
      <c r="M175" s="8">
        <v>1</v>
      </c>
      <c r="N175" s="8">
        <v>2</v>
      </c>
      <c r="O175" s="8">
        <v>5</v>
      </c>
      <c r="P175" s="8">
        <v>2</v>
      </c>
      <c r="Q175" s="8">
        <v>2</v>
      </c>
      <c r="R175" s="8">
        <v>6</v>
      </c>
      <c r="S175" s="8">
        <v>6</v>
      </c>
      <c r="T175" s="8">
        <v>6</v>
      </c>
      <c r="U175" s="8">
        <v>5</v>
      </c>
      <c r="V175" s="8">
        <v>1</v>
      </c>
    </row>
    <row r="176" spans="2:26" ht="14.45" hidden="1" customHeight="1">
      <c r="B176" s="117">
        <v>20</v>
      </c>
      <c r="C176" s="7">
        <v>5</v>
      </c>
      <c r="D176" s="8">
        <v>5</v>
      </c>
      <c r="E176" s="8">
        <v>5</v>
      </c>
      <c r="F176" s="8">
        <v>5</v>
      </c>
      <c r="G176" s="8">
        <v>5</v>
      </c>
      <c r="H176" s="8">
        <v>5</v>
      </c>
      <c r="I176" s="8">
        <v>5</v>
      </c>
      <c r="J176" s="8">
        <v>5</v>
      </c>
      <c r="K176" s="8">
        <v>5</v>
      </c>
      <c r="L176" s="8">
        <v>3</v>
      </c>
      <c r="M176" s="8">
        <v>3</v>
      </c>
      <c r="N176" s="8">
        <v>3</v>
      </c>
      <c r="O176" s="8">
        <v>3</v>
      </c>
      <c r="P176" s="8">
        <v>3</v>
      </c>
      <c r="Q176" s="8">
        <v>3</v>
      </c>
      <c r="R176" s="8">
        <v>3</v>
      </c>
      <c r="S176" s="8">
        <v>3</v>
      </c>
      <c r="T176" s="8">
        <v>3</v>
      </c>
      <c r="U176" s="8">
        <v>1</v>
      </c>
      <c r="V176" s="8">
        <v>1</v>
      </c>
    </row>
    <row r="177" spans="2:26" ht="14.45" hidden="1" customHeight="1"/>
    <row r="178" spans="2:26" ht="14.45" hidden="1" customHeight="1"/>
    <row r="179" spans="2:26" ht="14.45" customHeight="1"/>
    <row r="180" spans="2:26" ht="14.45" customHeight="1"/>
    <row r="181" spans="2:26" ht="14.45" customHeight="1"/>
    <row r="182" spans="2:26" ht="14.45" customHeight="1"/>
    <row r="183" spans="2:26" ht="14.45" customHeight="1"/>
    <row r="184" spans="2:26" ht="14.45" customHeight="1" thickBot="1">
      <c r="C184" s="116">
        <v>1</v>
      </c>
      <c r="D184" s="116">
        <v>2</v>
      </c>
      <c r="E184" s="116">
        <v>3</v>
      </c>
      <c r="F184" s="116">
        <v>4</v>
      </c>
      <c r="G184" s="116">
        <v>5</v>
      </c>
      <c r="H184" s="116">
        <v>6</v>
      </c>
      <c r="I184" s="116">
        <v>7</v>
      </c>
      <c r="J184" s="116">
        <v>8</v>
      </c>
      <c r="K184" s="116">
        <v>9</v>
      </c>
      <c r="L184" s="116">
        <v>10</v>
      </c>
      <c r="M184" s="116">
        <v>11</v>
      </c>
      <c r="N184" s="116">
        <v>12</v>
      </c>
      <c r="O184" s="116">
        <v>13</v>
      </c>
      <c r="P184" s="116">
        <v>14</v>
      </c>
      <c r="Q184" s="116">
        <v>15</v>
      </c>
      <c r="R184" s="116">
        <v>16</v>
      </c>
      <c r="S184" s="116">
        <v>17</v>
      </c>
      <c r="T184" s="116">
        <v>18</v>
      </c>
      <c r="U184" s="116">
        <v>19</v>
      </c>
      <c r="V184" s="116">
        <v>20</v>
      </c>
    </row>
    <row r="185" spans="2:26" ht="16.149999999999999" customHeight="1">
      <c r="B185" s="117">
        <v>1</v>
      </c>
      <c r="C185" s="126">
        <v>1</v>
      </c>
      <c r="D185" s="127">
        <v>7</v>
      </c>
      <c r="E185" s="127">
        <v>2</v>
      </c>
      <c r="F185" s="127">
        <v>3</v>
      </c>
      <c r="G185" s="127">
        <v>7</v>
      </c>
      <c r="H185" s="127">
        <v>5</v>
      </c>
      <c r="I185" s="127">
        <v>4</v>
      </c>
      <c r="J185" s="127">
        <v>4</v>
      </c>
      <c r="K185" s="127">
        <v>4</v>
      </c>
      <c r="L185" s="127">
        <v>4</v>
      </c>
      <c r="M185" s="127">
        <v>3</v>
      </c>
      <c r="N185" s="127">
        <v>3</v>
      </c>
      <c r="O185" s="127">
        <v>4</v>
      </c>
      <c r="P185" s="127">
        <v>4</v>
      </c>
      <c r="Q185" s="127">
        <v>3</v>
      </c>
      <c r="R185" s="127">
        <v>5</v>
      </c>
      <c r="S185" s="127">
        <v>4</v>
      </c>
      <c r="T185" s="127">
        <v>4</v>
      </c>
      <c r="U185" s="127">
        <v>3</v>
      </c>
      <c r="V185" s="127">
        <v>5</v>
      </c>
      <c r="X185" s="4">
        <v>1</v>
      </c>
      <c r="Y185" s="119"/>
      <c r="Z185" t="s">
        <v>53</v>
      </c>
    </row>
    <row r="186" spans="2:26" ht="16.149999999999999" customHeight="1">
      <c r="B186" s="117">
        <v>2</v>
      </c>
      <c r="C186" s="7">
        <v>4</v>
      </c>
      <c r="D186" s="8">
        <v>4</v>
      </c>
      <c r="E186" s="8">
        <v>8</v>
      </c>
      <c r="F186" s="8">
        <v>3</v>
      </c>
      <c r="G186" s="8">
        <v>4</v>
      </c>
      <c r="H186" s="8">
        <v>5</v>
      </c>
      <c r="I186" s="8">
        <v>4</v>
      </c>
      <c r="J186" s="8">
        <v>3</v>
      </c>
      <c r="K186" s="8">
        <v>3</v>
      </c>
      <c r="L186" s="8">
        <v>3</v>
      </c>
      <c r="M186" s="8">
        <v>4</v>
      </c>
      <c r="N186" s="8">
        <v>2</v>
      </c>
      <c r="O186" s="8">
        <v>4</v>
      </c>
      <c r="P186" s="8">
        <v>3</v>
      </c>
      <c r="Q186" s="8">
        <v>4</v>
      </c>
      <c r="R186" s="8">
        <v>5</v>
      </c>
      <c r="S186" s="8">
        <v>5</v>
      </c>
      <c r="T186" s="8">
        <v>4</v>
      </c>
      <c r="U186" s="8">
        <v>4</v>
      </c>
      <c r="V186" s="8">
        <v>3</v>
      </c>
      <c r="X186" s="4">
        <v>2</v>
      </c>
      <c r="Y186" s="118"/>
      <c r="Z186" t="s">
        <v>54</v>
      </c>
    </row>
    <row r="187" spans="2:26" ht="16.149999999999999" customHeight="1">
      <c r="B187" s="117">
        <v>3</v>
      </c>
      <c r="C187" s="7">
        <v>1</v>
      </c>
      <c r="D187" s="8">
        <v>3</v>
      </c>
      <c r="E187" s="8">
        <v>3</v>
      </c>
      <c r="F187" s="8">
        <v>5</v>
      </c>
      <c r="G187" s="8">
        <v>3</v>
      </c>
      <c r="H187" s="8">
        <v>3</v>
      </c>
      <c r="I187" s="8">
        <v>4</v>
      </c>
      <c r="J187" s="8">
        <v>4</v>
      </c>
      <c r="K187" s="8">
        <v>4</v>
      </c>
      <c r="L187" s="8">
        <v>5</v>
      </c>
      <c r="M187" s="8">
        <v>4</v>
      </c>
      <c r="N187" s="8">
        <v>5</v>
      </c>
      <c r="O187" s="8">
        <v>2</v>
      </c>
      <c r="P187" s="8">
        <v>5</v>
      </c>
      <c r="Q187" s="8">
        <v>5</v>
      </c>
      <c r="R187" s="8">
        <v>3</v>
      </c>
      <c r="S187" s="8">
        <v>4</v>
      </c>
      <c r="T187" s="8">
        <v>3</v>
      </c>
      <c r="U187" s="8">
        <v>3</v>
      </c>
      <c r="V187" s="8">
        <v>4</v>
      </c>
      <c r="X187" s="4">
        <v>3</v>
      </c>
      <c r="Y187" s="125"/>
      <c r="Z187" t="s">
        <v>55</v>
      </c>
    </row>
    <row r="188" spans="2:26" ht="16.149999999999999" customHeight="1">
      <c r="B188" s="117">
        <v>4</v>
      </c>
      <c r="C188" s="7">
        <v>3</v>
      </c>
      <c r="D188" s="8">
        <v>5</v>
      </c>
      <c r="E188" s="8">
        <v>6</v>
      </c>
      <c r="F188" s="8">
        <v>4</v>
      </c>
      <c r="G188" s="8">
        <v>4</v>
      </c>
      <c r="H188" s="8">
        <v>3</v>
      </c>
      <c r="I188" s="8">
        <v>2</v>
      </c>
      <c r="J188" s="8">
        <v>3</v>
      </c>
      <c r="K188" s="8">
        <v>4</v>
      </c>
      <c r="L188" s="8">
        <v>5</v>
      </c>
      <c r="M188" s="8">
        <v>8</v>
      </c>
      <c r="N188" s="8">
        <v>4</v>
      </c>
      <c r="O188" s="8">
        <v>1</v>
      </c>
      <c r="P188" s="8">
        <v>4</v>
      </c>
      <c r="Q188" s="8">
        <v>7</v>
      </c>
      <c r="R188" s="8">
        <v>3</v>
      </c>
      <c r="S188" s="8">
        <v>4</v>
      </c>
      <c r="T188" s="8">
        <v>3</v>
      </c>
      <c r="U188" s="8">
        <v>4</v>
      </c>
      <c r="V188" s="8">
        <v>5</v>
      </c>
      <c r="X188" s="4">
        <v>4</v>
      </c>
      <c r="Y188" s="124"/>
      <c r="Z188" t="s">
        <v>56</v>
      </c>
    </row>
    <row r="189" spans="2:26" ht="16.149999999999999" customHeight="1">
      <c r="B189" s="117">
        <v>5</v>
      </c>
      <c r="C189" s="7">
        <v>4</v>
      </c>
      <c r="D189" s="8">
        <v>3</v>
      </c>
      <c r="E189" s="8">
        <v>4</v>
      </c>
      <c r="F189" s="8">
        <v>4</v>
      </c>
      <c r="G189" s="8">
        <v>4</v>
      </c>
      <c r="H189" s="8">
        <v>5</v>
      </c>
      <c r="I189" s="8">
        <v>4</v>
      </c>
      <c r="J189" s="8">
        <v>4</v>
      </c>
      <c r="K189" s="8">
        <v>3</v>
      </c>
      <c r="L189" s="8">
        <v>5</v>
      </c>
      <c r="M189" s="8">
        <v>1</v>
      </c>
      <c r="N189" s="8">
        <v>4</v>
      </c>
      <c r="O189" s="8">
        <v>5</v>
      </c>
      <c r="P189" s="8">
        <v>3</v>
      </c>
      <c r="Q189" s="8">
        <v>4</v>
      </c>
      <c r="R189" s="8">
        <v>3</v>
      </c>
      <c r="S189" s="8">
        <v>3</v>
      </c>
      <c r="T189" s="8">
        <v>4</v>
      </c>
      <c r="U189" s="8">
        <v>6</v>
      </c>
      <c r="V189" s="8">
        <v>5</v>
      </c>
      <c r="X189" s="4">
        <v>5</v>
      </c>
      <c r="Y189" s="123"/>
      <c r="Z189" t="s">
        <v>57</v>
      </c>
    </row>
    <row r="190" spans="2:26" ht="16.149999999999999" customHeight="1">
      <c r="B190" s="117">
        <v>6</v>
      </c>
      <c r="C190" s="7">
        <v>3</v>
      </c>
      <c r="D190" s="8">
        <v>4</v>
      </c>
      <c r="E190" s="8">
        <v>4</v>
      </c>
      <c r="F190" s="8">
        <v>4</v>
      </c>
      <c r="G190" s="8">
        <v>3</v>
      </c>
      <c r="H190" s="8">
        <v>1</v>
      </c>
      <c r="I190" s="8">
        <v>5</v>
      </c>
      <c r="J190" s="8">
        <v>5</v>
      </c>
      <c r="K190" s="8">
        <v>3</v>
      </c>
      <c r="L190" s="8">
        <v>4</v>
      </c>
      <c r="M190" s="8">
        <v>6</v>
      </c>
      <c r="N190" s="8">
        <v>8</v>
      </c>
      <c r="O190" s="8">
        <v>4</v>
      </c>
      <c r="P190" s="8">
        <v>6</v>
      </c>
      <c r="Q190" s="8">
        <v>5</v>
      </c>
      <c r="R190" s="8">
        <v>1</v>
      </c>
      <c r="S190" s="8">
        <v>4</v>
      </c>
      <c r="T190" s="8">
        <v>4</v>
      </c>
      <c r="U190" s="8">
        <v>4</v>
      </c>
      <c r="V190" s="8">
        <v>4</v>
      </c>
      <c r="X190" s="4">
        <v>6</v>
      </c>
      <c r="Y190" s="121"/>
      <c r="Z190" t="s">
        <v>58</v>
      </c>
    </row>
    <row r="191" spans="2:26" ht="16.149999999999999" customHeight="1">
      <c r="B191" s="117">
        <v>7</v>
      </c>
      <c r="C191" s="7">
        <v>3</v>
      </c>
      <c r="D191" s="8">
        <v>3</v>
      </c>
      <c r="E191" s="8">
        <v>8</v>
      </c>
      <c r="F191" s="8">
        <v>4</v>
      </c>
      <c r="G191" s="8">
        <v>5</v>
      </c>
      <c r="H191" s="8">
        <v>4</v>
      </c>
      <c r="I191" s="8">
        <v>3</v>
      </c>
      <c r="J191" s="8">
        <v>4</v>
      </c>
      <c r="K191" s="8">
        <v>5</v>
      </c>
      <c r="L191" s="8">
        <v>6</v>
      </c>
      <c r="M191" s="8">
        <v>2</v>
      </c>
      <c r="N191" s="8">
        <v>4</v>
      </c>
      <c r="O191" s="8">
        <v>4</v>
      </c>
      <c r="P191" s="8">
        <v>3</v>
      </c>
      <c r="Q191" s="8">
        <v>5</v>
      </c>
      <c r="R191" s="8">
        <v>5</v>
      </c>
      <c r="S191" s="8">
        <v>4</v>
      </c>
      <c r="T191" s="8">
        <v>5</v>
      </c>
      <c r="U191" s="8">
        <v>3</v>
      </c>
      <c r="V191" s="8">
        <v>5</v>
      </c>
      <c r="X191" s="4">
        <v>7</v>
      </c>
      <c r="Y191" s="120"/>
      <c r="Z191" t="s">
        <v>59</v>
      </c>
    </row>
    <row r="192" spans="2:26" ht="16.149999999999999" customHeight="1">
      <c r="B192" s="117">
        <v>8</v>
      </c>
      <c r="C192" s="7">
        <v>3</v>
      </c>
      <c r="D192" s="8">
        <v>4</v>
      </c>
      <c r="E192" s="8">
        <v>4</v>
      </c>
      <c r="F192" s="8">
        <v>4</v>
      </c>
      <c r="G192" s="8">
        <v>5</v>
      </c>
      <c r="H192" s="8">
        <v>6</v>
      </c>
      <c r="I192" s="8">
        <v>4</v>
      </c>
      <c r="J192" s="8">
        <v>8</v>
      </c>
      <c r="K192" s="8">
        <v>3</v>
      </c>
      <c r="L192" s="8">
        <v>4</v>
      </c>
      <c r="M192" s="8">
        <v>3</v>
      </c>
      <c r="N192" s="8">
        <v>3</v>
      </c>
      <c r="O192" s="8">
        <v>4</v>
      </c>
      <c r="P192" s="8">
        <v>2</v>
      </c>
      <c r="Q192" s="8">
        <v>3</v>
      </c>
      <c r="R192" s="8">
        <v>2</v>
      </c>
      <c r="S192" s="8">
        <v>3</v>
      </c>
      <c r="T192" s="8">
        <v>4</v>
      </c>
      <c r="U192" s="8">
        <v>2</v>
      </c>
      <c r="V192" s="8">
        <v>2</v>
      </c>
      <c r="X192" s="4">
        <v>8</v>
      </c>
      <c r="Y192" s="122"/>
      <c r="Z192" t="s">
        <v>60</v>
      </c>
    </row>
    <row r="193" spans="2:22" ht="16.149999999999999" customHeight="1">
      <c r="B193" s="117">
        <v>9</v>
      </c>
      <c r="C193" s="7">
        <v>5</v>
      </c>
      <c r="D193" s="8">
        <v>5</v>
      </c>
      <c r="E193" s="8">
        <v>3</v>
      </c>
      <c r="F193" s="8">
        <v>3</v>
      </c>
      <c r="G193" s="8">
        <v>5</v>
      </c>
      <c r="H193" s="8">
        <v>4</v>
      </c>
      <c r="I193" s="8">
        <v>5</v>
      </c>
      <c r="J193" s="8">
        <v>1</v>
      </c>
      <c r="K193" s="8">
        <v>4</v>
      </c>
      <c r="L193" s="8">
        <v>4</v>
      </c>
      <c r="M193" s="8">
        <v>5</v>
      </c>
      <c r="N193" s="8">
        <v>2</v>
      </c>
      <c r="O193" s="8">
        <v>4</v>
      </c>
      <c r="P193" s="8">
        <v>5</v>
      </c>
      <c r="Q193" s="8">
        <v>3</v>
      </c>
      <c r="R193" s="8">
        <v>3</v>
      </c>
      <c r="S193" s="8">
        <v>3</v>
      </c>
      <c r="T193" s="8">
        <v>4</v>
      </c>
      <c r="U193" s="8">
        <v>4</v>
      </c>
      <c r="V193" s="8">
        <v>4</v>
      </c>
    </row>
    <row r="194" spans="2:22" ht="16.149999999999999" customHeight="1">
      <c r="B194" s="117">
        <v>10</v>
      </c>
      <c r="C194" s="7">
        <v>4</v>
      </c>
      <c r="D194" s="8">
        <v>5</v>
      </c>
      <c r="E194" s="8">
        <v>4</v>
      </c>
      <c r="F194" s="8">
        <v>2</v>
      </c>
      <c r="G194" s="8">
        <v>3</v>
      </c>
      <c r="H194" s="8">
        <v>5</v>
      </c>
      <c r="I194" s="8">
        <v>4</v>
      </c>
      <c r="J194" s="8">
        <v>6</v>
      </c>
      <c r="K194" s="8">
        <v>5</v>
      </c>
      <c r="L194" s="8">
        <v>4</v>
      </c>
      <c r="M194" s="8">
        <v>4</v>
      </c>
      <c r="N194" s="8">
        <v>4</v>
      </c>
      <c r="O194" s="8">
        <v>2</v>
      </c>
      <c r="P194" s="8">
        <v>2</v>
      </c>
      <c r="Q194" s="8">
        <v>3</v>
      </c>
      <c r="R194" s="8">
        <v>1</v>
      </c>
      <c r="S194" s="8">
        <v>1</v>
      </c>
      <c r="T194" s="8">
        <v>4</v>
      </c>
      <c r="U194" s="8">
        <v>6</v>
      </c>
      <c r="V194" s="8">
        <v>4</v>
      </c>
    </row>
    <row r="195" spans="2:22" ht="16.149999999999999" customHeight="1">
      <c r="B195" s="117">
        <v>11</v>
      </c>
      <c r="C195" s="7">
        <v>3</v>
      </c>
      <c r="D195" s="8">
        <v>4</v>
      </c>
      <c r="E195" s="8">
        <v>4</v>
      </c>
      <c r="F195" s="8">
        <v>4</v>
      </c>
      <c r="G195" s="8">
        <v>1</v>
      </c>
      <c r="H195" s="8">
        <v>3</v>
      </c>
      <c r="I195" s="8">
        <v>4</v>
      </c>
      <c r="J195" s="8">
        <v>4</v>
      </c>
      <c r="K195" s="8">
        <v>4</v>
      </c>
      <c r="L195" s="8">
        <v>3</v>
      </c>
      <c r="M195" s="8">
        <v>4</v>
      </c>
      <c r="N195" s="8">
        <v>3</v>
      </c>
      <c r="O195" s="8">
        <v>4</v>
      </c>
      <c r="P195" s="8">
        <v>4</v>
      </c>
      <c r="Q195" s="8">
        <v>3</v>
      </c>
      <c r="R195" s="8">
        <v>3</v>
      </c>
      <c r="S195" s="8">
        <v>3</v>
      </c>
      <c r="T195" s="8">
        <v>4</v>
      </c>
      <c r="U195" s="8">
        <v>4</v>
      </c>
      <c r="V195" s="8">
        <v>4</v>
      </c>
    </row>
    <row r="196" spans="2:22" ht="16.149999999999999" customHeight="1">
      <c r="B196" s="117">
        <v>12</v>
      </c>
      <c r="C196" s="7">
        <v>1</v>
      </c>
      <c r="D196" s="8">
        <v>5</v>
      </c>
      <c r="E196" s="8">
        <v>3</v>
      </c>
      <c r="F196" s="8">
        <v>3</v>
      </c>
      <c r="G196" s="8">
        <v>1</v>
      </c>
      <c r="H196" s="8">
        <v>3</v>
      </c>
      <c r="I196" s="8">
        <v>4</v>
      </c>
      <c r="J196" s="8">
        <v>4</v>
      </c>
      <c r="K196" s="8">
        <v>2</v>
      </c>
      <c r="L196" s="8">
        <v>4</v>
      </c>
      <c r="M196" s="8">
        <v>1</v>
      </c>
      <c r="N196" s="8">
        <v>3</v>
      </c>
      <c r="O196" s="8">
        <v>2</v>
      </c>
      <c r="P196" s="8">
        <v>4</v>
      </c>
      <c r="Q196" s="8">
        <v>3</v>
      </c>
      <c r="R196" s="8">
        <v>5</v>
      </c>
      <c r="S196" s="8">
        <v>5</v>
      </c>
      <c r="T196" s="8">
        <v>3</v>
      </c>
      <c r="U196" s="8">
        <v>1</v>
      </c>
      <c r="V196" s="8">
        <v>3</v>
      </c>
    </row>
    <row r="197" spans="2:22" ht="16.149999999999999" customHeight="1">
      <c r="B197" s="117">
        <v>13</v>
      </c>
      <c r="C197" s="7">
        <v>3</v>
      </c>
      <c r="D197" s="8">
        <v>5</v>
      </c>
      <c r="E197" s="8">
        <v>5</v>
      </c>
      <c r="F197" s="8">
        <v>5</v>
      </c>
      <c r="G197" s="8">
        <v>4</v>
      </c>
      <c r="H197" s="8">
        <v>8</v>
      </c>
      <c r="I197" s="8">
        <v>6</v>
      </c>
      <c r="J197" s="8">
        <v>3</v>
      </c>
      <c r="K197" s="8">
        <v>4</v>
      </c>
      <c r="L197" s="8">
        <v>3</v>
      </c>
      <c r="M197" s="8">
        <v>3</v>
      </c>
      <c r="N197" s="8">
        <v>3</v>
      </c>
      <c r="O197" s="8">
        <v>2</v>
      </c>
      <c r="P197" s="8">
        <v>2</v>
      </c>
      <c r="Q197" s="8">
        <v>4</v>
      </c>
      <c r="R197" s="8">
        <v>4</v>
      </c>
      <c r="S197" s="8">
        <v>4</v>
      </c>
      <c r="T197" s="8">
        <v>5</v>
      </c>
      <c r="U197" s="8">
        <v>3</v>
      </c>
      <c r="V197" s="8">
        <v>6</v>
      </c>
    </row>
    <row r="198" spans="2:22" ht="16.149999999999999" customHeight="1">
      <c r="B198" s="117">
        <v>14</v>
      </c>
      <c r="C198" s="7">
        <v>2</v>
      </c>
      <c r="D198" s="8">
        <v>4</v>
      </c>
      <c r="E198" s="8">
        <v>3</v>
      </c>
      <c r="F198" s="8">
        <v>3</v>
      </c>
      <c r="G198" s="8">
        <v>5</v>
      </c>
      <c r="H198" s="8">
        <v>5</v>
      </c>
      <c r="I198" s="8">
        <v>3</v>
      </c>
      <c r="J198" s="8">
        <v>5</v>
      </c>
      <c r="K198" s="8">
        <v>5</v>
      </c>
      <c r="L198" s="8">
        <v>4</v>
      </c>
      <c r="M198" s="8">
        <v>3</v>
      </c>
      <c r="N198" s="8">
        <v>3</v>
      </c>
      <c r="O198" s="8">
        <v>4</v>
      </c>
      <c r="P198" s="8">
        <v>8</v>
      </c>
      <c r="Q198" s="8">
        <v>5</v>
      </c>
      <c r="R198" s="8">
        <v>4</v>
      </c>
      <c r="S198" s="8">
        <v>3</v>
      </c>
      <c r="T198" s="8">
        <v>6</v>
      </c>
      <c r="U198" s="8">
        <v>3</v>
      </c>
      <c r="V198" s="8">
        <v>4</v>
      </c>
    </row>
    <row r="199" spans="2:22" ht="16.149999999999999" customHeight="1">
      <c r="B199" s="117">
        <v>15</v>
      </c>
      <c r="C199" s="7">
        <v>4</v>
      </c>
      <c r="D199" s="8">
        <v>3</v>
      </c>
      <c r="E199" s="8">
        <v>4</v>
      </c>
      <c r="F199" s="8">
        <v>3</v>
      </c>
      <c r="G199" s="8">
        <v>5</v>
      </c>
      <c r="H199" s="8">
        <v>4</v>
      </c>
      <c r="I199" s="8">
        <v>5</v>
      </c>
      <c r="J199" s="8">
        <v>3</v>
      </c>
      <c r="K199" s="8">
        <v>3</v>
      </c>
      <c r="L199" s="8">
        <v>4</v>
      </c>
      <c r="M199" s="8">
        <v>3</v>
      </c>
      <c r="N199" s="8">
        <v>4</v>
      </c>
      <c r="O199" s="8">
        <v>3</v>
      </c>
      <c r="P199" s="8">
        <v>3</v>
      </c>
      <c r="Q199" s="8">
        <v>4</v>
      </c>
      <c r="R199" s="8">
        <v>3</v>
      </c>
      <c r="S199" s="8">
        <v>4</v>
      </c>
      <c r="T199" s="8">
        <v>4</v>
      </c>
      <c r="U199" s="8">
        <v>2</v>
      </c>
      <c r="V199" s="8">
        <v>3</v>
      </c>
    </row>
    <row r="200" spans="2:22" ht="16.149999999999999" customHeight="1">
      <c r="B200" s="117">
        <v>16</v>
      </c>
      <c r="C200" s="7">
        <v>3</v>
      </c>
      <c r="D200" s="8">
        <v>5</v>
      </c>
      <c r="E200" s="8">
        <v>4</v>
      </c>
      <c r="F200" s="8">
        <v>3</v>
      </c>
      <c r="G200" s="8">
        <v>4</v>
      </c>
      <c r="H200" s="8">
        <v>3</v>
      </c>
      <c r="I200" s="8">
        <v>4</v>
      </c>
      <c r="J200" s="8">
        <v>4</v>
      </c>
      <c r="K200" s="8">
        <v>5</v>
      </c>
      <c r="L200" s="8">
        <v>5</v>
      </c>
      <c r="M200" s="8">
        <v>3</v>
      </c>
      <c r="N200" s="8">
        <v>4</v>
      </c>
      <c r="O200" s="8">
        <v>3</v>
      </c>
      <c r="P200" s="8">
        <v>5</v>
      </c>
      <c r="Q200" s="8">
        <v>4</v>
      </c>
      <c r="R200" s="8">
        <v>3</v>
      </c>
      <c r="S200" s="8">
        <v>3</v>
      </c>
      <c r="T200" s="8">
        <v>4</v>
      </c>
      <c r="U200" s="8">
        <v>3</v>
      </c>
      <c r="V200" s="8">
        <v>4</v>
      </c>
    </row>
    <row r="201" spans="2:22" ht="16.149999999999999" customHeight="1">
      <c r="B201" s="117">
        <v>17</v>
      </c>
      <c r="C201" s="7">
        <v>1</v>
      </c>
      <c r="D201" s="8">
        <v>3</v>
      </c>
      <c r="E201" s="8">
        <v>5</v>
      </c>
      <c r="F201" s="8">
        <v>4</v>
      </c>
      <c r="G201" s="8">
        <v>5</v>
      </c>
      <c r="H201" s="8">
        <v>1</v>
      </c>
      <c r="I201" s="8">
        <v>3</v>
      </c>
      <c r="J201" s="8">
        <v>4</v>
      </c>
      <c r="K201" s="8">
        <v>4</v>
      </c>
      <c r="L201" s="8">
        <v>4</v>
      </c>
      <c r="M201" s="8">
        <v>5</v>
      </c>
      <c r="N201" s="8">
        <v>3</v>
      </c>
      <c r="O201" s="8">
        <v>3</v>
      </c>
      <c r="P201" s="8">
        <v>5</v>
      </c>
      <c r="Q201" s="8">
        <v>4</v>
      </c>
      <c r="R201" s="8">
        <v>4</v>
      </c>
      <c r="S201" s="8">
        <v>2</v>
      </c>
      <c r="T201" s="8">
        <v>1</v>
      </c>
      <c r="U201" s="8">
        <v>5</v>
      </c>
      <c r="V201" s="8">
        <v>2</v>
      </c>
    </row>
    <row r="202" spans="2:22" ht="16.149999999999999" customHeight="1">
      <c r="B202" s="117">
        <v>18</v>
      </c>
      <c r="C202" s="7">
        <v>6</v>
      </c>
      <c r="D202" s="8">
        <v>4</v>
      </c>
      <c r="E202" s="8">
        <v>4</v>
      </c>
      <c r="F202" s="8">
        <v>4</v>
      </c>
      <c r="G202" s="8">
        <v>4</v>
      </c>
      <c r="H202" s="8">
        <v>4</v>
      </c>
      <c r="I202" s="8">
        <v>4</v>
      </c>
      <c r="J202" s="8">
        <v>3</v>
      </c>
      <c r="K202" s="8">
        <v>3</v>
      </c>
      <c r="L202" s="8">
        <v>1</v>
      </c>
      <c r="M202" s="8">
        <v>4</v>
      </c>
      <c r="N202" s="8">
        <v>3</v>
      </c>
      <c r="O202" s="8">
        <v>4</v>
      </c>
      <c r="P202" s="8">
        <v>4</v>
      </c>
      <c r="Q202" s="8">
        <v>4</v>
      </c>
      <c r="R202" s="8">
        <v>4</v>
      </c>
      <c r="S202" s="8">
        <v>3</v>
      </c>
      <c r="T202" s="8">
        <v>3</v>
      </c>
      <c r="U202" s="8">
        <v>3</v>
      </c>
      <c r="V202" s="8">
        <v>6</v>
      </c>
    </row>
    <row r="203" spans="2:22" ht="16.149999999999999" customHeight="1">
      <c r="B203" s="117">
        <v>19</v>
      </c>
      <c r="C203" s="7">
        <v>4</v>
      </c>
      <c r="D203" s="8">
        <v>5</v>
      </c>
      <c r="E203" s="8">
        <v>6</v>
      </c>
      <c r="F203" s="8">
        <v>5</v>
      </c>
      <c r="G203" s="8">
        <v>5</v>
      </c>
      <c r="H203" s="8">
        <v>3</v>
      </c>
      <c r="I203" s="8">
        <v>4</v>
      </c>
      <c r="J203" s="8">
        <v>5</v>
      </c>
      <c r="K203" s="8">
        <v>3</v>
      </c>
      <c r="L203" s="8">
        <v>4</v>
      </c>
      <c r="M203" s="8">
        <v>3</v>
      </c>
      <c r="N203" s="8">
        <v>1</v>
      </c>
      <c r="O203" s="8">
        <v>5</v>
      </c>
      <c r="P203" s="8">
        <v>5</v>
      </c>
      <c r="Q203" s="8">
        <v>8</v>
      </c>
      <c r="R203" s="8">
        <v>4</v>
      </c>
      <c r="S203" s="8">
        <v>3</v>
      </c>
      <c r="T203" s="8">
        <v>4</v>
      </c>
      <c r="U203" s="8">
        <v>3</v>
      </c>
      <c r="V203" s="8">
        <v>5</v>
      </c>
    </row>
    <row r="204" spans="2:22" ht="16.149999999999999" customHeight="1">
      <c r="B204" s="117">
        <v>20</v>
      </c>
      <c r="C204" s="7">
        <v>4</v>
      </c>
      <c r="D204" s="8">
        <v>4</v>
      </c>
      <c r="E204" s="8">
        <v>3</v>
      </c>
      <c r="F204" s="8">
        <v>3</v>
      </c>
      <c r="G204" s="8">
        <v>3</v>
      </c>
      <c r="H204" s="8">
        <v>4</v>
      </c>
      <c r="I204" s="8">
        <v>3</v>
      </c>
      <c r="J204" s="8">
        <v>3</v>
      </c>
      <c r="K204" s="8">
        <v>5</v>
      </c>
      <c r="L204" s="8">
        <v>4</v>
      </c>
      <c r="M204" s="8">
        <v>3</v>
      </c>
      <c r="N204" s="8">
        <v>4</v>
      </c>
      <c r="O204" s="8">
        <v>1</v>
      </c>
      <c r="P204" s="8">
        <v>5</v>
      </c>
      <c r="Q204" s="8">
        <v>4</v>
      </c>
      <c r="R204" s="8">
        <v>1</v>
      </c>
      <c r="S204" s="8">
        <v>4</v>
      </c>
      <c r="T204" s="8">
        <v>4</v>
      </c>
      <c r="U204" s="8">
        <v>4</v>
      </c>
      <c r="V204" s="8">
        <v>3</v>
      </c>
    </row>
  </sheetData>
  <mergeCells count="1">
    <mergeCell ref="B3:N3"/>
  </mergeCells>
  <conditionalFormatting sqref="C185 M40:N58 Q40:U43 Q57:U58 Q44:V56">
    <cfRule type="cellIs" dxfId="2209" priority="2465" operator="equal">
      <formula>8</formula>
    </cfRule>
    <cfRule type="cellIs" dxfId="2208" priority="2466" operator="equal">
      <formula>7</formula>
    </cfRule>
    <cfRule type="cellIs" dxfId="2207" priority="2467" operator="equal">
      <formula>6</formula>
    </cfRule>
    <cfRule type="cellIs" dxfId="2206" priority="2468" operator="equal">
      <formula>5</formula>
    </cfRule>
    <cfRule type="cellIs" dxfId="2205" priority="2469" operator="equal">
      <formula>4</formula>
    </cfRule>
    <cfRule type="cellIs" dxfId="2204" priority="2470" operator="equal">
      <formula>3</formula>
    </cfRule>
    <cfRule type="cellIs" dxfId="2203" priority="2471" operator="equal">
      <formula>2</formula>
    </cfRule>
    <cfRule type="cellIs" dxfId="2202" priority="2472" operator="equal">
      <formula>1</formula>
    </cfRule>
  </conditionalFormatting>
  <conditionalFormatting sqref="D185">
    <cfRule type="cellIs" dxfId="2201" priority="2457" operator="equal">
      <formula>8</formula>
    </cfRule>
    <cfRule type="cellIs" dxfId="2200" priority="2458" operator="equal">
      <formula>7</formula>
    </cfRule>
    <cfRule type="cellIs" dxfId="2199" priority="2459" operator="equal">
      <formula>6</formula>
    </cfRule>
    <cfRule type="cellIs" dxfId="2198" priority="2460" operator="equal">
      <formula>5</formula>
    </cfRule>
    <cfRule type="cellIs" dxfId="2197" priority="2461" operator="equal">
      <formula>4</formula>
    </cfRule>
    <cfRule type="cellIs" dxfId="2196" priority="2462" operator="equal">
      <formula>3</formula>
    </cfRule>
    <cfRule type="cellIs" dxfId="2195" priority="2463" operator="equal">
      <formula>2</formula>
    </cfRule>
    <cfRule type="cellIs" dxfId="2194" priority="2464" operator="equal">
      <formula>1</formula>
    </cfRule>
  </conditionalFormatting>
  <conditionalFormatting sqref="E185:L185">
    <cfRule type="cellIs" dxfId="2193" priority="2449" operator="equal">
      <formula>8</formula>
    </cfRule>
    <cfRule type="cellIs" dxfId="2192" priority="2450" operator="equal">
      <formula>7</formula>
    </cfRule>
    <cfRule type="cellIs" dxfId="2191" priority="2451" operator="equal">
      <formula>6</formula>
    </cfRule>
    <cfRule type="cellIs" dxfId="2190" priority="2452" operator="equal">
      <formula>5</formula>
    </cfRule>
    <cfRule type="cellIs" dxfId="2189" priority="2453" operator="equal">
      <formula>4</formula>
    </cfRule>
    <cfRule type="cellIs" dxfId="2188" priority="2454" operator="equal">
      <formula>3</formula>
    </cfRule>
    <cfRule type="cellIs" dxfId="2187" priority="2455" operator="equal">
      <formula>2</formula>
    </cfRule>
    <cfRule type="cellIs" dxfId="2186" priority="2456" operator="equal">
      <formula>1</formula>
    </cfRule>
  </conditionalFormatting>
  <conditionalFormatting sqref="M185:U185">
    <cfRule type="cellIs" dxfId="2185" priority="2441" operator="equal">
      <formula>8</formula>
    </cfRule>
    <cfRule type="cellIs" dxfId="2184" priority="2442" operator="equal">
      <formula>7</formula>
    </cfRule>
    <cfRule type="cellIs" dxfId="2183" priority="2443" operator="equal">
      <formula>6</formula>
    </cfRule>
    <cfRule type="cellIs" dxfId="2182" priority="2444" operator="equal">
      <formula>5</formula>
    </cfRule>
    <cfRule type="cellIs" dxfId="2181" priority="2445" operator="equal">
      <formula>4</formula>
    </cfRule>
    <cfRule type="cellIs" dxfId="2180" priority="2446" operator="equal">
      <formula>3</formula>
    </cfRule>
    <cfRule type="cellIs" dxfId="2179" priority="2447" operator="equal">
      <formula>2</formula>
    </cfRule>
    <cfRule type="cellIs" dxfId="2178" priority="2448" operator="equal">
      <formula>1</formula>
    </cfRule>
  </conditionalFormatting>
  <conditionalFormatting sqref="V185">
    <cfRule type="cellIs" dxfId="2177" priority="2433" operator="equal">
      <formula>8</formula>
    </cfRule>
    <cfRule type="cellIs" dxfId="2176" priority="2434" operator="equal">
      <formula>7</formula>
    </cfRule>
    <cfRule type="cellIs" dxfId="2175" priority="2435" operator="equal">
      <formula>6</formula>
    </cfRule>
    <cfRule type="cellIs" dxfId="2174" priority="2436" operator="equal">
      <formula>5</formula>
    </cfRule>
    <cfRule type="cellIs" dxfId="2173" priority="2437" operator="equal">
      <formula>4</formula>
    </cfRule>
    <cfRule type="cellIs" dxfId="2172" priority="2438" operator="equal">
      <formula>3</formula>
    </cfRule>
    <cfRule type="cellIs" dxfId="2171" priority="2439" operator="equal">
      <formula>2</formula>
    </cfRule>
    <cfRule type="cellIs" dxfId="2170" priority="2440" operator="equal">
      <formula>1</formula>
    </cfRule>
  </conditionalFormatting>
  <conditionalFormatting sqref="C186">
    <cfRule type="cellIs" dxfId="2169" priority="2425" operator="equal">
      <formula>8</formula>
    </cfRule>
    <cfRule type="cellIs" dxfId="2168" priority="2426" operator="equal">
      <formula>7</formula>
    </cfRule>
    <cfRule type="cellIs" dxfId="2167" priority="2427" operator="equal">
      <formula>6</formula>
    </cfRule>
    <cfRule type="cellIs" dxfId="2166" priority="2428" operator="equal">
      <formula>5</formula>
    </cfRule>
    <cfRule type="cellIs" dxfId="2165" priority="2429" operator="equal">
      <formula>4</formula>
    </cfRule>
    <cfRule type="cellIs" dxfId="2164" priority="2430" operator="equal">
      <formula>3</formula>
    </cfRule>
    <cfRule type="cellIs" dxfId="2163" priority="2431" operator="equal">
      <formula>2</formula>
    </cfRule>
    <cfRule type="cellIs" dxfId="2162" priority="2432" operator="equal">
      <formula>1</formula>
    </cfRule>
  </conditionalFormatting>
  <conditionalFormatting sqref="D186">
    <cfRule type="cellIs" dxfId="2161" priority="2417" operator="equal">
      <formula>8</formula>
    </cfRule>
    <cfRule type="cellIs" dxfId="2160" priority="2418" operator="equal">
      <formula>7</formula>
    </cfRule>
    <cfRule type="cellIs" dxfId="2159" priority="2419" operator="equal">
      <formula>6</formula>
    </cfRule>
    <cfRule type="cellIs" dxfId="2158" priority="2420" operator="equal">
      <formula>5</formula>
    </cfRule>
    <cfRule type="cellIs" dxfId="2157" priority="2421" operator="equal">
      <formula>4</formula>
    </cfRule>
    <cfRule type="cellIs" dxfId="2156" priority="2422" operator="equal">
      <formula>3</formula>
    </cfRule>
    <cfRule type="cellIs" dxfId="2155" priority="2423" operator="equal">
      <formula>2</formula>
    </cfRule>
    <cfRule type="cellIs" dxfId="2154" priority="2424" operator="equal">
      <formula>1</formula>
    </cfRule>
  </conditionalFormatting>
  <conditionalFormatting sqref="E186:L186">
    <cfRule type="cellIs" dxfId="2153" priority="2409" operator="equal">
      <formula>8</formula>
    </cfRule>
    <cfRule type="cellIs" dxfId="2152" priority="2410" operator="equal">
      <formula>7</formula>
    </cfRule>
    <cfRule type="cellIs" dxfId="2151" priority="2411" operator="equal">
      <formula>6</formula>
    </cfRule>
    <cfRule type="cellIs" dxfId="2150" priority="2412" operator="equal">
      <formula>5</formula>
    </cfRule>
    <cfRule type="cellIs" dxfId="2149" priority="2413" operator="equal">
      <formula>4</formula>
    </cfRule>
    <cfRule type="cellIs" dxfId="2148" priority="2414" operator="equal">
      <formula>3</formula>
    </cfRule>
    <cfRule type="cellIs" dxfId="2147" priority="2415" operator="equal">
      <formula>2</formula>
    </cfRule>
    <cfRule type="cellIs" dxfId="2146" priority="2416" operator="equal">
      <formula>1</formula>
    </cfRule>
  </conditionalFormatting>
  <conditionalFormatting sqref="M186:U186">
    <cfRule type="cellIs" dxfId="2145" priority="2401" operator="equal">
      <formula>8</formula>
    </cfRule>
    <cfRule type="cellIs" dxfId="2144" priority="2402" operator="equal">
      <formula>7</formula>
    </cfRule>
    <cfRule type="cellIs" dxfId="2143" priority="2403" operator="equal">
      <formula>6</formula>
    </cfRule>
    <cfRule type="cellIs" dxfId="2142" priority="2404" operator="equal">
      <formula>5</formula>
    </cfRule>
    <cfRule type="cellIs" dxfId="2141" priority="2405" operator="equal">
      <formula>4</formula>
    </cfRule>
    <cfRule type="cellIs" dxfId="2140" priority="2406" operator="equal">
      <formula>3</formula>
    </cfRule>
    <cfRule type="cellIs" dxfId="2139" priority="2407" operator="equal">
      <formula>2</formula>
    </cfRule>
    <cfRule type="cellIs" dxfId="2138" priority="2408" operator="equal">
      <formula>1</formula>
    </cfRule>
  </conditionalFormatting>
  <conditionalFormatting sqref="V186">
    <cfRule type="cellIs" dxfId="2137" priority="2393" operator="equal">
      <formula>8</formula>
    </cfRule>
    <cfRule type="cellIs" dxfId="2136" priority="2394" operator="equal">
      <formula>7</formula>
    </cfRule>
    <cfRule type="cellIs" dxfId="2135" priority="2395" operator="equal">
      <formula>6</formula>
    </cfRule>
    <cfRule type="cellIs" dxfId="2134" priority="2396" operator="equal">
      <formula>5</formula>
    </cfRule>
    <cfRule type="cellIs" dxfId="2133" priority="2397" operator="equal">
      <formula>4</formula>
    </cfRule>
    <cfRule type="cellIs" dxfId="2132" priority="2398" operator="equal">
      <formula>3</formula>
    </cfRule>
    <cfRule type="cellIs" dxfId="2131" priority="2399" operator="equal">
      <formula>2</formula>
    </cfRule>
    <cfRule type="cellIs" dxfId="2130" priority="2400" operator="equal">
      <formula>1</formula>
    </cfRule>
  </conditionalFormatting>
  <conditionalFormatting sqref="C187">
    <cfRule type="cellIs" dxfId="2129" priority="2385" operator="equal">
      <formula>8</formula>
    </cfRule>
    <cfRule type="cellIs" dxfId="2128" priority="2386" operator="equal">
      <formula>7</formula>
    </cfRule>
    <cfRule type="cellIs" dxfId="2127" priority="2387" operator="equal">
      <formula>6</formula>
    </cfRule>
    <cfRule type="cellIs" dxfId="2126" priority="2388" operator="equal">
      <formula>5</formula>
    </cfRule>
    <cfRule type="cellIs" dxfId="2125" priority="2389" operator="equal">
      <formula>4</formula>
    </cfRule>
    <cfRule type="cellIs" dxfId="2124" priority="2390" operator="equal">
      <formula>3</formula>
    </cfRule>
    <cfRule type="cellIs" dxfId="2123" priority="2391" operator="equal">
      <formula>2</formula>
    </cfRule>
    <cfRule type="cellIs" dxfId="2122" priority="2392" operator="equal">
      <formula>1</formula>
    </cfRule>
  </conditionalFormatting>
  <conditionalFormatting sqref="D187">
    <cfRule type="cellIs" dxfId="2121" priority="2377" operator="equal">
      <formula>8</formula>
    </cfRule>
    <cfRule type="cellIs" dxfId="2120" priority="2378" operator="equal">
      <formula>7</formula>
    </cfRule>
    <cfRule type="cellIs" dxfId="2119" priority="2379" operator="equal">
      <formula>6</formula>
    </cfRule>
    <cfRule type="cellIs" dxfId="2118" priority="2380" operator="equal">
      <formula>5</formula>
    </cfRule>
    <cfRule type="cellIs" dxfId="2117" priority="2381" operator="equal">
      <formula>4</formula>
    </cfRule>
    <cfRule type="cellIs" dxfId="2116" priority="2382" operator="equal">
      <formula>3</formula>
    </cfRule>
    <cfRule type="cellIs" dxfId="2115" priority="2383" operator="equal">
      <formula>2</formula>
    </cfRule>
    <cfRule type="cellIs" dxfId="2114" priority="2384" operator="equal">
      <formula>1</formula>
    </cfRule>
  </conditionalFormatting>
  <conditionalFormatting sqref="E187:L187">
    <cfRule type="cellIs" dxfId="2113" priority="2369" operator="equal">
      <formula>8</formula>
    </cfRule>
    <cfRule type="cellIs" dxfId="2112" priority="2370" operator="equal">
      <formula>7</formula>
    </cfRule>
    <cfRule type="cellIs" dxfId="2111" priority="2371" operator="equal">
      <formula>6</formula>
    </cfRule>
    <cfRule type="cellIs" dxfId="2110" priority="2372" operator="equal">
      <formula>5</formula>
    </cfRule>
    <cfRule type="cellIs" dxfId="2109" priority="2373" operator="equal">
      <formula>4</formula>
    </cfRule>
    <cfRule type="cellIs" dxfId="2108" priority="2374" operator="equal">
      <formula>3</formula>
    </cfRule>
    <cfRule type="cellIs" dxfId="2107" priority="2375" operator="equal">
      <formula>2</formula>
    </cfRule>
    <cfRule type="cellIs" dxfId="2106" priority="2376" operator="equal">
      <formula>1</formula>
    </cfRule>
  </conditionalFormatting>
  <conditionalFormatting sqref="M187:U187">
    <cfRule type="cellIs" dxfId="2105" priority="2361" operator="equal">
      <formula>8</formula>
    </cfRule>
    <cfRule type="cellIs" dxfId="2104" priority="2362" operator="equal">
      <formula>7</formula>
    </cfRule>
    <cfRule type="cellIs" dxfId="2103" priority="2363" operator="equal">
      <formula>6</formula>
    </cfRule>
    <cfRule type="cellIs" dxfId="2102" priority="2364" operator="equal">
      <formula>5</formula>
    </cfRule>
    <cfRule type="cellIs" dxfId="2101" priority="2365" operator="equal">
      <formula>4</formula>
    </cfRule>
    <cfRule type="cellIs" dxfId="2100" priority="2366" operator="equal">
      <formula>3</formula>
    </cfRule>
    <cfRule type="cellIs" dxfId="2099" priority="2367" operator="equal">
      <formula>2</formula>
    </cfRule>
    <cfRule type="cellIs" dxfId="2098" priority="2368" operator="equal">
      <formula>1</formula>
    </cfRule>
  </conditionalFormatting>
  <conditionalFormatting sqref="V187">
    <cfRule type="cellIs" dxfId="2097" priority="2353" operator="equal">
      <formula>8</formula>
    </cfRule>
    <cfRule type="cellIs" dxfId="2096" priority="2354" operator="equal">
      <formula>7</formula>
    </cfRule>
    <cfRule type="cellIs" dxfId="2095" priority="2355" operator="equal">
      <formula>6</formula>
    </cfRule>
    <cfRule type="cellIs" dxfId="2094" priority="2356" operator="equal">
      <formula>5</formula>
    </cfRule>
    <cfRule type="cellIs" dxfId="2093" priority="2357" operator="equal">
      <formula>4</formula>
    </cfRule>
    <cfRule type="cellIs" dxfId="2092" priority="2358" operator="equal">
      <formula>3</formula>
    </cfRule>
    <cfRule type="cellIs" dxfId="2091" priority="2359" operator="equal">
      <formula>2</formula>
    </cfRule>
    <cfRule type="cellIs" dxfId="2090" priority="2360" operator="equal">
      <formula>1</formula>
    </cfRule>
  </conditionalFormatting>
  <conditionalFormatting sqref="C188">
    <cfRule type="cellIs" dxfId="2089" priority="2345" operator="equal">
      <formula>8</formula>
    </cfRule>
    <cfRule type="cellIs" dxfId="2088" priority="2346" operator="equal">
      <formula>7</formula>
    </cfRule>
    <cfRule type="cellIs" dxfId="2087" priority="2347" operator="equal">
      <formula>6</formula>
    </cfRule>
    <cfRule type="cellIs" dxfId="2086" priority="2348" operator="equal">
      <formula>5</formula>
    </cfRule>
    <cfRule type="cellIs" dxfId="2085" priority="2349" operator="equal">
      <formula>4</formula>
    </cfRule>
    <cfRule type="cellIs" dxfId="2084" priority="2350" operator="equal">
      <formula>3</formula>
    </cfRule>
    <cfRule type="cellIs" dxfId="2083" priority="2351" operator="equal">
      <formula>2</formula>
    </cfRule>
    <cfRule type="cellIs" dxfId="2082" priority="2352" operator="equal">
      <formula>1</formula>
    </cfRule>
  </conditionalFormatting>
  <conditionalFormatting sqref="D188">
    <cfRule type="cellIs" dxfId="2081" priority="2337" operator="equal">
      <formula>8</formula>
    </cfRule>
    <cfRule type="cellIs" dxfId="2080" priority="2338" operator="equal">
      <formula>7</formula>
    </cfRule>
    <cfRule type="cellIs" dxfId="2079" priority="2339" operator="equal">
      <formula>6</formula>
    </cfRule>
    <cfRule type="cellIs" dxfId="2078" priority="2340" operator="equal">
      <formula>5</formula>
    </cfRule>
    <cfRule type="cellIs" dxfId="2077" priority="2341" operator="equal">
      <formula>4</formula>
    </cfRule>
    <cfRule type="cellIs" dxfId="2076" priority="2342" operator="equal">
      <formula>3</formula>
    </cfRule>
    <cfRule type="cellIs" dxfId="2075" priority="2343" operator="equal">
      <formula>2</formula>
    </cfRule>
    <cfRule type="cellIs" dxfId="2074" priority="2344" operator="equal">
      <formula>1</formula>
    </cfRule>
  </conditionalFormatting>
  <conditionalFormatting sqref="E188:L188">
    <cfRule type="cellIs" dxfId="2073" priority="2329" operator="equal">
      <formula>8</formula>
    </cfRule>
    <cfRule type="cellIs" dxfId="2072" priority="2330" operator="equal">
      <formula>7</formula>
    </cfRule>
    <cfRule type="cellIs" dxfId="2071" priority="2331" operator="equal">
      <formula>6</formula>
    </cfRule>
    <cfRule type="cellIs" dxfId="2070" priority="2332" operator="equal">
      <formula>5</formula>
    </cfRule>
    <cfRule type="cellIs" dxfId="2069" priority="2333" operator="equal">
      <formula>4</formula>
    </cfRule>
    <cfRule type="cellIs" dxfId="2068" priority="2334" operator="equal">
      <formula>3</formula>
    </cfRule>
    <cfRule type="cellIs" dxfId="2067" priority="2335" operator="equal">
      <formula>2</formula>
    </cfRule>
    <cfRule type="cellIs" dxfId="2066" priority="2336" operator="equal">
      <formula>1</formula>
    </cfRule>
  </conditionalFormatting>
  <conditionalFormatting sqref="M188:U188">
    <cfRule type="cellIs" dxfId="2065" priority="2321" operator="equal">
      <formula>8</formula>
    </cfRule>
    <cfRule type="cellIs" dxfId="2064" priority="2322" operator="equal">
      <formula>7</formula>
    </cfRule>
    <cfRule type="cellIs" dxfId="2063" priority="2323" operator="equal">
      <formula>6</formula>
    </cfRule>
    <cfRule type="cellIs" dxfId="2062" priority="2324" operator="equal">
      <formula>5</formula>
    </cfRule>
    <cfRule type="cellIs" dxfId="2061" priority="2325" operator="equal">
      <formula>4</formula>
    </cfRule>
    <cfRule type="cellIs" dxfId="2060" priority="2326" operator="equal">
      <formula>3</formula>
    </cfRule>
    <cfRule type="cellIs" dxfId="2059" priority="2327" operator="equal">
      <formula>2</formula>
    </cfRule>
    <cfRule type="cellIs" dxfId="2058" priority="2328" operator="equal">
      <formula>1</formula>
    </cfRule>
  </conditionalFormatting>
  <conditionalFormatting sqref="V188">
    <cfRule type="cellIs" dxfId="2057" priority="2313" operator="equal">
      <formula>8</formula>
    </cfRule>
    <cfRule type="cellIs" dxfId="2056" priority="2314" operator="equal">
      <formula>7</formula>
    </cfRule>
    <cfRule type="cellIs" dxfId="2055" priority="2315" operator="equal">
      <formula>6</formula>
    </cfRule>
    <cfRule type="cellIs" dxfId="2054" priority="2316" operator="equal">
      <formula>5</formula>
    </cfRule>
    <cfRule type="cellIs" dxfId="2053" priority="2317" operator="equal">
      <formula>4</formula>
    </cfRule>
    <cfRule type="cellIs" dxfId="2052" priority="2318" operator="equal">
      <formula>3</formula>
    </cfRule>
    <cfRule type="cellIs" dxfId="2051" priority="2319" operator="equal">
      <formula>2</formula>
    </cfRule>
    <cfRule type="cellIs" dxfId="2050" priority="2320" operator="equal">
      <formula>1</formula>
    </cfRule>
  </conditionalFormatting>
  <conditionalFormatting sqref="C189">
    <cfRule type="cellIs" dxfId="2049" priority="2305" operator="equal">
      <formula>8</formula>
    </cfRule>
    <cfRule type="cellIs" dxfId="2048" priority="2306" operator="equal">
      <formula>7</formula>
    </cfRule>
    <cfRule type="cellIs" dxfId="2047" priority="2307" operator="equal">
      <formula>6</formula>
    </cfRule>
    <cfRule type="cellIs" dxfId="2046" priority="2308" operator="equal">
      <formula>5</formula>
    </cfRule>
    <cfRule type="cellIs" dxfId="2045" priority="2309" operator="equal">
      <formula>4</formula>
    </cfRule>
    <cfRule type="cellIs" dxfId="2044" priority="2310" operator="equal">
      <formula>3</formula>
    </cfRule>
    <cfRule type="cellIs" dxfId="2043" priority="2311" operator="equal">
      <formula>2</formula>
    </cfRule>
    <cfRule type="cellIs" dxfId="2042" priority="2312" operator="equal">
      <formula>1</formula>
    </cfRule>
  </conditionalFormatting>
  <conditionalFormatting sqref="D189">
    <cfRule type="cellIs" dxfId="2041" priority="2297" operator="equal">
      <formula>8</formula>
    </cfRule>
    <cfRule type="cellIs" dxfId="2040" priority="2298" operator="equal">
      <formula>7</formula>
    </cfRule>
    <cfRule type="cellIs" dxfId="2039" priority="2299" operator="equal">
      <formula>6</formula>
    </cfRule>
    <cfRule type="cellIs" dxfId="2038" priority="2300" operator="equal">
      <formula>5</formula>
    </cfRule>
    <cfRule type="cellIs" dxfId="2037" priority="2301" operator="equal">
      <formula>4</formula>
    </cfRule>
    <cfRule type="cellIs" dxfId="2036" priority="2302" operator="equal">
      <formula>3</formula>
    </cfRule>
    <cfRule type="cellIs" dxfId="2035" priority="2303" operator="equal">
      <formula>2</formula>
    </cfRule>
    <cfRule type="cellIs" dxfId="2034" priority="2304" operator="equal">
      <formula>1</formula>
    </cfRule>
  </conditionalFormatting>
  <conditionalFormatting sqref="E189:L189">
    <cfRule type="cellIs" dxfId="2033" priority="2289" operator="equal">
      <formula>8</formula>
    </cfRule>
    <cfRule type="cellIs" dxfId="2032" priority="2290" operator="equal">
      <formula>7</formula>
    </cfRule>
    <cfRule type="cellIs" dxfId="2031" priority="2291" operator="equal">
      <formula>6</formula>
    </cfRule>
    <cfRule type="cellIs" dxfId="2030" priority="2292" operator="equal">
      <formula>5</formula>
    </cfRule>
    <cfRule type="cellIs" dxfId="2029" priority="2293" operator="equal">
      <formula>4</formula>
    </cfRule>
    <cfRule type="cellIs" dxfId="2028" priority="2294" operator="equal">
      <formula>3</formula>
    </cfRule>
    <cfRule type="cellIs" dxfId="2027" priority="2295" operator="equal">
      <formula>2</formula>
    </cfRule>
    <cfRule type="cellIs" dxfId="2026" priority="2296" operator="equal">
      <formula>1</formula>
    </cfRule>
  </conditionalFormatting>
  <conditionalFormatting sqref="M189:U189">
    <cfRule type="cellIs" dxfId="2025" priority="2281" operator="equal">
      <formula>8</formula>
    </cfRule>
    <cfRule type="cellIs" dxfId="2024" priority="2282" operator="equal">
      <formula>7</formula>
    </cfRule>
    <cfRule type="cellIs" dxfId="2023" priority="2283" operator="equal">
      <formula>6</formula>
    </cfRule>
    <cfRule type="cellIs" dxfId="2022" priority="2284" operator="equal">
      <formula>5</formula>
    </cfRule>
    <cfRule type="cellIs" dxfId="2021" priority="2285" operator="equal">
      <formula>4</formula>
    </cfRule>
    <cfRule type="cellIs" dxfId="2020" priority="2286" operator="equal">
      <formula>3</formula>
    </cfRule>
    <cfRule type="cellIs" dxfId="2019" priority="2287" operator="equal">
      <formula>2</formula>
    </cfRule>
    <cfRule type="cellIs" dxfId="2018" priority="2288" operator="equal">
      <formula>1</formula>
    </cfRule>
  </conditionalFormatting>
  <conditionalFormatting sqref="V189">
    <cfRule type="cellIs" dxfId="2017" priority="2273" operator="equal">
      <formula>8</formula>
    </cfRule>
    <cfRule type="cellIs" dxfId="2016" priority="2274" operator="equal">
      <formula>7</formula>
    </cfRule>
    <cfRule type="cellIs" dxfId="2015" priority="2275" operator="equal">
      <formula>6</formula>
    </cfRule>
    <cfRule type="cellIs" dxfId="2014" priority="2276" operator="equal">
      <formula>5</formula>
    </cfRule>
    <cfRule type="cellIs" dxfId="2013" priority="2277" operator="equal">
      <formula>4</formula>
    </cfRule>
    <cfRule type="cellIs" dxfId="2012" priority="2278" operator="equal">
      <formula>3</formula>
    </cfRule>
    <cfRule type="cellIs" dxfId="2011" priority="2279" operator="equal">
      <formula>2</formula>
    </cfRule>
    <cfRule type="cellIs" dxfId="2010" priority="2280" operator="equal">
      <formula>1</formula>
    </cfRule>
  </conditionalFormatting>
  <conditionalFormatting sqref="C190">
    <cfRule type="cellIs" dxfId="2009" priority="2265" operator="equal">
      <formula>8</formula>
    </cfRule>
    <cfRule type="cellIs" dxfId="2008" priority="2266" operator="equal">
      <formula>7</formula>
    </cfRule>
    <cfRule type="cellIs" dxfId="2007" priority="2267" operator="equal">
      <formula>6</formula>
    </cfRule>
    <cfRule type="cellIs" dxfId="2006" priority="2268" operator="equal">
      <formula>5</formula>
    </cfRule>
    <cfRule type="cellIs" dxfId="2005" priority="2269" operator="equal">
      <formula>4</formula>
    </cfRule>
    <cfRule type="cellIs" dxfId="2004" priority="2270" operator="equal">
      <formula>3</formula>
    </cfRule>
    <cfRule type="cellIs" dxfId="2003" priority="2271" operator="equal">
      <formula>2</formula>
    </cfRule>
    <cfRule type="cellIs" dxfId="2002" priority="2272" operator="equal">
      <formula>1</formula>
    </cfRule>
  </conditionalFormatting>
  <conditionalFormatting sqref="D190">
    <cfRule type="cellIs" dxfId="2001" priority="2257" operator="equal">
      <formula>8</formula>
    </cfRule>
    <cfRule type="cellIs" dxfId="2000" priority="2258" operator="equal">
      <formula>7</formula>
    </cfRule>
    <cfRule type="cellIs" dxfId="1999" priority="2259" operator="equal">
      <formula>6</formula>
    </cfRule>
    <cfRule type="cellIs" dxfId="1998" priority="2260" operator="equal">
      <formula>5</formula>
    </cfRule>
    <cfRule type="cellIs" dxfId="1997" priority="2261" operator="equal">
      <formula>4</formula>
    </cfRule>
    <cfRule type="cellIs" dxfId="1996" priority="2262" operator="equal">
      <formula>3</formula>
    </cfRule>
    <cfRule type="cellIs" dxfId="1995" priority="2263" operator="equal">
      <formula>2</formula>
    </cfRule>
    <cfRule type="cellIs" dxfId="1994" priority="2264" operator="equal">
      <formula>1</formula>
    </cfRule>
  </conditionalFormatting>
  <conditionalFormatting sqref="E190:L190">
    <cfRule type="cellIs" dxfId="1993" priority="2249" operator="equal">
      <formula>8</formula>
    </cfRule>
    <cfRule type="cellIs" dxfId="1992" priority="2250" operator="equal">
      <formula>7</formula>
    </cfRule>
    <cfRule type="cellIs" dxfId="1991" priority="2251" operator="equal">
      <formula>6</formula>
    </cfRule>
    <cfRule type="cellIs" dxfId="1990" priority="2252" operator="equal">
      <formula>5</formula>
    </cfRule>
    <cfRule type="cellIs" dxfId="1989" priority="2253" operator="equal">
      <formula>4</formula>
    </cfRule>
    <cfRule type="cellIs" dxfId="1988" priority="2254" operator="equal">
      <formula>3</formula>
    </cfRule>
    <cfRule type="cellIs" dxfId="1987" priority="2255" operator="equal">
      <formula>2</formula>
    </cfRule>
    <cfRule type="cellIs" dxfId="1986" priority="2256" operator="equal">
      <formula>1</formula>
    </cfRule>
  </conditionalFormatting>
  <conditionalFormatting sqref="M190:U190">
    <cfRule type="cellIs" dxfId="1985" priority="2241" operator="equal">
      <formula>8</formula>
    </cfRule>
    <cfRule type="cellIs" dxfId="1984" priority="2242" operator="equal">
      <formula>7</formula>
    </cfRule>
    <cfRule type="cellIs" dxfId="1983" priority="2243" operator="equal">
      <formula>6</formula>
    </cfRule>
    <cfRule type="cellIs" dxfId="1982" priority="2244" operator="equal">
      <formula>5</formula>
    </cfRule>
    <cfRule type="cellIs" dxfId="1981" priority="2245" operator="equal">
      <formula>4</formula>
    </cfRule>
    <cfRule type="cellIs" dxfId="1980" priority="2246" operator="equal">
      <formula>3</formula>
    </cfRule>
    <cfRule type="cellIs" dxfId="1979" priority="2247" operator="equal">
      <formula>2</formula>
    </cfRule>
    <cfRule type="cellIs" dxfId="1978" priority="2248" operator="equal">
      <formula>1</formula>
    </cfRule>
  </conditionalFormatting>
  <conditionalFormatting sqref="V190">
    <cfRule type="cellIs" dxfId="1977" priority="2233" operator="equal">
      <formula>8</formula>
    </cfRule>
    <cfRule type="cellIs" dxfId="1976" priority="2234" operator="equal">
      <formula>7</formula>
    </cfRule>
    <cfRule type="cellIs" dxfId="1975" priority="2235" operator="equal">
      <formula>6</formula>
    </cfRule>
    <cfRule type="cellIs" dxfId="1974" priority="2236" operator="equal">
      <formula>5</formula>
    </cfRule>
    <cfRule type="cellIs" dxfId="1973" priority="2237" operator="equal">
      <formula>4</formula>
    </cfRule>
    <cfRule type="cellIs" dxfId="1972" priority="2238" operator="equal">
      <formula>3</formula>
    </cfRule>
    <cfRule type="cellIs" dxfId="1971" priority="2239" operator="equal">
      <formula>2</formula>
    </cfRule>
    <cfRule type="cellIs" dxfId="1970" priority="2240" operator="equal">
      <formula>1</formula>
    </cfRule>
  </conditionalFormatting>
  <conditionalFormatting sqref="C191">
    <cfRule type="cellIs" dxfId="1969" priority="2225" operator="equal">
      <formula>8</formula>
    </cfRule>
    <cfRule type="cellIs" dxfId="1968" priority="2226" operator="equal">
      <formula>7</formula>
    </cfRule>
    <cfRule type="cellIs" dxfId="1967" priority="2227" operator="equal">
      <formula>6</formula>
    </cfRule>
    <cfRule type="cellIs" dxfId="1966" priority="2228" operator="equal">
      <formula>5</formula>
    </cfRule>
    <cfRule type="cellIs" dxfId="1965" priority="2229" operator="equal">
      <formula>4</formula>
    </cfRule>
    <cfRule type="cellIs" dxfId="1964" priority="2230" operator="equal">
      <formula>3</formula>
    </cfRule>
    <cfRule type="cellIs" dxfId="1963" priority="2231" operator="equal">
      <formula>2</formula>
    </cfRule>
    <cfRule type="cellIs" dxfId="1962" priority="2232" operator="equal">
      <formula>1</formula>
    </cfRule>
  </conditionalFormatting>
  <conditionalFormatting sqref="D191">
    <cfRule type="cellIs" dxfId="1961" priority="2217" operator="equal">
      <formula>8</formula>
    </cfRule>
    <cfRule type="cellIs" dxfId="1960" priority="2218" operator="equal">
      <formula>7</formula>
    </cfRule>
    <cfRule type="cellIs" dxfId="1959" priority="2219" operator="equal">
      <formula>6</formula>
    </cfRule>
    <cfRule type="cellIs" dxfId="1958" priority="2220" operator="equal">
      <formula>5</formula>
    </cfRule>
    <cfRule type="cellIs" dxfId="1957" priority="2221" operator="equal">
      <formula>4</formula>
    </cfRule>
    <cfRule type="cellIs" dxfId="1956" priority="2222" operator="equal">
      <formula>3</formula>
    </cfRule>
    <cfRule type="cellIs" dxfId="1955" priority="2223" operator="equal">
      <formula>2</formula>
    </cfRule>
    <cfRule type="cellIs" dxfId="1954" priority="2224" operator="equal">
      <formula>1</formula>
    </cfRule>
  </conditionalFormatting>
  <conditionalFormatting sqref="E191:L191">
    <cfRule type="cellIs" dxfId="1953" priority="2209" operator="equal">
      <formula>8</formula>
    </cfRule>
    <cfRule type="cellIs" dxfId="1952" priority="2210" operator="equal">
      <formula>7</formula>
    </cfRule>
    <cfRule type="cellIs" dxfId="1951" priority="2211" operator="equal">
      <formula>6</formula>
    </cfRule>
    <cfRule type="cellIs" dxfId="1950" priority="2212" operator="equal">
      <formula>5</formula>
    </cfRule>
    <cfRule type="cellIs" dxfId="1949" priority="2213" operator="equal">
      <formula>4</formula>
    </cfRule>
    <cfRule type="cellIs" dxfId="1948" priority="2214" operator="equal">
      <formula>3</formula>
    </cfRule>
    <cfRule type="cellIs" dxfId="1947" priority="2215" operator="equal">
      <formula>2</formula>
    </cfRule>
    <cfRule type="cellIs" dxfId="1946" priority="2216" operator="equal">
      <formula>1</formula>
    </cfRule>
  </conditionalFormatting>
  <conditionalFormatting sqref="M191:U191">
    <cfRule type="cellIs" dxfId="1945" priority="2201" operator="equal">
      <formula>8</formula>
    </cfRule>
    <cfRule type="cellIs" dxfId="1944" priority="2202" operator="equal">
      <formula>7</formula>
    </cfRule>
    <cfRule type="cellIs" dxfId="1943" priority="2203" operator="equal">
      <formula>6</formula>
    </cfRule>
    <cfRule type="cellIs" dxfId="1942" priority="2204" operator="equal">
      <formula>5</formula>
    </cfRule>
    <cfRule type="cellIs" dxfId="1941" priority="2205" operator="equal">
      <formula>4</formula>
    </cfRule>
    <cfRule type="cellIs" dxfId="1940" priority="2206" operator="equal">
      <formula>3</formula>
    </cfRule>
    <cfRule type="cellIs" dxfId="1939" priority="2207" operator="equal">
      <formula>2</formula>
    </cfRule>
    <cfRule type="cellIs" dxfId="1938" priority="2208" operator="equal">
      <formula>1</formula>
    </cfRule>
  </conditionalFormatting>
  <conditionalFormatting sqref="V191">
    <cfRule type="cellIs" dxfId="1937" priority="2193" operator="equal">
      <formula>8</formula>
    </cfRule>
    <cfRule type="cellIs" dxfId="1936" priority="2194" operator="equal">
      <formula>7</formula>
    </cfRule>
    <cfRule type="cellIs" dxfId="1935" priority="2195" operator="equal">
      <formula>6</formula>
    </cfRule>
    <cfRule type="cellIs" dxfId="1934" priority="2196" operator="equal">
      <formula>5</formula>
    </cfRule>
    <cfRule type="cellIs" dxfId="1933" priority="2197" operator="equal">
      <formula>4</formula>
    </cfRule>
    <cfRule type="cellIs" dxfId="1932" priority="2198" operator="equal">
      <formula>3</formula>
    </cfRule>
    <cfRule type="cellIs" dxfId="1931" priority="2199" operator="equal">
      <formula>2</formula>
    </cfRule>
    <cfRule type="cellIs" dxfId="1930" priority="2200" operator="equal">
      <formula>1</formula>
    </cfRule>
  </conditionalFormatting>
  <conditionalFormatting sqref="C192">
    <cfRule type="cellIs" dxfId="1929" priority="2185" operator="equal">
      <formula>8</formula>
    </cfRule>
    <cfRule type="cellIs" dxfId="1928" priority="2186" operator="equal">
      <formula>7</formula>
    </cfRule>
    <cfRule type="cellIs" dxfId="1927" priority="2187" operator="equal">
      <formula>6</formula>
    </cfRule>
    <cfRule type="cellIs" dxfId="1926" priority="2188" operator="equal">
      <formula>5</formula>
    </cfRule>
    <cfRule type="cellIs" dxfId="1925" priority="2189" operator="equal">
      <formula>4</formula>
    </cfRule>
    <cfRule type="cellIs" dxfId="1924" priority="2190" operator="equal">
      <formula>3</formula>
    </cfRule>
    <cfRule type="cellIs" dxfId="1923" priority="2191" operator="equal">
      <formula>2</formula>
    </cfRule>
    <cfRule type="cellIs" dxfId="1922" priority="2192" operator="equal">
      <formula>1</formula>
    </cfRule>
  </conditionalFormatting>
  <conditionalFormatting sqref="D192">
    <cfRule type="cellIs" dxfId="1921" priority="2177" operator="equal">
      <formula>8</formula>
    </cfRule>
    <cfRule type="cellIs" dxfId="1920" priority="2178" operator="equal">
      <formula>7</formula>
    </cfRule>
    <cfRule type="cellIs" dxfId="1919" priority="2179" operator="equal">
      <formula>6</formula>
    </cfRule>
    <cfRule type="cellIs" dxfId="1918" priority="2180" operator="equal">
      <formula>5</formula>
    </cfRule>
    <cfRule type="cellIs" dxfId="1917" priority="2181" operator="equal">
      <formula>4</formula>
    </cfRule>
    <cfRule type="cellIs" dxfId="1916" priority="2182" operator="equal">
      <formula>3</formula>
    </cfRule>
    <cfRule type="cellIs" dxfId="1915" priority="2183" operator="equal">
      <formula>2</formula>
    </cfRule>
    <cfRule type="cellIs" dxfId="1914" priority="2184" operator="equal">
      <formula>1</formula>
    </cfRule>
  </conditionalFormatting>
  <conditionalFormatting sqref="E192:L192">
    <cfRule type="cellIs" dxfId="1913" priority="2169" operator="equal">
      <formula>8</formula>
    </cfRule>
    <cfRule type="cellIs" dxfId="1912" priority="2170" operator="equal">
      <formula>7</formula>
    </cfRule>
    <cfRule type="cellIs" dxfId="1911" priority="2171" operator="equal">
      <formula>6</formula>
    </cfRule>
    <cfRule type="cellIs" dxfId="1910" priority="2172" operator="equal">
      <formula>5</formula>
    </cfRule>
    <cfRule type="cellIs" dxfId="1909" priority="2173" operator="equal">
      <formula>4</formula>
    </cfRule>
    <cfRule type="cellIs" dxfId="1908" priority="2174" operator="equal">
      <formula>3</formula>
    </cfRule>
    <cfRule type="cellIs" dxfId="1907" priority="2175" operator="equal">
      <formula>2</formula>
    </cfRule>
    <cfRule type="cellIs" dxfId="1906" priority="2176" operator="equal">
      <formula>1</formula>
    </cfRule>
  </conditionalFormatting>
  <conditionalFormatting sqref="M192:U192">
    <cfRule type="cellIs" dxfId="1905" priority="2161" operator="equal">
      <formula>8</formula>
    </cfRule>
    <cfRule type="cellIs" dxfId="1904" priority="2162" operator="equal">
      <formula>7</formula>
    </cfRule>
    <cfRule type="cellIs" dxfId="1903" priority="2163" operator="equal">
      <formula>6</formula>
    </cfRule>
    <cfRule type="cellIs" dxfId="1902" priority="2164" operator="equal">
      <formula>5</formula>
    </cfRule>
    <cfRule type="cellIs" dxfId="1901" priority="2165" operator="equal">
      <formula>4</formula>
    </cfRule>
    <cfRule type="cellIs" dxfId="1900" priority="2166" operator="equal">
      <formula>3</formula>
    </cfRule>
    <cfRule type="cellIs" dxfId="1899" priority="2167" operator="equal">
      <formula>2</formula>
    </cfRule>
    <cfRule type="cellIs" dxfId="1898" priority="2168" operator="equal">
      <formula>1</formula>
    </cfRule>
  </conditionalFormatting>
  <conditionalFormatting sqref="V192">
    <cfRule type="cellIs" dxfId="1897" priority="2153" operator="equal">
      <formula>8</formula>
    </cfRule>
    <cfRule type="cellIs" dxfId="1896" priority="2154" operator="equal">
      <formula>7</formula>
    </cfRule>
    <cfRule type="cellIs" dxfId="1895" priority="2155" operator="equal">
      <formula>6</formula>
    </cfRule>
    <cfRule type="cellIs" dxfId="1894" priority="2156" operator="equal">
      <formula>5</formula>
    </cfRule>
    <cfRule type="cellIs" dxfId="1893" priority="2157" operator="equal">
      <formula>4</formula>
    </cfRule>
    <cfRule type="cellIs" dxfId="1892" priority="2158" operator="equal">
      <formula>3</formula>
    </cfRule>
    <cfRule type="cellIs" dxfId="1891" priority="2159" operator="equal">
      <formula>2</formula>
    </cfRule>
    <cfRule type="cellIs" dxfId="1890" priority="2160" operator="equal">
      <formula>1</formula>
    </cfRule>
  </conditionalFormatting>
  <conditionalFormatting sqref="C193">
    <cfRule type="cellIs" dxfId="1889" priority="2145" operator="equal">
      <formula>8</formula>
    </cfRule>
    <cfRule type="cellIs" dxfId="1888" priority="2146" operator="equal">
      <formula>7</formula>
    </cfRule>
    <cfRule type="cellIs" dxfId="1887" priority="2147" operator="equal">
      <formula>6</formula>
    </cfRule>
    <cfRule type="cellIs" dxfId="1886" priority="2148" operator="equal">
      <formula>5</formula>
    </cfRule>
    <cfRule type="cellIs" dxfId="1885" priority="2149" operator="equal">
      <formula>4</formula>
    </cfRule>
    <cfRule type="cellIs" dxfId="1884" priority="2150" operator="equal">
      <formula>3</formula>
    </cfRule>
    <cfRule type="cellIs" dxfId="1883" priority="2151" operator="equal">
      <formula>2</formula>
    </cfRule>
    <cfRule type="cellIs" dxfId="1882" priority="2152" operator="equal">
      <formula>1</formula>
    </cfRule>
  </conditionalFormatting>
  <conditionalFormatting sqref="D193">
    <cfRule type="cellIs" dxfId="1881" priority="2137" operator="equal">
      <formula>8</formula>
    </cfRule>
    <cfRule type="cellIs" dxfId="1880" priority="2138" operator="equal">
      <formula>7</formula>
    </cfRule>
    <cfRule type="cellIs" dxfId="1879" priority="2139" operator="equal">
      <formula>6</formula>
    </cfRule>
    <cfRule type="cellIs" dxfId="1878" priority="2140" operator="equal">
      <formula>5</formula>
    </cfRule>
    <cfRule type="cellIs" dxfId="1877" priority="2141" operator="equal">
      <formula>4</formula>
    </cfRule>
    <cfRule type="cellIs" dxfId="1876" priority="2142" operator="equal">
      <formula>3</formula>
    </cfRule>
    <cfRule type="cellIs" dxfId="1875" priority="2143" operator="equal">
      <formula>2</formula>
    </cfRule>
    <cfRule type="cellIs" dxfId="1874" priority="2144" operator="equal">
      <formula>1</formula>
    </cfRule>
  </conditionalFormatting>
  <conditionalFormatting sqref="E193:L193">
    <cfRule type="cellIs" dxfId="1873" priority="2129" operator="equal">
      <formula>8</formula>
    </cfRule>
    <cfRule type="cellIs" dxfId="1872" priority="2130" operator="equal">
      <formula>7</formula>
    </cfRule>
    <cfRule type="cellIs" dxfId="1871" priority="2131" operator="equal">
      <formula>6</formula>
    </cfRule>
    <cfRule type="cellIs" dxfId="1870" priority="2132" operator="equal">
      <formula>5</formula>
    </cfRule>
    <cfRule type="cellIs" dxfId="1869" priority="2133" operator="equal">
      <formula>4</formula>
    </cfRule>
    <cfRule type="cellIs" dxfId="1868" priority="2134" operator="equal">
      <formula>3</formula>
    </cfRule>
    <cfRule type="cellIs" dxfId="1867" priority="2135" operator="equal">
      <formula>2</formula>
    </cfRule>
    <cfRule type="cellIs" dxfId="1866" priority="2136" operator="equal">
      <formula>1</formula>
    </cfRule>
  </conditionalFormatting>
  <conditionalFormatting sqref="M193:U193">
    <cfRule type="cellIs" dxfId="1865" priority="2121" operator="equal">
      <formula>8</formula>
    </cfRule>
    <cfRule type="cellIs" dxfId="1864" priority="2122" operator="equal">
      <formula>7</formula>
    </cfRule>
    <cfRule type="cellIs" dxfId="1863" priority="2123" operator="equal">
      <formula>6</formula>
    </cfRule>
    <cfRule type="cellIs" dxfId="1862" priority="2124" operator="equal">
      <formula>5</formula>
    </cfRule>
    <cfRule type="cellIs" dxfId="1861" priority="2125" operator="equal">
      <formula>4</formula>
    </cfRule>
    <cfRule type="cellIs" dxfId="1860" priority="2126" operator="equal">
      <formula>3</formula>
    </cfRule>
    <cfRule type="cellIs" dxfId="1859" priority="2127" operator="equal">
      <formula>2</formula>
    </cfRule>
    <cfRule type="cellIs" dxfId="1858" priority="2128" operator="equal">
      <formula>1</formula>
    </cfRule>
  </conditionalFormatting>
  <conditionalFormatting sqref="V193">
    <cfRule type="cellIs" dxfId="1857" priority="2113" operator="equal">
      <formula>8</formula>
    </cfRule>
    <cfRule type="cellIs" dxfId="1856" priority="2114" operator="equal">
      <formula>7</formula>
    </cfRule>
    <cfRule type="cellIs" dxfId="1855" priority="2115" operator="equal">
      <formula>6</formula>
    </cfRule>
    <cfRule type="cellIs" dxfId="1854" priority="2116" operator="equal">
      <formula>5</formula>
    </cfRule>
    <cfRule type="cellIs" dxfId="1853" priority="2117" operator="equal">
      <formula>4</formula>
    </cfRule>
    <cfRule type="cellIs" dxfId="1852" priority="2118" operator="equal">
      <formula>3</formula>
    </cfRule>
    <cfRule type="cellIs" dxfId="1851" priority="2119" operator="equal">
      <formula>2</formula>
    </cfRule>
    <cfRule type="cellIs" dxfId="1850" priority="2120" operator="equal">
      <formula>1</formula>
    </cfRule>
  </conditionalFormatting>
  <conditionalFormatting sqref="C194">
    <cfRule type="cellIs" dxfId="1849" priority="2105" operator="equal">
      <formula>8</formula>
    </cfRule>
    <cfRule type="cellIs" dxfId="1848" priority="2106" operator="equal">
      <formula>7</formula>
    </cfRule>
    <cfRule type="cellIs" dxfId="1847" priority="2107" operator="equal">
      <formula>6</formula>
    </cfRule>
    <cfRule type="cellIs" dxfId="1846" priority="2108" operator="equal">
      <formula>5</formula>
    </cfRule>
    <cfRule type="cellIs" dxfId="1845" priority="2109" operator="equal">
      <formula>4</formula>
    </cfRule>
    <cfRule type="cellIs" dxfId="1844" priority="2110" operator="equal">
      <formula>3</formula>
    </cfRule>
    <cfRule type="cellIs" dxfId="1843" priority="2111" operator="equal">
      <formula>2</formula>
    </cfRule>
    <cfRule type="cellIs" dxfId="1842" priority="2112" operator="equal">
      <formula>1</formula>
    </cfRule>
  </conditionalFormatting>
  <conditionalFormatting sqref="D194">
    <cfRule type="cellIs" dxfId="1841" priority="2097" operator="equal">
      <formula>8</formula>
    </cfRule>
    <cfRule type="cellIs" dxfId="1840" priority="2098" operator="equal">
      <formula>7</formula>
    </cfRule>
    <cfRule type="cellIs" dxfId="1839" priority="2099" operator="equal">
      <formula>6</formula>
    </cfRule>
    <cfRule type="cellIs" dxfId="1838" priority="2100" operator="equal">
      <formula>5</formula>
    </cfRule>
    <cfRule type="cellIs" dxfId="1837" priority="2101" operator="equal">
      <formula>4</formula>
    </cfRule>
    <cfRule type="cellIs" dxfId="1836" priority="2102" operator="equal">
      <formula>3</formula>
    </cfRule>
    <cfRule type="cellIs" dxfId="1835" priority="2103" operator="equal">
      <formula>2</formula>
    </cfRule>
    <cfRule type="cellIs" dxfId="1834" priority="2104" operator="equal">
      <formula>1</formula>
    </cfRule>
  </conditionalFormatting>
  <conditionalFormatting sqref="E194:L194">
    <cfRule type="cellIs" dxfId="1833" priority="2089" operator="equal">
      <formula>8</formula>
    </cfRule>
    <cfRule type="cellIs" dxfId="1832" priority="2090" operator="equal">
      <formula>7</formula>
    </cfRule>
    <cfRule type="cellIs" dxfId="1831" priority="2091" operator="equal">
      <formula>6</formula>
    </cfRule>
    <cfRule type="cellIs" dxfId="1830" priority="2092" operator="equal">
      <formula>5</formula>
    </cfRule>
    <cfRule type="cellIs" dxfId="1829" priority="2093" operator="equal">
      <formula>4</formula>
    </cfRule>
    <cfRule type="cellIs" dxfId="1828" priority="2094" operator="equal">
      <formula>3</formula>
    </cfRule>
    <cfRule type="cellIs" dxfId="1827" priority="2095" operator="equal">
      <formula>2</formula>
    </cfRule>
    <cfRule type="cellIs" dxfId="1826" priority="2096" operator="equal">
      <formula>1</formula>
    </cfRule>
  </conditionalFormatting>
  <conditionalFormatting sqref="M194:U194">
    <cfRule type="cellIs" dxfId="1825" priority="2081" operator="equal">
      <formula>8</formula>
    </cfRule>
    <cfRule type="cellIs" dxfId="1824" priority="2082" operator="equal">
      <formula>7</formula>
    </cfRule>
    <cfRule type="cellIs" dxfId="1823" priority="2083" operator="equal">
      <formula>6</formula>
    </cfRule>
    <cfRule type="cellIs" dxfId="1822" priority="2084" operator="equal">
      <formula>5</formula>
    </cfRule>
    <cfRule type="cellIs" dxfId="1821" priority="2085" operator="equal">
      <formula>4</formula>
    </cfRule>
    <cfRule type="cellIs" dxfId="1820" priority="2086" operator="equal">
      <formula>3</formula>
    </cfRule>
    <cfRule type="cellIs" dxfId="1819" priority="2087" operator="equal">
      <formula>2</formula>
    </cfRule>
    <cfRule type="cellIs" dxfId="1818" priority="2088" operator="equal">
      <formula>1</formula>
    </cfRule>
  </conditionalFormatting>
  <conditionalFormatting sqref="V194">
    <cfRule type="cellIs" dxfId="1817" priority="2073" operator="equal">
      <formula>8</formula>
    </cfRule>
    <cfRule type="cellIs" dxfId="1816" priority="2074" operator="equal">
      <formula>7</formula>
    </cfRule>
    <cfRule type="cellIs" dxfId="1815" priority="2075" operator="equal">
      <formula>6</formula>
    </cfRule>
    <cfRule type="cellIs" dxfId="1814" priority="2076" operator="equal">
      <formula>5</formula>
    </cfRule>
    <cfRule type="cellIs" dxfId="1813" priority="2077" operator="equal">
      <formula>4</formula>
    </cfRule>
    <cfRule type="cellIs" dxfId="1812" priority="2078" operator="equal">
      <formula>3</formula>
    </cfRule>
    <cfRule type="cellIs" dxfId="1811" priority="2079" operator="equal">
      <formula>2</formula>
    </cfRule>
    <cfRule type="cellIs" dxfId="1810" priority="2080" operator="equal">
      <formula>1</formula>
    </cfRule>
  </conditionalFormatting>
  <conditionalFormatting sqref="C195">
    <cfRule type="cellIs" dxfId="1809" priority="2065" operator="equal">
      <formula>8</formula>
    </cfRule>
    <cfRule type="cellIs" dxfId="1808" priority="2066" operator="equal">
      <formula>7</formula>
    </cfRule>
    <cfRule type="cellIs" dxfId="1807" priority="2067" operator="equal">
      <formula>6</formula>
    </cfRule>
    <cfRule type="cellIs" dxfId="1806" priority="2068" operator="equal">
      <formula>5</formula>
    </cfRule>
    <cfRule type="cellIs" dxfId="1805" priority="2069" operator="equal">
      <formula>4</formula>
    </cfRule>
    <cfRule type="cellIs" dxfId="1804" priority="2070" operator="equal">
      <formula>3</formula>
    </cfRule>
    <cfRule type="cellIs" dxfId="1803" priority="2071" operator="equal">
      <formula>2</formula>
    </cfRule>
    <cfRule type="cellIs" dxfId="1802" priority="2072" operator="equal">
      <formula>1</formula>
    </cfRule>
  </conditionalFormatting>
  <conditionalFormatting sqref="D195">
    <cfRule type="cellIs" dxfId="1801" priority="2057" operator="equal">
      <formula>8</formula>
    </cfRule>
    <cfRule type="cellIs" dxfId="1800" priority="2058" operator="equal">
      <formula>7</formula>
    </cfRule>
    <cfRule type="cellIs" dxfId="1799" priority="2059" operator="equal">
      <formula>6</formula>
    </cfRule>
    <cfRule type="cellIs" dxfId="1798" priority="2060" operator="equal">
      <formula>5</formula>
    </cfRule>
    <cfRule type="cellIs" dxfId="1797" priority="2061" operator="equal">
      <formula>4</formula>
    </cfRule>
    <cfRule type="cellIs" dxfId="1796" priority="2062" operator="equal">
      <formula>3</formula>
    </cfRule>
    <cfRule type="cellIs" dxfId="1795" priority="2063" operator="equal">
      <formula>2</formula>
    </cfRule>
    <cfRule type="cellIs" dxfId="1794" priority="2064" operator="equal">
      <formula>1</formula>
    </cfRule>
  </conditionalFormatting>
  <conditionalFormatting sqref="E195:L195">
    <cfRule type="cellIs" dxfId="1793" priority="2049" operator="equal">
      <formula>8</formula>
    </cfRule>
    <cfRule type="cellIs" dxfId="1792" priority="2050" operator="equal">
      <formula>7</formula>
    </cfRule>
    <cfRule type="cellIs" dxfId="1791" priority="2051" operator="equal">
      <formula>6</formula>
    </cfRule>
    <cfRule type="cellIs" dxfId="1790" priority="2052" operator="equal">
      <formula>5</formula>
    </cfRule>
    <cfRule type="cellIs" dxfId="1789" priority="2053" operator="equal">
      <formula>4</formula>
    </cfRule>
    <cfRule type="cellIs" dxfId="1788" priority="2054" operator="equal">
      <formula>3</formula>
    </cfRule>
    <cfRule type="cellIs" dxfId="1787" priority="2055" operator="equal">
      <formula>2</formula>
    </cfRule>
    <cfRule type="cellIs" dxfId="1786" priority="2056" operator="equal">
      <formula>1</formula>
    </cfRule>
  </conditionalFormatting>
  <conditionalFormatting sqref="M195:U195">
    <cfRule type="cellIs" dxfId="1785" priority="2041" operator="equal">
      <formula>8</formula>
    </cfRule>
    <cfRule type="cellIs" dxfId="1784" priority="2042" operator="equal">
      <formula>7</formula>
    </cfRule>
    <cfRule type="cellIs" dxfId="1783" priority="2043" operator="equal">
      <formula>6</formula>
    </cfRule>
    <cfRule type="cellIs" dxfId="1782" priority="2044" operator="equal">
      <formula>5</formula>
    </cfRule>
    <cfRule type="cellIs" dxfId="1781" priority="2045" operator="equal">
      <formula>4</formula>
    </cfRule>
    <cfRule type="cellIs" dxfId="1780" priority="2046" operator="equal">
      <formula>3</formula>
    </cfRule>
    <cfRule type="cellIs" dxfId="1779" priority="2047" operator="equal">
      <formula>2</formula>
    </cfRule>
    <cfRule type="cellIs" dxfId="1778" priority="2048" operator="equal">
      <formula>1</formula>
    </cfRule>
  </conditionalFormatting>
  <conditionalFormatting sqref="V195">
    <cfRule type="cellIs" dxfId="1777" priority="2033" operator="equal">
      <formula>8</formula>
    </cfRule>
    <cfRule type="cellIs" dxfId="1776" priority="2034" operator="equal">
      <formula>7</formula>
    </cfRule>
    <cfRule type="cellIs" dxfId="1775" priority="2035" operator="equal">
      <formula>6</formula>
    </cfRule>
    <cfRule type="cellIs" dxfId="1774" priority="2036" operator="equal">
      <formula>5</formula>
    </cfRule>
    <cfRule type="cellIs" dxfId="1773" priority="2037" operator="equal">
      <formula>4</formula>
    </cfRule>
    <cfRule type="cellIs" dxfId="1772" priority="2038" operator="equal">
      <formula>3</formula>
    </cfRule>
    <cfRule type="cellIs" dxfId="1771" priority="2039" operator="equal">
      <formula>2</formula>
    </cfRule>
    <cfRule type="cellIs" dxfId="1770" priority="2040" operator="equal">
      <formula>1</formula>
    </cfRule>
  </conditionalFormatting>
  <conditionalFormatting sqref="C196">
    <cfRule type="cellIs" dxfId="1769" priority="2025" operator="equal">
      <formula>8</formula>
    </cfRule>
    <cfRule type="cellIs" dxfId="1768" priority="2026" operator="equal">
      <formula>7</formula>
    </cfRule>
    <cfRule type="cellIs" dxfId="1767" priority="2027" operator="equal">
      <formula>6</formula>
    </cfRule>
    <cfRule type="cellIs" dxfId="1766" priority="2028" operator="equal">
      <formula>5</formula>
    </cfRule>
    <cfRule type="cellIs" dxfId="1765" priority="2029" operator="equal">
      <formula>4</formula>
    </cfRule>
    <cfRule type="cellIs" dxfId="1764" priority="2030" operator="equal">
      <formula>3</formula>
    </cfRule>
    <cfRule type="cellIs" dxfId="1763" priority="2031" operator="equal">
      <formula>2</formula>
    </cfRule>
    <cfRule type="cellIs" dxfId="1762" priority="2032" operator="equal">
      <formula>1</formula>
    </cfRule>
  </conditionalFormatting>
  <conditionalFormatting sqref="D196">
    <cfRule type="cellIs" dxfId="1761" priority="2017" operator="equal">
      <formula>8</formula>
    </cfRule>
    <cfRule type="cellIs" dxfId="1760" priority="2018" operator="equal">
      <formula>7</formula>
    </cfRule>
    <cfRule type="cellIs" dxfId="1759" priority="2019" operator="equal">
      <formula>6</formula>
    </cfRule>
    <cfRule type="cellIs" dxfId="1758" priority="2020" operator="equal">
      <formula>5</formula>
    </cfRule>
    <cfRule type="cellIs" dxfId="1757" priority="2021" operator="equal">
      <formula>4</formula>
    </cfRule>
    <cfRule type="cellIs" dxfId="1756" priority="2022" operator="equal">
      <formula>3</formula>
    </cfRule>
    <cfRule type="cellIs" dxfId="1755" priority="2023" operator="equal">
      <formula>2</formula>
    </cfRule>
    <cfRule type="cellIs" dxfId="1754" priority="2024" operator="equal">
      <formula>1</formula>
    </cfRule>
  </conditionalFormatting>
  <conditionalFormatting sqref="E196:L196">
    <cfRule type="cellIs" dxfId="1753" priority="2009" operator="equal">
      <formula>8</formula>
    </cfRule>
    <cfRule type="cellIs" dxfId="1752" priority="2010" operator="equal">
      <formula>7</formula>
    </cfRule>
    <cfRule type="cellIs" dxfId="1751" priority="2011" operator="equal">
      <formula>6</formula>
    </cfRule>
    <cfRule type="cellIs" dxfId="1750" priority="2012" operator="equal">
      <formula>5</formula>
    </cfRule>
    <cfRule type="cellIs" dxfId="1749" priority="2013" operator="equal">
      <formula>4</formula>
    </cfRule>
    <cfRule type="cellIs" dxfId="1748" priority="2014" operator="equal">
      <formula>3</formula>
    </cfRule>
    <cfRule type="cellIs" dxfId="1747" priority="2015" operator="equal">
      <formula>2</formula>
    </cfRule>
    <cfRule type="cellIs" dxfId="1746" priority="2016" operator="equal">
      <formula>1</formula>
    </cfRule>
  </conditionalFormatting>
  <conditionalFormatting sqref="M196:U196">
    <cfRule type="cellIs" dxfId="1745" priority="2001" operator="equal">
      <formula>8</formula>
    </cfRule>
    <cfRule type="cellIs" dxfId="1744" priority="2002" operator="equal">
      <formula>7</formula>
    </cfRule>
    <cfRule type="cellIs" dxfId="1743" priority="2003" operator="equal">
      <formula>6</formula>
    </cfRule>
    <cfRule type="cellIs" dxfId="1742" priority="2004" operator="equal">
      <formula>5</formula>
    </cfRule>
    <cfRule type="cellIs" dxfId="1741" priority="2005" operator="equal">
      <formula>4</formula>
    </cfRule>
    <cfRule type="cellIs" dxfId="1740" priority="2006" operator="equal">
      <formula>3</formula>
    </cfRule>
    <cfRule type="cellIs" dxfId="1739" priority="2007" operator="equal">
      <formula>2</formula>
    </cfRule>
    <cfRule type="cellIs" dxfId="1738" priority="2008" operator="equal">
      <formula>1</formula>
    </cfRule>
  </conditionalFormatting>
  <conditionalFormatting sqref="V196">
    <cfRule type="cellIs" dxfId="1737" priority="1993" operator="equal">
      <formula>8</formula>
    </cfRule>
    <cfRule type="cellIs" dxfId="1736" priority="1994" operator="equal">
      <formula>7</formula>
    </cfRule>
    <cfRule type="cellIs" dxfId="1735" priority="1995" operator="equal">
      <formula>6</formula>
    </cfRule>
    <cfRule type="cellIs" dxfId="1734" priority="1996" operator="equal">
      <formula>5</formula>
    </cfRule>
    <cfRule type="cellIs" dxfId="1733" priority="1997" operator="equal">
      <formula>4</formula>
    </cfRule>
    <cfRule type="cellIs" dxfId="1732" priority="1998" operator="equal">
      <formula>3</formula>
    </cfRule>
    <cfRule type="cellIs" dxfId="1731" priority="1999" operator="equal">
      <formula>2</formula>
    </cfRule>
    <cfRule type="cellIs" dxfId="1730" priority="2000" operator="equal">
      <formula>1</formula>
    </cfRule>
  </conditionalFormatting>
  <conditionalFormatting sqref="C197">
    <cfRule type="cellIs" dxfId="1729" priority="1985" operator="equal">
      <formula>8</formula>
    </cfRule>
    <cfRule type="cellIs" dxfId="1728" priority="1986" operator="equal">
      <formula>7</formula>
    </cfRule>
    <cfRule type="cellIs" dxfId="1727" priority="1987" operator="equal">
      <formula>6</formula>
    </cfRule>
    <cfRule type="cellIs" dxfId="1726" priority="1988" operator="equal">
      <formula>5</formula>
    </cfRule>
    <cfRule type="cellIs" dxfId="1725" priority="1989" operator="equal">
      <formula>4</formula>
    </cfRule>
    <cfRule type="cellIs" dxfId="1724" priority="1990" operator="equal">
      <formula>3</formula>
    </cfRule>
    <cfRule type="cellIs" dxfId="1723" priority="1991" operator="equal">
      <formula>2</formula>
    </cfRule>
    <cfRule type="cellIs" dxfId="1722" priority="1992" operator="equal">
      <formula>1</formula>
    </cfRule>
  </conditionalFormatting>
  <conditionalFormatting sqref="D197">
    <cfRule type="cellIs" dxfId="1721" priority="1977" operator="equal">
      <formula>8</formula>
    </cfRule>
    <cfRule type="cellIs" dxfId="1720" priority="1978" operator="equal">
      <formula>7</formula>
    </cfRule>
    <cfRule type="cellIs" dxfId="1719" priority="1979" operator="equal">
      <formula>6</formula>
    </cfRule>
    <cfRule type="cellIs" dxfId="1718" priority="1980" operator="equal">
      <formula>5</formula>
    </cfRule>
    <cfRule type="cellIs" dxfId="1717" priority="1981" operator="equal">
      <formula>4</formula>
    </cfRule>
    <cfRule type="cellIs" dxfId="1716" priority="1982" operator="equal">
      <formula>3</formula>
    </cfRule>
    <cfRule type="cellIs" dxfId="1715" priority="1983" operator="equal">
      <formula>2</formula>
    </cfRule>
    <cfRule type="cellIs" dxfId="1714" priority="1984" operator="equal">
      <formula>1</formula>
    </cfRule>
  </conditionalFormatting>
  <conditionalFormatting sqref="E197:L197">
    <cfRule type="cellIs" dxfId="1713" priority="1969" operator="equal">
      <formula>8</formula>
    </cfRule>
    <cfRule type="cellIs" dxfId="1712" priority="1970" operator="equal">
      <formula>7</formula>
    </cfRule>
    <cfRule type="cellIs" dxfId="1711" priority="1971" operator="equal">
      <formula>6</formula>
    </cfRule>
    <cfRule type="cellIs" dxfId="1710" priority="1972" operator="equal">
      <formula>5</formula>
    </cfRule>
    <cfRule type="cellIs" dxfId="1709" priority="1973" operator="equal">
      <formula>4</formula>
    </cfRule>
    <cfRule type="cellIs" dxfId="1708" priority="1974" operator="equal">
      <formula>3</formula>
    </cfRule>
    <cfRule type="cellIs" dxfId="1707" priority="1975" operator="equal">
      <formula>2</formula>
    </cfRule>
    <cfRule type="cellIs" dxfId="1706" priority="1976" operator="equal">
      <formula>1</formula>
    </cfRule>
  </conditionalFormatting>
  <conditionalFormatting sqref="M197:U197">
    <cfRule type="cellIs" dxfId="1705" priority="1961" operator="equal">
      <formula>8</formula>
    </cfRule>
    <cfRule type="cellIs" dxfId="1704" priority="1962" operator="equal">
      <formula>7</formula>
    </cfRule>
    <cfRule type="cellIs" dxfId="1703" priority="1963" operator="equal">
      <formula>6</formula>
    </cfRule>
    <cfRule type="cellIs" dxfId="1702" priority="1964" operator="equal">
      <formula>5</formula>
    </cfRule>
    <cfRule type="cellIs" dxfId="1701" priority="1965" operator="equal">
      <formula>4</formula>
    </cfRule>
    <cfRule type="cellIs" dxfId="1700" priority="1966" operator="equal">
      <formula>3</formula>
    </cfRule>
    <cfRule type="cellIs" dxfId="1699" priority="1967" operator="equal">
      <formula>2</formula>
    </cfRule>
    <cfRule type="cellIs" dxfId="1698" priority="1968" operator="equal">
      <formula>1</formula>
    </cfRule>
  </conditionalFormatting>
  <conditionalFormatting sqref="V197">
    <cfRule type="cellIs" dxfId="1697" priority="1953" operator="equal">
      <formula>8</formula>
    </cfRule>
    <cfRule type="cellIs" dxfId="1696" priority="1954" operator="equal">
      <formula>7</formula>
    </cfRule>
    <cfRule type="cellIs" dxfId="1695" priority="1955" operator="equal">
      <formula>6</formula>
    </cfRule>
    <cfRule type="cellIs" dxfId="1694" priority="1956" operator="equal">
      <formula>5</formula>
    </cfRule>
    <cfRule type="cellIs" dxfId="1693" priority="1957" operator="equal">
      <formula>4</formula>
    </cfRule>
    <cfRule type="cellIs" dxfId="1692" priority="1958" operator="equal">
      <formula>3</formula>
    </cfRule>
    <cfRule type="cellIs" dxfId="1691" priority="1959" operator="equal">
      <formula>2</formula>
    </cfRule>
    <cfRule type="cellIs" dxfId="1690" priority="1960" operator="equal">
      <formula>1</formula>
    </cfRule>
  </conditionalFormatting>
  <conditionalFormatting sqref="C198">
    <cfRule type="cellIs" dxfId="1689" priority="1945" operator="equal">
      <formula>8</formula>
    </cfRule>
    <cfRule type="cellIs" dxfId="1688" priority="1946" operator="equal">
      <formula>7</formula>
    </cfRule>
    <cfRule type="cellIs" dxfId="1687" priority="1947" operator="equal">
      <formula>6</formula>
    </cfRule>
    <cfRule type="cellIs" dxfId="1686" priority="1948" operator="equal">
      <formula>5</formula>
    </cfRule>
    <cfRule type="cellIs" dxfId="1685" priority="1949" operator="equal">
      <formula>4</formula>
    </cfRule>
    <cfRule type="cellIs" dxfId="1684" priority="1950" operator="equal">
      <formula>3</formula>
    </cfRule>
    <cfRule type="cellIs" dxfId="1683" priority="1951" operator="equal">
      <formula>2</formula>
    </cfRule>
    <cfRule type="cellIs" dxfId="1682" priority="1952" operator="equal">
      <formula>1</formula>
    </cfRule>
  </conditionalFormatting>
  <conditionalFormatting sqref="D198">
    <cfRule type="cellIs" dxfId="1681" priority="1937" operator="equal">
      <formula>8</formula>
    </cfRule>
    <cfRule type="cellIs" dxfId="1680" priority="1938" operator="equal">
      <formula>7</formula>
    </cfRule>
    <cfRule type="cellIs" dxfId="1679" priority="1939" operator="equal">
      <formula>6</formula>
    </cfRule>
    <cfRule type="cellIs" dxfId="1678" priority="1940" operator="equal">
      <formula>5</formula>
    </cfRule>
    <cfRule type="cellIs" dxfId="1677" priority="1941" operator="equal">
      <formula>4</formula>
    </cfRule>
    <cfRule type="cellIs" dxfId="1676" priority="1942" operator="equal">
      <formula>3</formula>
    </cfRule>
    <cfRule type="cellIs" dxfId="1675" priority="1943" operator="equal">
      <formula>2</formula>
    </cfRule>
    <cfRule type="cellIs" dxfId="1674" priority="1944" operator="equal">
      <formula>1</formula>
    </cfRule>
  </conditionalFormatting>
  <conditionalFormatting sqref="E198:L198">
    <cfRule type="cellIs" dxfId="1673" priority="1929" operator="equal">
      <formula>8</formula>
    </cfRule>
    <cfRule type="cellIs" dxfId="1672" priority="1930" operator="equal">
      <formula>7</formula>
    </cfRule>
    <cfRule type="cellIs" dxfId="1671" priority="1931" operator="equal">
      <formula>6</formula>
    </cfRule>
    <cfRule type="cellIs" dxfId="1670" priority="1932" operator="equal">
      <formula>5</formula>
    </cfRule>
    <cfRule type="cellIs" dxfId="1669" priority="1933" operator="equal">
      <formula>4</formula>
    </cfRule>
    <cfRule type="cellIs" dxfId="1668" priority="1934" operator="equal">
      <formula>3</formula>
    </cfRule>
    <cfRule type="cellIs" dxfId="1667" priority="1935" operator="equal">
      <formula>2</formula>
    </cfRule>
    <cfRule type="cellIs" dxfId="1666" priority="1936" operator="equal">
      <formula>1</formula>
    </cfRule>
  </conditionalFormatting>
  <conditionalFormatting sqref="M198:U198">
    <cfRule type="cellIs" dxfId="1665" priority="1921" operator="equal">
      <formula>8</formula>
    </cfRule>
    <cfRule type="cellIs" dxfId="1664" priority="1922" operator="equal">
      <formula>7</formula>
    </cfRule>
    <cfRule type="cellIs" dxfId="1663" priority="1923" operator="equal">
      <formula>6</formula>
    </cfRule>
    <cfRule type="cellIs" dxfId="1662" priority="1924" operator="equal">
      <formula>5</formula>
    </cfRule>
    <cfRule type="cellIs" dxfId="1661" priority="1925" operator="equal">
      <formula>4</formula>
    </cfRule>
    <cfRule type="cellIs" dxfId="1660" priority="1926" operator="equal">
      <formula>3</formula>
    </cfRule>
    <cfRule type="cellIs" dxfId="1659" priority="1927" operator="equal">
      <formula>2</formula>
    </cfRule>
    <cfRule type="cellIs" dxfId="1658" priority="1928" operator="equal">
      <formula>1</formula>
    </cfRule>
  </conditionalFormatting>
  <conditionalFormatting sqref="V198">
    <cfRule type="cellIs" dxfId="1657" priority="1913" operator="equal">
      <formula>8</formula>
    </cfRule>
    <cfRule type="cellIs" dxfId="1656" priority="1914" operator="equal">
      <formula>7</formula>
    </cfRule>
    <cfRule type="cellIs" dxfId="1655" priority="1915" operator="equal">
      <formula>6</formula>
    </cfRule>
    <cfRule type="cellIs" dxfId="1654" priority="1916" operator="equal">
      <formula>5</formula>
    </cfRule>
    <cfRule type="cellIs" dxfId="1653" priority="1917" operator="equal">
      <formula>4</formula>
    </cfRule>
    <cfRule type="cellIs" dxfId="1652" priority="1918" operator="equal">
      <formula>3</formula>
    </cfRule>
    <cfRule type="cellIs" dxfId="1651" priority="1919" operator="equal">
      <formula>2</formula>
    </cfRule>
    <cfRule type="cellIs" dxfId="1650" priority="1920" operator="equal">
      <formula>1</formula>
    </cfRule>
  </conditionalFormatting>
  <conditionalFormatting sqref="C199">
    <cfRule type="cellIs" dxfId="1649" priority="1905" operator="equal">
      <formula>8</formula>
    </cfRule>
    <cfRule type="cellIs" dxfId="1648" priority="1906" operator="equal">
      <formula>7</formula>
    </cfRule>
    <cfRule type="cellIs" dxfId="1647" priority="1907" operator="equal">
      <formula>6</formula>
    </cfRule>
    <cfRule type="cellIs" dxfId="1646" priority="1908" operator="equal">
      <formula>5</formula>
    </cfRule>
    <cfRule type="cellIs" dxfId="1645" priority="1909" operator="equal">
      <formula>4</formula>
    </cfRule>
    <cfRule type="cellIs" dxfId="1644" priority="1910" operator="equal">
      <formula>3</formula>
    </cfRule>
    <cfRule type="cellIs" dxfId="1643" priority="1911" operator="equal">
      <formula>2</formula>
    </cfRule>
    <cfRule type="cellIs" dxfId="1642" priority="1912" operator="equal">
      <formula>1</formula>
    </cfRule>
  </conditionalFormatting>
  <conditionalFormatting sqref="D199">
    <cfRule type="cellIs" dxfId="1641" priority="1897" operator="equal">
      <formula>8</formula>
    </cfRule>
    <cfRule type="cellIs" dxfId="1640" priority="1898" operator="equal">
      <formula>7</formula>
    </cfRule>
    <cfRule type="cellIs" dxfId="1639" priority="1899" operator="equal">
      <formula>6</formula>
    </cfRule>
    <cfRule type="cellIs" dxfId="1638" priority="1900" operator="equal">
      <formula>5</formula>
    </cfRule>
    <cfRule type="cellIs" dxfId="1637" priority="1901" operator="equal">
      <formula>4</formula>
    </cfRule>
    <cfRule type="cellIs" dxfId="1636" priority="1902" operator="equal">
      <formula>3</formula>
    </cfRule>
    <cfRule type="cellIs" dxfId="1635" priority="1903" operator="equal">
      <formula>2</formula>
    </cfRule>
    <cfRule type="cellIs" dxfId="1634" priority="1904" operator="equal">
      <formula>1</formula>
    </cfRule>
  </conditionalFormatting>
  <conditionalFormatting sqref="E199:L199">
    <cfRule type="cellIs" dxfId="1633" priority="1889" operator="equal">
      <formula>8</formula>
    </cfRule>
    <cfRule type="cellIs" dxfId="1632" priority="1890" operator="equal">
      <formula>7</formula>
    </cfRule>
    <cfRule type="cellIs" dxfId="1631" priority="1891" operator="equal">
      <formula>6</formula>
    </cfRule>
    <cfRule type="cellIs" dxfId="1630" priority="1892" operator="equal">
      <formula>5</formula>
    </cfRule>
    <cfRule type="cellIs" dxfId="1629" priority="1893" operator="equal">
      <formula>4</formula>
    </cfRule>
    <cfRule type="cellIs" dxfId="1628" priority="1894" operator="equal">
      <formula>3</formula>
    </cfRule>
    <cfRule type="cellIs" dxfId="1627" priority="1895" operator="equal">
      <formula>2</formula>
    </cfRule>
    <cfRule type="cellIs" dxfId="1626" priority="1896" operator="equal">
      <formula>1</formula>
    </cfRule>
  </conditionalFormatting>
  <conditionalFormatting sqref="M199:U199">
    <cfRule type="cellIs" dxfId="1625" priority="1881" operator="equal">
      <formula>8</formula>
    </cfRule>
    <cfRule type="cellIs" dxfId="1624" priority="1882" operator="equal">
      <formula>7</formula>
    </cfRule>
    <cfRule type="cellIs" dxfId="1623" priority="1883" operator="equal">
      <formula>6</formula>
    </cfRule>
    <cfRule type="cellIs" dxfId="1622" priority="1884" operator="equal">
      <formula>5</formula>
    </cfRule>
    <cfRule type="cellIs" dxfId="1621" priority="1885" operator="equal">
      <formula>4</formula>
    </cfRule>
    <cfRule type="cellIs" dxfId="1620" priority="1886" operator="equal">
      <formula>3</formula>
    </cfRule>
    <cfRule type="cellIs" dxfId="1619" priority="1887" operator="equal">
      <formula>2</formula>
    </cfRule>
    <cfRule type="cellIs" dxfId="1618" priority="1888" operator="equal">
      <formula>1</formula>
    </cfRule>
  </conditionalFormatting>
  <conditionalFormatting sqref="V199">
    <cfRule type="cellIs" dxfId="1617" priority="1873" operator="equal">
      <formula>8</formula>
    </cfRule>
    <cfRule type="cellIs" dxfId="1616" priority="1874" operator="equal">
      <formula>7</formula>
    </cfRule>
    <cfRule type="cellIs" dxfId="1615" priority="1875" operator="equal">
      <formula>6</formula>
    </cfRule>
    <cfRule type="cellIs" dxfId="1614" priority="1876" operator="equal">
      <formula>5</formula>
    </cfRule>
    <cfRule type="cellIs" dxfId="1613" priority="1877" operator="equal">
      <formula>4</formula>
    </cfRule>
    <cfRule type="cellIs" dxfId="1612" priority="1878" operator="equal">
      <formula>3</formula>
    </cfRule>
    <cfRule type="cellIs" dxfId="1611" priority="1879" operator="equal">
      <formula>2</formula>
    </cfRule>
    <cfRule type="cellIs" dxfId="1610" priority="1880" operator="equal">
      <formula>1</formula>
    </cfRule>
  </conditionalFormatting>
  <conditionalFormatting sqref="C200">
    <cfRule type="cellIs" dxfId="1609" priority="1865" operator="equal">
      <formula>8</formula>
    </cfRule>
    <cfRule type="cellIs" dxfId="1608" priority="1866" operator="equal">
      <formula>7</formula>
    </cfRule>
    <cfRule type="cellIs" dxfId="1607" priority="1867" operator="equal">
      <formula>6</formula>
    </cfRule>
    <cfRule type="cellIs" dxfId="1606" priority="1868" operator="equal">
      <formula>5</formula>
    </cfRule>
    <cfRule type="cellIs" dxfId="1605" priority="1869" operator="equal">
      <formula>4</formula>
    </cfRule>
    <cfRule type="cellIs" dxfId="1604" priority="1870" operator="equal">
      <formula>3</formula>
    </cfRule>
    <cfRule type="cellIs" dxfId="1603" priority="1871" operator="equal">
      <formula>2</formula>
    </cfRule>
    <cfRule type="cellIs" dxfId="1602" priority="1872" operator="equal">
      <formula>1</formula>
    </cfRule>
  </conditionalFormatting>
  <conditionalFormatting sqref="D200">
    <cfRule type="cellIs" dxfId="1601" priority="1857" operator="equal">
      <formula>8</formula>
    </cfRule>
    <cfRule type="cellIs" dxfId="1600" priority="1858" operator="equal">
      <formula>7</formula>
    </cfRule>
    <cfRule type="cellIs" dxfId="1599" priority="1859" operator="equal">
      <formula>6</formula>
    </cfRule>
    <cfRule type="cellIs" dxfId="1598" priority="1860" operator="equal">
      <formula>5</formula>
    </cfRule>
    <cfRule type="cellIs" dxfId="1597" priority="1861" operator="equal">
      <formula>4</formula>
    </cfRule>
    <cfRule type="cellIs" dxfId="1596" priority="1862" operator="equal">
      <formula>3</formula>
    </cfRule>
    <cfRule type="cellIs" dxfId="1595" priority="1863" operator="equal">
      <formula>2</formula>
    </cfRule>
    <cfRule type="cellIs" dxfId="1594" priority="1864" operator="equal">
      <formula>1</formula>
    </cfRule>
  </conditionalFormatting>
  <conditionalFormatting sqref="E200:L200">
    <cfRule type="cellIs" dxfId="1593" priority="1849" operator="equal">
      <formula>8</formula>
    </cfRule>
    <cfRule type="cellIs" dxfId="1592" priority="1850" operator="equal">
      <formula>7</formula>
    </cfRule>
    <cfRule type="cellIs" dxfId="1591" priority="1851" operator="equal">
      <formula>6</formula>
    </cfRule>
    <cfRule type="cellIs" dxfId="1590" priority="1852" operator="equal">
      <formula>5</formula>
    </cfRule>
    <cfRule type="cellIs" dxfId="1589" priority="1853" operator="equal">
      <formula>4</formula>
    </cfRule>
    <cfRule type="cellIs" dxfId="1588" priority="1854" operator="equal">
      <formula>3</formula>
    </cfRule>
    <cfRule type="cellIs" dxfId="1587" priority="1855" operator="equal">
      <formula>2</formula>
    </cfRule>
    <cfRule type="cellIs" dxfId="1586" priority="1856" operator="equal">
      <formula>1</formula>
    </cfRule>
  </conditionalFormatting>
  <conditionalFormatting sqref="M200:U200">
    <cfRule type="cellIs" dxfId="1585" priority="1841" operator="equal">
      <formula>8</formula>
    </cfRule>
    <cfRule type="cellIs" dxfId="1584" priority="1842" operator="equal">
      <formula>7</formula>
    </cfRule>
    <cfRule type="cellIs" dxfId="1583" priority="1843" operator="equal">
      <formula>6</formula>
    </cfRule>
    <cfRule type="cellIs" dxfId="1582" priority="1844" operator="equal">
      <formula>5</formula>
    </cfRule>
    <cfRule type="cellIs" dxfId="1581" priority="1845" operator="equal">
      <formula>4</formula>
    </cfRule>
    <cfRule type="cellIs" dxfId="1580" priority="1846" operator="equal">
      <formula>3</formula>
    </cfRule>
    <cfRule type="cellIs" dxfId="1579" priority="1847" operator="equal">
      <formula>2</formula>
    </cfRule>
    <cfRule type="cellIs" dxfId="1578" priority="1848" operator="equal">
      <formula>1</formula>
    </cfRule>
  </conditionalFormatting>
  <conditionalFormatting sqref="V200">
    <cfRule type="cellIs" dxfId="1577" priority="1833" operator="equal">
      <formula>8</formula>
    </cfRule>
    <cfRule type="cellIs" dxfId="1576" priority="1834" operator="equal">
      <formula>7</formula>
    </cfRule>
    <cfRule type="cellIs" dxfId="1575" priority="1835" operator="equal">
      <formula>6</formula>
    </cfRule>
    <cfRule type="cellIs" dxfId="1574" priority="1836" operator="equal">
      <formula>5</formula>
    </cfRule>
    <cfRule type="cellIs" dxfId="1573" priority="1837" operator="equal">
      <formula>4</formula>
    </cfRule>
    <cfRule type="cellIs" dxfId="1572" priority="1838" operator="equal">
      <formula>3</formula>
    </cfRule>
    <cfRule type="cellIs" dxfId="1571" priority="1839" operator="equal">
      <formula>2</formula>
    </cfRule>
    <cfRule type="cellIs" dxfId="1570" priority="1840" operator="equal">
      <formula>1</formula>
    </cfRule>
  </conditionalFormatting>
  <conditionalFormatting sqref="C201">
    <cfRule type="cellIs" dxfId="1569" priority="1825" operator="equal">
      <formula>8</formula>
    </cfRule>
    <cfRule type="cellIs" dxfId="1568" priority="1826" operator="equal">
      <formula>7</formula>
    </cfRule>
    <cfRule type="cellIs" dxfId="1567" priority="1827" operator="equal">
      <formula>6</formula>
    </cfRule>
    <cfRule type="cellIs" dxfId="1566" priority="1828" operator="equal">
      <formula>5</formula>
    </cfRule>
    <cfRule type="cellIs" dxfId="1565" priority="1829" operator="equal">
      <formula>4</formula>
    </cfRule>
    <cfRule type="cellIs" dxfId="1564" priority="1830" operator="equal">
      <formula>3</formula>
    </cfRule>
    <cfRule type="cellIs" dxfId="1563" priority="1831" operator="equal">
      <formula>2</formula>
    </cfRule>
    <cfRule type="cellIs" dxfId="1562" priority="1832" operator="equal">
      <formula>1</formula>
    </cfRule>
  </conditionalFormatting>
  <conditionalFormatting sqref="D201">
    <cfRule type="cellIs" dxfId="1561" priority="1817" operator="equal">
      <formula>8</formula>
    </cfRule>
    <cfRule type="cellIs" dxfId="1560" priority="1818" operator="equal">
      <formula>7</formula>
    </cfRule>
    <cfRule type="cellIs" dxfId="1559" priority="1819" operator="equal">
      <formula>6</formula>
    </cfRule>
    <cfRule type="cellIs" dxfId="1558" priority="1820" operator="equal">
      <formula>5</formula>
    </cfRule>
    <cfRule type="cellIs" dxfId="1557" priority="1821" operator="equal">
      <formula>4</formula>
    </cfRule>
    <cfRule type="cellIs" dxfId="1556" priority="1822" operator="equal">
      <formula>3</formula>
    </cfRule>
    <cfRule type="cellIs" dxfId="1555" priority="1823" operator="equal">
      <formula>2</formula>
    </cfRule>
    <cfRule type="cellIs" dxfId="1554" priority="1824" operator="equal">
      <formula>1</formula>
    </cfRule>
  </conditionalFormatting>
  <conditionalFormatting sqref="E201:L201">
    <cfRule type="cellIs" dxfId="1553" priority="1809" operator="equal">
      <formula>8</formula>
    </cfRule>
    <cfRule type="cellIs" dxfId="1552" priority="1810" operator="equal">
      <formula>7</formula>
    </cfRule>
    <cfRule type="cellIs" dxfId="1551" priority="1811" operator="equal">
      <formula>6</formula>
    </cfRule>
    <cfRule type="cellIs" dxfId="1550" priority="1812" operator="equal">
      <formula>5</formula>
    </cfRule>
    <cfRule type="cellIs" dxfId="1549" priority="1813" operator="equal">
      <formula>4</formula>
    </cfRule>
    <cfRule type="cellIs" dxfId="1548" priority="1814" operator="equal">
      <formula>3</formula>
    </cfRule>
    <cfRule type="cellIs" dxfId="1547" priority="1815" operator="equal">
      <formula>2</formula>
    </cfRule>
    <cfRule type="cellIs" dxfId="1546" priority="1816" operator="equal">
      <formula>1</formula>
    </cfRule>
  </conditionalFormatting>
  <conditionalFormatting sqref="M201:U201">
    <cfRule type="cellIs" dxfId="1545" priority="1801" operator="equal">
      <formula>8</formula>
    </cfRule>
    <cfRule type="cellIs" dxfId="1544" priority="1802" operator="equal">
      <formula>7</formula>
    </cfRule>
    <cfRule type="cellIs" dxfId="1543" priority="1803" operator="equal">
      <formula>6</formula>
    </cfRule>
    <cfRule type="cellIs" dxfId="1542" priority="1804" operator="equal">
      <formula>5</formula>
    </cfRule>
    <cfRule type="cellIs" dxfId="1541" priority="1805" operator="equal">
      <formula>4</formula>
    </cfRule>
    <cfRule type="cellIs" dxfId="1540" priority="1806" operator="equal">
      <formula>3</formula>
    </cfRule>
    <cfRule type="cellIs" dxfId="1539" priority="1807" operator="equal">
      <formula>2</formula>
    </cfRule>
    <cfRule type="cellIs" dxfId="1538" priority="1808" operator="equal">
      <formula>1</formula>
    </cfRule>
  </conditionalFormatting>
  <conditionalFormatting sqref="V201">
    <cfRule type="cellIs" dxfId="1537" priority="1793" operator="equal">
      <formula>8</formula>
    </cfRule>
    <cfRule type="cellIs" dxfId="1536" priority="1794" operator="equal">
      <formula>7</formula>
    </cfRule>
    <cfRule type="cellIs" dxfId="1535" priority="1795" operator="equal">
      <formula>6</formula>
    </cfRule>
    <cfRule type="cellIs" dxfId="1534" priority="1796" operator="equal">
      <formula>5</formula>
    </cfRule>
    <cfRule type="cellIs" dxfId="1533" priority="1797" operator="equal">
      <formula>4</formula>
    </cfRule>
    <cfRule type="cellIs" dxfId="1532" priority="1798" operator="equal">
      <formula>3</formula>
    </cfRule>
    <cfRule type="cellIs" dxfId="1531" priority="1799" operator="equal">
      <formula>2</formula>
    </cfRule>
    <cfRule type="cellIs" dxfId="1530" priority="1800" operator="equal">
      <formula>1</formula>
    </cfRule>
  </conditionalFormatting>
  <conditionalFormatting sqref="C202">
    <cfRule type="cellIs" dxfId="1529" priority="1785" operator="equal">
      <formula>8</formula>
    </cfRule>
    <cfRule type="cellIs" dxfId="1528" priority="1786" operator="equal">
      <formula>7</formula>
    </cfRule>
    <cfRule type="cellIs" dxfId="1527" priority="1787" operator="equal">
      <formula>6</formula>
    </cfRule>
    <cfRule type="cellIs" dxfId="1526" priority="1788" operator="equal">
      <formula>5</formula>
    </cfRule>
    <cfRule type="cellIs" dxfId="1525" priority="1789" operator="equal">
      <formula>4</formula>
    </cfRule>
    <cfRule type="cellIs" dxfId="1524" priority="1790" operator="equal">
      <formula>3</formula>
    </cfRule>
    <cfRule type="cellIs" dxfId="1523" priority="1791" operator="equal">
      <formula>2</formula>
    </cfRule>
    <cfRule type="cellIs" dxfId="1522" priority="1792" operator="equal">
      <formula>1</formula>
    </cfRule>
  </conditionalFormatting>
  <conditionalFormatting sqref="D202">
    <cfRule type="cellIs" dxfId="1521" priority="1777" operator="equal">
      <formula>8</formula>
    </cfRule>
    <cfRule type="cellIs" dxfId="1520" priority="1778" operator="equal">
      <formula>7</formula>
    </cfRule>
    <cfRule type="cellIs" dxfId="1519" priority="1779" operator="equal">
      <formula>6</formula>
    </cfRule>
    <cfRule type="cellIs" dxfId="1518" priority="1780" operator="equal">
      <formula>5</formula>
    </cfRule>
    <cfRule type="cellIs" dxfId="1517" priority="1781" operator="equal">
      <formula>4</formula>
    </cfRule>
    <cfRule type="cellIs" dxfId="1516" priority="1782" operator="equal">
      <formula>3</formula>
    </cfRule>
    <cfRule type="cellIs" dxfId="1515" priority="1783" operator="equal">
      <formula>2</formula>
    </cfRule>
    <cfRule type="cellIs" dxfId="1514" priority="1784" operator="equal">
      <formula>1</formula>
    </cfRule>
  </conditionalFormatting>
  <conditionalFormatting sqref="E202:L202">
    <cfRule type="cellIs" dxfId="1513" priority="1769" operator="equal">
      <formula>8</formula>
    </cfRule>
    <cfRule type="cellIs" dxfId="1512" priority="1770" operator="equal">
      <formula>7</formula>
    </cfRule>
    <cfRule type="cellIs" dxfId="1511" priority="1771" operator="equal">
      <formula>6</formula>
    </cfRule>
    <cfRule type="cellIs" dxfId="1510" priority="1772" operator="equal">
      <formula>5</formula>
    </cfRule>
    <cfRule type="cellIs" dxfId="1509" priority="1773" operator="equal">
      <formula>4</formula>
    </cfRule>
    <cfRule type="cellIs" dxfId="1508" priority="1774" operator="equal">
      <formula>3</formula>
    </cfRule>
    <cfRule type="cellIs" dxfId="1507" priority="1775" operator="equal">
      <formula>2</formula>
    </cfRule>
    <cfRule type="cellIs" dxfId="1506" priority="1776" operator="equal">
      <formula>1</formula>
    </cfRule>
  </conditionalFormatting>
  <conditionalFormatting sqref="M202:U202">
    <cfRule type="cellIs" dxfId="1505" priority="1761" operator="equal">
      <formula>8</formula>
    </cfRule>
    <cfRule type="cellIs" dxfId="1504" priority="1762" operator="equal">
      <formula>7</formula>
    </cfRule>
    <cfRule type="cellIs" dxfId="1503" priority="1763" operator="equal">
      <formula>6</formula>
    </cfRule>
    <cfRule type="cellIs" dxfId="1502" priority="1764" operator="equal">
      <formula>5</formula>
    </cfRule>
    <cfRule type="cellIs" dxfId="1501" priority="1765" operator="equal">
      <formula>4</formula>
    </cfRule>
    <cfRule type="cellIs" dxfId="1500" priority="1766" operator="equal">
      <formula>3</formula>
    </cfRule>
    <cfRule type="cellIs" dxfId="1499" priority="1767" operator="equal">
      <formula>2</formula>
    </cfRule>
    <cfRule type="cellIs" dxfId="1498" priority="1768" operator="equal">
      <formula>1</formula>
    </cfRule>
  </conditionalFormatting>
  <conditionalFormatting sqref="V202">
    <cfRule type="cellIs" dxfId="1497" priority="1753" operator="equal">
      <formula>8</formula>
    </cfRule>
    <cfRule type="cellIs" dxfId="1496" priority="1754" operator="equal">
      <formula>7</formula>
    </cfRule>
    <cfRule type="cellIs" dxfId="1495" priority="1755" operator="equal">
      <formula>6</formula>
    </cfRule>
    <cfRule type="cellIs" dxfId="1494" priority="1756" operator="equal">
      <formula>5</formula>
    </cfRule>
    <cfRule type="cellIs" dxfId="1493" priority="1757" operator="equal">
      <formula>4</formula>
    </cfRule>
    <cfRule type="cellIs" dxfId="1492" priority="1758" operator="equal">
      <formula>3</formula>
    </cfRule>
    <cfRule type="cellIs" dxfId="1491" priority="1759" operator="equal">
      <formula>2</formula>
    </cfRule>
    <cfRule type="cellIs" dxfId="1490" priority="1760" operator="equal">
      <formula>1</formula>
    </cfRule>
  </conditionalFormatting>
  <conditionalFormatting sqref="C203">
    <cfRule type="cellIs" dxfId="1489" priority="1745" operator="equal">
      <formula>8</formula>
    </cfRule>
    <cfRule type="cellIs" dxfId="1488" priority="1746" operator="equal">
      <formula>7</formula>
    </cfRule>
    <cfRule type="cellIs" dxfId="1487" priority="1747" operator="equal">
      <formula>6</formula>
    </cfRule>
    <cfRule type="cellIs" dxfId="1486" priority="1748" operator="equal">
      <formula>5</formula>
    </cfRule>
    <cfRule type="cellIs" dxfId="1485" priority="1749" operator="equal">
      <formula>4</formula>
    </cfRule>
    <cfRule type="cellIs" dxfId="1484" priority="1750" operator="equal">
      <formula>3</formula>
    </cfRule>
    <cfRule type="cellIs" dxfId="1483" priority="1751" operator="equal">
      <formula>2</formula>
    </cfRule>
    <cfRule type="cellIs" dxfId="1482" priority="1752" operator="equal">
      <formula>1</formula>
    </cfRule>
  </conditionalFormatting>
  <conditionalFormatting sqref="D203">
    <cfRule type="cellIs" dxfId="1481" priority="1737" operator="equal">
      <formula>8</formula>
    </cfRule>
    <cfRule type="cellIs" dxfId="1480" priority="1738" operator="equal">
      <formula>7</formula>
    </cfRule>
    <cfRule type="cellIs" dxfId="1479" priority="1739" operator="equal">
      <formula>6</formula>
    </cfRule>
    <cfRule type="cellIs" dxfId="1478" priority="1740" operator="equal">
      <formula>5</formula>
    </cfRule>
    <cfRule type="cellIs" dxfId="1477" priority="1741" operator="equal">
      <formula>4</formula>
    </cfRule>
    <cfRule type="cellIs" dxfId="1476" priority="1742" operator="equal">
      <formula>3</formula>
    </cfRule>
    <cfRule type="cellIs" dxfId="1475" priority="1743" operator="equal">
      <formula>2</formula>
    </cfRule>
    <cfRule type="cellIs" dxfId="1474" priority="1744" operator="equal">
      <formula>1</formula>
    </cfRule>
  </conditionalFormatting>
  <conditionalFormatting sqref="E203:L203">
    <cfRule type="cellIs" dxfId="1473" priority="1729" operator="equal">
      <formula>8</formula>
    </cfRule>
    <cfRule type="cellIs" dxfId="1472" priority="1730" operator="equal">
      <formula>7</formula>
    </cfRule>
    <cfRule type="cellIs" dxfId="1471" priority="1731" operator="equal">
      <formula>6</formula>
    </cfRule>
    <cfRule type="cellIs" dxfId="1470" priority="1732" operator="equal">
      <formula>5</formula>
    </cfRule>
    <cfRule type="cellIs" dxfId="1469" priority="1733" operator="equal">
      <formula>4</formula>
    </cfRule>
    <cfRule type="cellIs" dxfId="1468" priority="1734" operator="equal">
      <formula>3</formula>
    </cfRule>
    <cfRule type="cellIs" dxfId="1467" priority="1735" operator="equal">
      <formula>2</formula>
    </cfRule>
    <cfRule type="cellIs" dxfId="1466" priority="1736" operator="equal">
      <formula>1</formula>
    </cfRule>
  </conditionalFormatting>
  <conditionalFormatting sqref="M203:U203">
    <cfRule type="cellIs" dxfId="1465" priority="1721" operator="equal">
      <formula>8</formula>
    </cfRule>
    <cfRule type="cellIs" dxfId="1464" priority="1722" operator="equal">
      <formula>7</formula>
    </cfRule>
    <cfRule type="cellIs" dxfId="1463" priority="1723" operator="equal">
      <formula>6</formula>
    </cfRule>
    <cfRule type="cellIs" dxfId="1462" priority="1724" operator="equal">
      <formula>5</formula>
    </cfRule>
    <cfRule type="cellIs" dxfId="1461" priority="1725" operator="equal">
      <formula>4</formula>
    </cfRule>
    <cfRule type="cellIs" dxfId="1460" priority="1726" operator="equal">
      <formula>3</formula>
    </cfRule>
    <cfRule type="cellIs" dxfId="1459" priority="1727" operator="equal">
      <formula>2</formula>
    </cfRule>
    <cfRule type="cellIs" dxfId="1458" priority="1728" operator="equal">
      <formula>1</formula>
    </cfRule>
  </conditionalFormatting>
  <conditionalFormatting sqref="V203">
    <cfRule type="cellIs" dxfId="1457" priority="1713" operator="equal">
      <formula>8</formula>
    </cfRule>
    <cfRule type="cellIs" dxfId="1456" priority="1714" operator="equal">
      <formula>7</formula>
    </cfRule>
    <cfRule type="cellIs" dxfId="1455" priority="1715" operator="equal">
      <formula>6</formula>
    </cfRule>
    <cfRule type="cellIs" dxfId="1454" priority="1716" operator="equal">
      <formula>5</formula>
    </cfRule>
    <cfRule type="cellIs" dxfId="1453" priority="1717" operator="equal">
      <formula>4</formula>
    </cfRule>
    <cfRule type="cellIs" dxfId="1452" priority="1718" operator="equal">
      <formula>3</formula>
    </cfRule>
    <cfRule type="cellIs" dxfId="1451" priority="1719" operator="equal">
      <formula>2</formula>
    </cfRule>
    <cfRule type="cellIs" dxfId="1450" priority="1720" operator="equal">
      <formula>1</formula>
    </cfRule>
  </conditionalFormatting>
  <conditionalFormatting sqref="C204">
    <cfRule type="cellIs" dxfId="1449" priority="1705" operator="equal">
      <formula>8</formula>
    </cfRule>
    <cfRule type="cellIs" dxfId="1448" priority="1706" operator="equal">
      <formula>7</formula>
    </cfRule>
    <cfRule type="cellIs" dxfId="1447" priority="1707" operator="equal">
      <formula>6</formula>
    </cfRule>
    <cfRule type="cellIs" dxfId="1446" priority="1708" operator="equal">
      <formula>5</formula>
    </cfRule>
    <cfRule type="cellIs" dxfId="1445" priority="1709" operator="equal">
      <formula>4</formula>
    </cfRule>
    <cfRule type="cellIs" dxfId="1444" priority="1710" operator="equal">
      <formula>3</formula>
    </cfRule>
    <cfRule type="cellIs" dxfId="1443" priority="1711" operator="equal">
      <formula>2</formula>
    </cfRule>
    <cfRule type="cellIs" dxfId="1442" priority="1712" operator="equal">
      <formula>1</formula>
    </cfRule>
  </conditionalFormatting>
  <conditionalFormatting sqref="D204">
    <cfRule type="cellIs" dxfId="1441" priority="1697" operator="equal">
      <formula>8</formula>
    </cfRule>
    <cfRule type="cellIs" dxfId="1440" priority="1698" operator="equal">
      <formula>7</formula>
    </cfRule>
    <cfRule type="cellIs" dxfId="1439" priority="1699" operator="equal">
      <formula>6</formula>
    </cfRule>
    <cfRule type="cellIs" dxfId="1438" priority="1700" operator="equal">
      <formula>5</formula>
    </cfRule>
    <cfRule type="cellIs" dxfId="1437" priority="1701" operator="equal">
      <formula>4</formula>
    </cfRule>
    <cfRule type="cellIs" dxfId="1436" priority="1702" operator="equal">
      <formula>3</formula>
    </cfRule>
    <cfRule type="cellIs" dxfId="1435" priority="1703" operator="equal">
      <formula>2</formula>
    </cfRule>
    <cfRule type="cellIs" dxfId="1434" priority="1704" operator="equal">
      <formula>1</formula>
    </cfRule>
  </conditionalFormatting>
  <conditionalFormatting sqref="E204:L204">
    <cfRule type="cellIs" dxfId="1433" priority="1689" operator="equal">
      <formula>8</formula>
    </cfRule>
    <cfRule type="cellIs" dxfId="1432" priority="1690" operator="equal">
      <formula>7</formula>
    </cfRule>
    <cfRule type="cellIs" dxfId="1431" priority="1691" operator="equal">
      <formula>6</formula>
    </cfRule>
    <cfRule type="cellIs" dxfId="1430" priority="1692" operator="equal">
      <formula>5</formula>
    </cfRule>
    <cfRule type="cellIs" dxfId="1429" priority="1693" operator="equal">
      <formula>4</formula>
    </cfRule>
    <cfRule type="cellIs" dxfId="1428" priority="1694" operator="equal">
      <formula>3</formula>
    </cfRule>
    <cfRule type="cellIs" dxfId="1427" priority="1695" operator="equal">
      <formula>2</formula>
    </cfRule>
    <cfRule type="cellIs" dxfId="1426" priority="1696" operator="equal">
      <formula>1</formula>
    </cfRule>
  </conditionalFormatting>
  <conditionalFormatting sqref="M204:U204">
    <cfRule type="cellIs" dxfId="1425" priority="1681" operator="equal">
      <formula>8</formula>
    </cfRule>
    <cfRule type="cellIs" dxfId="1424" priority="1682" operator="equal">
      <formula>7</formula>
    </cfRule>
    <cfRule type="cellIs" dxfId="1423" priority="1683" operator="equal">
      <formula>6</formula>
    </cfRule>
    <cfRule type="cellIs" dxfId="1422" priority="1684" operator="equal">
      <formula>5</formula>
    </cfRule>
    <cfRule type="cellIs" dxfId="1421" priority="1685" operator="equal">
      <formula>4</formula>
    </cfRule>
    <cfRule type="cellIs" dxfId="1420" priority="1686" operator="equal">
      <formula>3</formula>
    </cfRule>
    <cfRule type="cellIs" dxfId="1419" priority="1687" operator="equal">
      <formula>2</formula>
    </cfRule>
    <cfRule type="cellIs" dxfId="1418" priority="1688" operator="equal">
      <formula>1</formula>
    </cfRule>
  </conditionalFormatting>
  <conditionalFormatting sqref="V204">
    <cfRule type="cellIs" dxfId="1417" priority="1673" operator="equal">
      <formula>8</formula>
    </cfRule>
    <cfRule type="cellIs" dxfId="1416" priority="1674" operator="equal">
      <formula>7</formula>
    </cfRule>
    <cfRule type="cellIs" dxfId="1415" priority="1675" operator="equal">
      <formula>6</formula>
    </cfRule>
    <cfRule type="cellIs" dxfId="1414" priority="1676" operator="equal">
      <formula>5</formula>
    </cfRule>
    <cfRule type="cellIs" dxfId="1413" priority="1677" operator="equal">
      <formula>4</formula>
    </cfRule>
    <cfRule type="cellIs" dxfId="1412" priority="1678" operator="equal">
      <formula>3</formula>
    </cfRule>
    <cfRule type="cellIs" dxfId="1411" priority="1679" operator="equal">
      <formula>2</formula>
    </cfRule>
    <cfRule type="cellIs" dxfId="1410" priority="1680" operator="equal">
      <formula>1</formula>
    </cfRule>
  </conditionalFormatting>
  <conditionalFormatting sqref="C157">
    <cfRule type="cellIs" dxfId="1409" priority="1665" operator="equal">
      <formula>8</formula>
    </cfRule>
    <cfRule type="cellIs" dxfId="1408" priority="1666" operator="equal">
      <formula>7</formula>
    </cfRule>
    <cfRule type="cellIs" dxfId="1407" priority="1667" operator="equal">
      <formula>6</formula>
    </cfRule>
    <cfRule type="cellIs" dxfId="1406" priority="1668" operator="equal">
      <formula>5</formula>
    </cfRule>
    <cfRule type="cellIs" dxfId="1405" priority="1669" operator="equal">
      <formula>4</formula>
    </cfRule>
    <cfRule type="cellIs" dxfId="1404" priority="1670" operator="equal">
      <formula>3</formula>
    </cfRule>
    <cfRule type="cellIs" dxfId="1403" priority="1671" operator="equal">
      <formula>2</formula>
    </cfRule>
    <cfRule type="cellIs" dxfId="1402" priority="1672" operator="equal">
      <formula>1</formula>
    </cfRule>
  </conditionalFormatting>
  <conditionalFormatting sqref="D157">
    <cfRule type="cellIs" dxfId="1401" priority="1657" operator="equal">
      <formula>8</formula>
    </cfRule>
    <cfRule type="cellIs" dxfId="1400" priority="1658" operator="equal">
      <formula>7</formula>
    </cfRule>
    <cfRule type="cellIs" dxfId="1399" priority="1659" operator="equal">
      <formula>6</formula>
    </cfRule>
    <cfRule type="cellIs" dxfId="1398" priority="1660" operator="equal">
      <formula>5</formula>
    </cfRule>
    <cfRule type="cellIs" dxfId="1397" priority="1661" operator="equal">
      <formula>4</formula>
    </cfRule>
    <cfRule type="cellIs" dxfId="1396" priority="1662" operator="equal">
      <formula>3</formula>
    </cfRule>
    <cfRule type="cellIs" dxfId="1395" priority="1663" operator="equal">
      <formula>2</formula>
    </cfRule>
    <cfRule type="cellIs" dxfId="1394" priority="1664" operator="equal">
      <formula>1</formula>
    </cfRule>
  </conditionalFormatting>
  <conditionalFormatting sqref="E157:L157">
    <cfRule type="cellIs" dxfId="1393" priority="1649" operator="equal">
      <formula>8</formula>
    </cfRule>
    <cfRule type="cellIs" dxfId="1392" priority="1650" operator="equal">
      <formula>7</formula>
    </cfRule>
    <cfRule type="cellIs" dxfId="1391" priority="1651" operator="equal">
      <formula>6</formula>
    </cfRule>
    <cfRule type="cellIs" dxfId="1390" priority="1652" operator="equal">
      <formula>5</formula>
    </cfRule>
    <cfRule type="cellIs" dxfId="1389" priority="1653" operator="equal">
      <formula>4</formula>
    </cfRule>
    <cfRule type="cellIs" dxfId="1388" priority="1654" operator="equal">
      <formula>3</formula>
    </cfRule>
    <cfRule type="cellIs" dxfId="1387" priority="1655" operator="equal">
      <formula>2</formula>
    </cfRule>
    <cfRule type="cellIs" dxfId="1386" priority="1656" operator="equal">
      <formula>1</formula>
    </cfRule>
  </conditionalFormatting>
  <conditionalFormatting sqref="M157:U157">
    <cfRule type="cellIs" dxfId="1385" priority="1641" operator="equal">
      <formula>8</formula>
    </cfRule>
    <cfRule type="cellIs" dxfId="1384" priority="1642" operator="equal">
      <formula>7</formula>
    </cfRule>
    <cfRule type="cellIs" dxfId="1383" priority="1643" operator="equal">
      <formula>6</formula>
    </cfRule>
    <cfRule type="cellIs" dxfId="1382" priority="1644" operator="equal">
      <formula>5</formula>
    </cfRule>
    <cfRule type="cellIs" dxfId="1381" priority="1645" operator="equal">
      <formula>4</formula>
    </cfRule>
    <cfRule type="cellIs" dxfId="1380" priority="1646" operator="equal">
      <formula>3</formula>
    </cfRule>
    <cfRule type="cellIs" dxfId="1379" priority="1647" operator="equal">
      <formula>2</formula>
    </cfRule>
    <cfRule type="cellIs" dxfId="1378" priority="1648" operator="equal">
      <formula>1</formula>
    </cfRule>
  </conditionalFormatting>
  <conditionalFormatting sqref="V157">
    <cfRule type="cellIs" dxfId="1377" priority="1633" operator="equal">
      <formula>8</formula>
    </cfRule>
    <cfRule type="cellIs" dxfId="1376" priority="1634" operator="equal">
      <formula>7</formula>
    </cfRule>
    <cfRule type="cellIs" dxfId="1375" priority="1635" operator="equal">
      <formula>6</formula>
    </cfRule>
    <cfRule type="cellIs" dxfId="1374" priority="1636" operator="equal">
      <formula>5</formula>
    </cfRule>
    <cfRule type="cellIs" dxfId="1373" priority="1637" operator="equal">
      <formula>4</formula>
    </cfRule>
    <cfRule type="cellIs" dxfId="1372" priority="1638" operator="equal">
      <formula>3</formula>
    </cfRule>
    <cfRule type="cellIs" dxfId="1371" priority="1639" operator="equal">
      <formula>2</formula>
    </cfRule>
    <cfRule type="cellIs" dxfId="1370" priority="1640" operator="equal">
      <formula>1</formula>
    </cfRule>
  </conditionalFormatting>
  <conditionalFormatting sqref="C158">
    <cfRule type="cellIs" dxfId="1369" priority="1625" operator="equal">
      <formula>8</formula>
    </cfRule>
    <cfRule type="cellIs" dxfId="1368" priority="1626" operator="equal">
      <formula>7</formula>
    </cfRule>
    <cfRule type="cellIs" dxfId="1367" priority="1627" operator="equal">
      <formula>6</formula>
    </cfRule>
    <cfRule type="cellIs" dxfId="1366" priority="1628" operator="equal">
      <formula>5</formula>
    </cfRule>
    <cfRule type="cellIs" dxfId="1365" priority="1629" operator="equal">
      <formula>4</formula>
    </cfRule>
    <cfRule type="cellIs" dxfId="1364" priority="1630" operator="equal">
      <formula>3</formula>
    </cfRule>
    <cfRule type="cellIs" dxfId="1363" priority="1631" operator="equal">
      <formula>2</formula>
    </cfRule>
    <cfRule type="cellIs" dxfId="1362" priority="1632" operator="equal">
      <formula>1</formula>
    </cfRule>
  </conditionalFormatting>
  <conditionalFormatting sqref="D158">
    <cfRule type="cellIs" dxfId="1361" priority="1617" operator="equal">
      <formula>8</formula>
    </cfRule>
    <cfRule type="cellIs" dxfId="1360" priority="1618" operator="equal">
      <formula>7</formula>
    </cfRule>
    <cfRule type="cellIs" dxfId="1359" priority="1619" operator="equal">
      <formula>6</formula>
    </cfRule>
    <cfRule type="cellIs" dxfId="1358" priority="1620" operator="equal">
      <formula>5</formula>
    </cfRule>
    <cfRule type="cellIs" dxfId="1357" priority="1621" operator="equal">
      <formula>4</formula>
    </cfRule>
    <cfRule type="cellIs" dxfId="1356" priority="1622" operator="equal">
      <formula>3</formula>
    </cfRule>
    <cfRule type="cellIs" dxfId="1355" priority="1623" operator="equal">
      <formula>2</formula>
    </cfRule>
    <cfRule type="cellIs" dxfId="1354" priority="1624" operator="equal">
      <formula>1</formula>
    </cfRule>
  </conditionalFormatting>
  <conditionalFormatting sqref="E158:L158">
    <cfRule type="cellIs" dxfId="1353" priority="1609" operator="equal">
      <formula>8</formula>
    </cfRule>
    <cfRule type="cellIs" dxfId="1352" priority="1610" operator="equal">
      <formula>7</formula>
    </cfRule>
    <cfRule type="cellIs" dxfId="1351" priority="1611" operator="equal">
      <formula>6</formula>
    </cfRule>
    <cfRule type="cellIs" dxfId="1350" priority="1612" operator="equal">
      <formula>5</formula>
    </cfRule>
    <cfRule type="cellIs" dxfId="1349" priority="1613" operator="equal">
      <formula>4</formula>
    </cfRule>
    <cfRule type="cellIs" dxfId="1348" priority="1614" operator="equal">
      <formula>3</formula>
    </cfRule>
    <cfRule type="cellIs" dxfId="1347" priority="1615" operator="equal">
      <formula>2</formula>
    </cfRule>
    <cfRule type="cellIs" dxfId="1346" priority="1616" operator="equal">
      <formula>1</formula>
    </cfRule>
  </conditionalFormatting>
  <conditionalFormatting sqref="M158:U158">
    <cfRule type="cellIs" dxfId="1345" priority="1601" operator="equal">
      <formula>8</formula>
    </cfRule>
    <cfRule type="cellIs" dxfId="1344" priority="1602" operator="equal">
      <formula>7</formula>
    </cfRule>
    <cfRule type="cellIs" dxfId="1343" priority="1603" operator="equal">
      <formula>6</formula>
    </cfRule>
    <cfRule type="cellIs" dxfId="1342" priority="1604" operator="equal">
      <formula>5</formula>
    </cfRule>
    <cfRule type="cellIs" dxfId="1341" priority="1605" operator="equal">
      <formula>4</formula>
    </cfRule>
    <cfRule type="cellIs" dxfId="1340" priority="1606" operator="equal">
      <formula>3</formula>
    </cfRule>
    <cfRule type="cellIs" dxfId="1339" priority="1607" operator="equal">
      <formula>2</formula>
    </cfRule>
    <cfRule type="cellIs" dxfId="1338" priority="1608" operator="equal">
      <formula>1</formula>
    </cfRule>
  </conditionalFormatting>
  <conditionalFormatting sqref="V158">
    <cfRule type="cellIs" dxfId="1337" priority="1593" operator="equal">
      <formula>8</formula>
    </cfRule>
    <cfRule type="cellIs" dxfId="1336" priority="1594" operator="equal">
      <formula>7</formula>
    </cfRule>
    <cfRule type="cellIs" dxfId="1335" priority="1595" operator="equal">
      <formula>6</formula>
    </cfRule>
    <cfRule type="cellIs" dxfId="1334" priority="1596" operator="equal">
      <formula>5</formula>
    </cfRule>
    <cfRule type="cellIs" dxfId="1333" priority="1597" operator="equal">
      <formula>4</formula>
    </cfRule>
    <cfRule type="cellIs" dxfId="1332" priority="1598" operator="equal">
      <formula>3</formula>
    </cfRule>
    <cfRule type="cellIs" dxfId="1331" priority="1599" operator="equal">
      <formula>2</formula>
    </cfRule>
    <cfRule type="cellIs" dxfId="1330" priority="1600" operator="equal">
      <formula>1</formula>
    </cfRule>
  </conditionalFormatting>
  <conditionalFormatting sqref="C159">
    <cfRule type="cellIs" dxfId="1329" priority="1585" operator="equal">
      <formula>8</formula>
    </cfRule>
    <cfRule type="cellIs" dxfId="1328" priority="1586" operator="equal">
      <formula>7</formula>
    </cfRule>
    <cfRule type="cellIs" dxfId="1327" priority="1587" operator="equal">
      <formula>6</formula>
    </cfRule>
    <cfRule type="cellIs" dxfId="1326" priority="1588" operator="equal">
      <formula>5</formula>
    </cfRule>
    <cfRule type="cellIs" dxfId="1325" priority="1589" operator="equal">
      <formula>4</formula>
    </cfRule>
    <cfRule type="cellIs" dxfId="1324" priority="1590" operator="equal">
      <formula>3</formula>
    </cfRule>
    <cfRule type="cellIs" dxfId="1323" priority="1591" operator="equal">
      <formula>2</formula>
    </cfRule>
    <cfRule type="cellIs" dxfId="1322" priority="1592" operator="equal">
      <formula>1</formula>
    </cfRule>
  </conditionalFormatting>
  <conditionalFormatting sqref="D159">
    <cfRule type="cellIs" dxfId="1321" priority="1577" operator="equal">
      <formula>8</formula>
    </cfRule>
    <cfRule type="cellIs" dxfId="1320" priority="1578" operator="equal">
      <formula>7</formula>
    </cfRule>
    <cfRule type="cellIs" dxfId="1319" priority="1579" operator="equal">
      <formula>6</formula>
    </cfRule>
    <cfRule type="cellIs" dxfId="1318" priority="1580" operator="equal">
      <formula>5</formula>
    </cfRule>
    <cfRule type="cellIs" dxfId="1317" priority="1581" operator="equal">
      <formula>4</formula>
    </cfRule>
    <cfRule type="cellIs" dxfId="1316" priority="1582" operator="equal">
      <formula>3</formula>
    </cfRule>
    <cfRule type="cellIs" dxfId="1315" priority="1583" operator="equal">
      <formula>2</formula>
    </cfRule>
    <cfRule type="cellIs" dxfId="1314" priority="1584" operator="equal">
      <formula>1</formula>
    </cfRule>
  </conditionalFormatting>
  <conditionalFormatting sqref="E159:L159">
    <cfRule type="cellIs" dxfId="1313" priority="1569" operator="equal">
      <formula>8</formula>
    </cfRule>
    <cfRule type="cellIs" dxfId="1312" priority="1570" operator="equal">
      <formula>7</formula>
    </cfRule>
    <cfRule type="cellIs" dxfId="1311" priority="1571" operator="equal">
      <formula>6</formula>
    </cfRule>
    <cfRule type="cellIs" dxfId="1310" priority="1572" operator="equal">
      <formula>5</formula>
    </cfRule>
    <cfRule type="cellIs" dxfId="1309" priority="1573" operator="equal">
      <formula>4</formula>
    </cfRule>
    <cfRule type="cellIs" dxfId="1308" priority="1574" operator="equal">
      <formula>3</formula>
    </cfRule>
    <cfRule type="cellIs" dxfId="1307" priority="1575" operator="equal">
      <formula>2</formula>
    </cfRule>
    <cfRule type="cellIs" dxfId="1306" priority="1576" operator="equal">
      <formula>1</formula>
    </cfRule>
  </conditionalFormatting>
  <conditionalFormatting sqref="M159:U159">
    <cfRule type="cellIs" dxfId="1305" priority="1561" operator="equal">
      <formula>8</formula>
    </cfRule>
    <cfRule type="cellIs" dxfId="1304" priority="1562" operator="equal">
      <formula>7</formula>
    </cfRule>
    <cfRule type="cellIs" dxfId="1303" priority="1563" operator="equal">
      <formula>6</formula>
    </cfRule>
    <cfRule type="cellIs" dxfId="1302" priority="1564" operator="equal">
      <formula>5</formula>
    </cfRule>
    <cfRule type="cellIs" dxfId="1301" priority="1565" operator="equal">
      <formula>4</formula>
    </cfRule>
    <cfRule type="cellIs" dxfId="1300" priority="1566" operator="equal">
      <formula>3</formula>
    </cfRule>
    <cfRule type="cellIs" dxfId="1299" priority="1567" operator="equal">
      <formula>2</formula>
    </cfRule>
    <cfRule type="cellIs" dxfId="1298" priority="1568" operator="equal">
      <formula>1</formula>
    </cfRule>
  </conditionalFormatting>
  <conditionalFormatting sqref="V159">
    <cfRule type="cellIs" dxfId="1297" priority="1553" operator="equal">
      <formula>8</formula>
    </cfRule>
    <cfRule type="cellIs" dxfId="1296" priority="1554" operator="equal">
      <formula>7</formula>
    </cfRule>
    <cfRule type="cellIs" dxfId="1295" priority="1555" operator="equal">
      <formula>6</formula>
    </cfRule>
    <cfRule type="cellIs" dxfId="1294" priority="1556" operator="equal">
      <formula>5</formula>
    </cfRule>
    <cfRule type="cellIs" dxfId="1293" priority="1557" operator="equal">
      <formula>4</formula>
    </cfRule>
    <cfRule type="cellIs" dxfId="1292" priority="1558" operator="equal">
      <formula>3</formula>
    </cfRule>
    <cfRule type="cellIs" dxfId="1291" priority="1559" operator="equal">
      <formula>2</formula>
    </cfRule>
    <cfRule type="cellIs" dxfId="1290" priority="1560" operator="equal">
      <formula>1</formula>
    </cfRule>
  </conditionalFormatting>
  <conditionalFormatting sqref="C160">
    <cfRule type="cellIs" dxfId="1289" priority="1545" operator="equal">
      <formula>8</formula>
    </cfRule>
    <cfRule type="cellIs" dxfId="1288" priority="1546" operator="equal">
      <formula>7</formula>
    </cfRule>
    <cfRule type="cellIs" dxfId="1287" priority="1547" operator="equal">
      <formula>6</formula>
    </cfRule>
    <cfRule type="cellIs" dxfId="1286" priority="1548" operator="equal">
      <formula>5</formula>
    </cfRule>
    <cfRule type="cellIs" dxfId="1285" priority="1549" operator="equal">
      <formula>4</formula>
    </cfRule>
    <cfRule type="cellIs" dxfId="1284" priority="1550" operator="equal">
      <formula>3</formula>
    </cfRule>
    <cfRule type="cellIs" dxfId="1283" priority="1551" operator="equal">
      <formula>2</formula>
    </cfRule>
    <cfRule type="cellIs" dxfId="1282" priority="1552" operator="equal">
      <formula>1</formula>
    </cfRule>
  </conditionalFormatting>
  <conditionalFormatting sqref="D160">
    <cfRule type="cellIs" dxfId="1281" priority="1537" operator="equal">
      <formula>8</formula>
    </cfRule>
    <cfRule type="cellIs" dxfId="1280" priority="1538" operator="equal">
      <formula>7</formula>
    </cfRule>
    <cfRule type="cellIs" dxfId="1279" priority="1539" operator="equal">
      <formula>6</formula>
    </cfRule>
    <cfRule type="cellIs" dxfId="1278" priority="1540" operator="equal">
      <formula>5</formula>
    </cfRule>
    <cfRule type="cellIs" dxfId="1277" priority="1541" operator="equal">
      <formula>4</formula>
    </cfRule>
    <cfRule type="cellIs" dxfId="1276" priority="1542" operator="equal">
      <formula>3</formula>
    </cfRule>
    <cfRule type="cellIs" dxfId="1275" priority="1543" operator="equal">
      <formula>2</formula>
    </cfRule>
    <cfRule type="cellIs" dxfId="1274" priority="1544" operator="equal">
      <formula>1</formula>
    </cfRule>
  </conditionalFormatting>
  <conditionalFormatting sqref="E160:L160">
    <cfRule type="cellIs" dxfId="1273" priority="1529" operator="equal">
      <formula>8</formula>
    </cfRule>
    <cfRule type="cellIs" dxfId="1272" priority="1530" operator="equal">
      <formula>7</formula>
    </cfRule>
    <cfRule type="cellIs" dxfId="1271" priority="1531" operator="equal">
      <formula>6</formula>
    </cfRule>
    <cfRule type="cellIs" dxfId="1270" priority="1532" operator="equal">
      <formula>5</formula>
    </cfRule>
    <cfRule type="cellIs" dxfId="1269" priority="1533" operator="equal">
      <formula>4</formula>
    </cfRule>
    <cfRule type="cellIs" dxfId="1268" priority="1534" operator="equal">
      <formula>3</formula>
    </cfRule>
    <cfRule type="cellIs" dxfId="1267" priority="1535" operator="equal">
      <formula>2</formula>
    </cfRule>
    <cfRule type="cellIs" dxfId="1266" priority="1536" operator="equal">
      <formula>1</formula>
    </cfRule>
  </conditionalFormatting>
  <conditionalFormatting sqref="M160:U160">
    <cfRule type="cellIs" dxfId="1265" priority="1521" operator="equal">
      <formula>8</formula>
    </cfRule>
    <cfRule type="cellIs" dxfId="1264" priority="1522" operator="equal">
      <formula>7</formula>
    </cfRule>
    <cfRule type="cellIs" dxfId="1263" priority="1523" operator="equal">
      <formula>6</formula>
    </cfRule>
    <cfRule type="cellIs" dxfId="1262" priority="1524" operator="equal">
      <formula>5</formula>
    </cfRule>
    <cfRule type="cellIs" dxfId="1261" priority="1525" operator="equal">
      <formula>4</formula>
    </cfRule>
    <cfRule type="cellIs" dxfId="1260" priority="1526" operator="equal">
      <formula>3</formula>
    </cfRule>
    <cfRule type="cellIs" dxfId="1259" priority="1527" operator="equal">
      <formula>2</formula>
    </cfRule>
    <cfRule type="cellIs" dxfId="1258" priority="1528" operator="equal">
      <formula>1</formula>
    </cfRule>
  </conditionalFormatting>
  <conditionalFormatting sqref="V160">
    <cfRule type="cellIs" dxfId="1257" priority="1513" operator="equal">
      <formula>8</formula>
    </cfRule>
    <cfRule type="cellIs" dxfId="1256" priority="1514" operator="equal">
      <formula>7</formula>
    </cfRule>
    <cfRule type="cellIs" dxfId="1255" priority="1515" operator="equal">
      <formula>6</formula>
    </cfRule>
    <cfRule type="cellIs" dxfId="1254" priority="1516" operator="equal">
      <formula>5</formula>
    </cfRule>
    <cfRule type="cellIs" dxfId="1253" priority="1517" operator="equal">
      <formula>4</formula>
    </cfRule>
    <cfRule type="cellIs" dxfId="1252" priority="1518" operator="equal">
      <formula>3</formula>
    </cfRule>
    <cfRule type="cellIs" dxfId="1251" priority="1519" operator="equal">
      <formula>2</formula>
    </cfRule>
    <cfRule type="cellIs" dxfId="1250" priority="1520" operator="equal">
      <formula>1</formula>
    </cfRule>
  </conditionalFormatting>
  <conditionalFormatting sqref="C161">
    <cfRule type="cellIs" dxfId="1249" priority="1505" operator="equal">
      <formula>8</formula>
    </cfRule>
    <cfRule type="cellIs" dxfId="1248" priority="1506" operator="equal">
      <formula>7</formula>
    </cfRule>
    <cfRule type="cellIs" dxfId="1247" priority="1507" operator="equal">
      <formula>6</formula>
    </cfRule>
    <cfRule type="cellIs" dxfId="1246" priority="1508" operator="equal">
      <formula>5</formula>
    </cfRule>
    <cfRule type="cellIs" dxfId="1245" priority="1509" operator="equal">
      <formula>4</formula>
    </cfRule>
    <cfRule type="cellIs" dxfId="1244" priority="1510" operator="equal">
      <formula>3</formula>
    </cfRule>
    <cfRule type="cellIs" dxfId="1243" priority="1511" operator="equal">
      <formula>2</formula>
    </cfRule>
    <cfRule type="cellIs" dxfId="1242" priority="1512" operator="equal">
      <formula>1</formula>
    </cfRule>
  </conditionalFormatting>
  <conditionalFormatting sqref="D161">
    <cfRule type="cellIs" dxfId="1241" priority="1497" operator="equal">
      <formula>8</formula>
    </cfRule>
    <cfRule type="cellIs" dxfId="1240" priority="1498" operator="equal">
      <formula>7</formula>
    </cfRule>
    <cfRule type="cellIs" dxfId="1239" priority="1499" operator="equal">
      <formula>6</formula>
    </cfRule>
    <cfRule type="cellIs" dxfId="1238" priority="1500" operator="equal">
      <formula>5</formula>
    </cfRule>
    <cfRule type="cellIs" dxfId="1237" priority="1501" operator="equal">
      <formula>4</formula>
    </cfRule>
    <cfRule type="cellIs" dxfId="1236" priority="1502" operator="equal">
      <formula>3</formula>
    </cfRule>
    <cfRule type="cellIs" dxfId="1235" priority="1503" operator="equal">
      <formula>2</formula>
    </cfRule>
    <cfRule type="cellIs" dxfId="1234" priority="1504" operator="equal">
      <formula>1</formula>
    </cfRule>
  </conditionalFormatting>
  <conditionalFormatting sqref="E161:L161">
    <cfRule type="cellIs" dxfId="1233" priority="1489" operator="equal">
      <formula>8</formula>
    </cfRule>
    <cfRule type="cellIs" dxfId="1232" priority="1490" operator="equal">
      <formula>7</formula>
    </cfRule>
    <cfRule type="cellIs" dxfId="1231" priority="1491" operator="equal">
      <formula>6</formula>
    </cfRule>
    <cfRule type="cellIs" dxfId="1230" priority="1492" operator="equal">
      <formula>5</formula>
    </cfRule>
    <cfRule type="cellIs" dxfId="1229" priority="1493" operator="equal">
      <formula>4</formula>
    </cfRule>
    <cfRule type="cellIs" dxfId="1228" priority="1494" operator="equal">
      <formula>3</formula>
    </cfRule>
    <cfRule type="cellIs" dxfId="1227" priority="1495" operator="equal">
      <formula>2</formula>
    </cfRule>
    <cfRule type="cellIs" dxfId="1226" priority="1496" operator="equal">
      <formula>1</formula>
    </cfRule>
  </conditionalFormatting>
  <conditionalFormatting sqref="M161:U161">
    <cfRule type="cellIs" dxfId="1225" priority="1481" operator="equal">
      <formula>8</formula>
    </cfRule>
    <cfRule type="cellIs" dxfId="1224" priority="1482" operator="equal">
      <formula>7</formula>
    </cfRule>
    <cfRule type="cellIs" dxfId="1223" priority="1483" operator="equal">
      <formula>6</formula>
    </cfRule>
    <cfRule type="cellIs" dxfId="1222" priority="1484" operator="equal">
      <formula>5</formula>
    </cfRule>
    <cfRule type="cellIs" dxfId="1221" priority="1485" operator="equal">
      <formula>4</formula>
    </cfRule>
    <cfRule type="cellIs" dxfId="1220" priority="1486" operator="equal">
      <formula>3</formula>
    </cfRule>
    <cfRule type="cellIs" dxfId="1219" priority="1487" operator="equal">
      <formula>2</formula>
    </cfRule>
    <cfRule type="cellIs" dxfId="1218" priority="1488" operator="equal">
      <formula>1</formula>
    </cfRule>
  </conditionalFormatting>
  <conditionalFormatting sqref="V161">
    <cfRule type="cellIs" dxfId="1217" priority="1473" operator="equal">
      <formula>8</formula>
    </cfRule>
    <cfRule type="cellIs" dxfId="1216" priority="1474" operator="equal">
      <formula>7</formula>
    </cfRule>
    <cfRule type="cellIs" dxfId="1215" priority="1475" operator="equal">
      <formula>6</formula>
    </cfRule>
    <cfRule type="cellIs" dxfId="1214" priority="1476" operator="equal">
      <formula>5</formula>
    </cfRule>
    <cfRule type="cellIs" dxfId="1213" priority="1477" operator="equal">
      <formula>4</formula>
    </cfRule>
    <cfRule type="cellIs" dxfId="1212" priority="1478" operator="equal">
      <formula>3</formula>
    </cfRule>
    <cfRule type="cellIs" dxfId="1211" priority="1479" operator="equal">
      <formula>2</formula>
    </cfRule>
    <cfRule type="cellIs" dxfId="1210" priority="1480" operator="equal">
      <formula>1</formula>
    </cfRule>
  </conditionalFormatting>
  <conditionalFormatting sqref="C162">
    <cfRule type="cellIs" dxfId="1209" priority="1465" operator="equal">
      <formula>8</formula>
    </cfRule>
    <cfRule type="cellIs" dxfId="1208" priority="1466" operator="equal">
      <formula>7</formula>
    </cfRule>
    <cfRule type="cellIs" dxfId="1207" priority="1467" operator="equal">
      <formula>6</formula>
    </cfRule>
    <cfRule type="cellIs" dxfId="1206" priority="1468" operator="equal">
      <formula>5</formula>
    </cfRule>
    <cfRule type="cellIs" dxfId="1205" priority="1469" operator="equal">
      <formula>4</formula>
    </cfRule>
    <cfRule type="cellIs" dxfId="1204" priority="1470" operator="equal">
      <formula>3</formula>
    </cfRule>
    <cfRule type="cellIs" dxfId="1203" priority="1471" operator="equal">
      <formula>2</formula>
    </cfRule>
    <cfRule type="cellIs" dxfId="1202" priority="1472" operator="equal">
      <formula>1</formula>
    </cfRule>
  </conditionalFormatting>
  <conditionalFormatting sqref="D162">
    <cfRule type="cellIs" dxfId="1201" priority="1457" operator="equal">
      <formula>8</formula>
    </cfRule>
    <cfRule type="cellIs" dxfId="1200" priority="1458" operator="equal">
      <formula>7</formula>
    </cfRule>
    <cfRule type="cellIs" dxfId="1199" priority="1459" operator="equal">
      <formula>6</formula>
    </cfRule>
    <cfRule type="cellIs" dxfId="1198" priority="1460" operator="equal">
      <formula>5</formula>
    </cfRule>
    <cfRule type="cellIs" dxfId="1197" priority="1461" operator="equal">
      <formula>4</formula>
    </cfRule>
    <cfRule type="cellIs" dxfId="1196" priority="1462" operator="equal">
      <formula>3</formula>
    </cfRule>
    <cfRule type="cellIs" dxfId="1195" priority="1463" operator="equal">
      <formula>2</formula>
    </cfRule>
    <cfRule type="cellIs" dxfId="1194" priority="1464" operator="equal">
      <formula>1</formula>
    </cfRule>
  </conditionalFormatting>
  <conditionalFormatting sqref="E162:L162">
    <cfRule type="cellIs" dxfId="1193" priority="1449" operator="equal">
      <formula>8</formula>
    </cfRule>
    <cfRule type="cellIs" dxfId="1192" priority="1450" operator="equal">
      <formula>7</formula>
    </cfRule>
    <cfRule type="cellIs" dxfId="1191" priority="1451" operator="equal">
      <formula>6</formula>
    </cfRule>
    <cfRule type="cellIs" dxfId="1190" priority="1452" operator="equal">
      <formula>5</formula>
    </cfRule>
    <cfRule type="cellIs" dxfId="1189" priority="1453" operator="equal">
      <formula>4</formula>
    </cfRule>
    <cfRule type="cellIs" dxfId="1188" priority="1454" operator="equal">
      <formula>3</formula>
    </cfRule>
    <cfRule type="cellIs" dxfId="1187" priority="1455" operator="equal">
      <formula>2</formula>
    </cfRule>
    <cfRule type="cellIs" dxfId="1186" priority="1456" operator="equal">
      <formula>1</formula>
    </cfRule>
  </conditionalFormatting>
  <conditionalFormatting sqref="M162:U162">
    <cfRule type="cellIs" dxfId="1185" priority="1441" operator="equal">
      <formula>8</formula>
    </cfRule>
    <cfRule type="cellIs" dxfId="1184" priority="1442" operator="equal">
      <formula>7</formula>
    </cfRule>
    <cfRule type="cellIs" dxfId="1183" priority="1443" operator="equal">
      <formula>6</formula>
    </cfRule>
    <cfRule type="cellIs" dxfId="1182" priority="1444" operator="equal">
      <formula>5</formula>
    </cfRule>
    <cfRule type="cellIs" dxfId="1181" priority="1445" operator="equal">
      <formula>4</formula>
    </cfRule>
    <cfRule type="cellIs" dxfId="1180" priority="1446" operator="equal">
      <formula>3</formula>
    </cfRule>
    <cfRule type="cellIs" dxfId="1179" priority="1447" operator="equal">
      <formula>2</formula>
    </cfRule>
    <cfRule type="cellIs" dxfId="1178" priority="1448" operator="equal">
      <formula>1</formula>
    </cfRule>
  </conditionalFormatting>
  <conditionalFormatting sqref="V162">
    <cfRule type="cellIs" dxfId="1177" priority="1433" operator="equal">
      <formula>8</formula>
    </cfRule>
    <cfRule type="cellIs" dxfId="1176" priority="1434" operator="equal">
      <formula>7</formula>
    </cfRule>
    <cfRule type="cellIs" dxfId="1175" priority="1435" operator="equal">
      <formula>6</formula>
    </cfRule>
    <cfRule type="cellIs" dxfId="1174" priority="1436" operator="equal">
      <formula>5</formula>
    </cfRule>
    <cfRule type="cellIs" dxfId="1173" priority="1437" operator="equal">
      <formula>4</formula>
    </cfRule>
    <cfRule type="cellIs" dxfId="1172" priority="1438" operator="equal">
      <formula>3</formula>
    </cfRule>
    <cfRule type="cellIs" dxfId="1171" priority="1439" operator="equal">
      <formula>2</formula>
    </cfRule>
    <cfRule type="cellIs" dxfId="1170" priority="1440" operator="equal">
      <formula>1</formula>
    </cfRule>
  </conditionalFormatting>
  <conditionalFormatting sqref="C163">
    <cfRule type="cellIs" dxfId="1169" priority="1425" operator="equal">
      <formula>8</formula>
    </cfRule>
    <cfRule type="cellIs" dxfId="1168" priority="1426" operator="equal">
      <formula>7</formula>
    </cfRule>
    <cfRule type="cellIs" dxfId="1167" priority="1427" operator="equal">
      <formula>6</formula>
    </cfRule>
    <cfRule type="cellIs" dxfId="1166" priority="1428" operator="equal">
      <formula>5</formula>
    </cfRule>
    <cfRule type="cellIs" dxfId="1165" priority="1429" operator="equal">
      <formula>4</formula>
    </cfRule>
    <cfRule type="cellIs" dxfId="1164" priority="1430" operator="equal">
      <formula>3</formula>
    </cfRule>
    <cfRule type="cellIs" dxfId="1163" priority="1431" operator="equal">
      <formula>2</formula>
    </cfRule>
    <cfRule type="cellIs" dxfId="1162" priority="1432" operator="equal">
      <formula>1</formula>
    </cfRule>
  </conditionalFormatting>
  <conditionalFormatting sqref="D163">
    <cfRule type="cellIs" dxfId="1161" priority="1417" operator="equal">
      <formula>8</formula>
    </cfRule>
    <cfRule type="cellIs" dxfId="1160" priority="1418" operator="equal">
      <formula>7</formula>
    </cfRule>
    <cfRule type="cellIs" dxfId="1159" priority="1419" operator="equal">
      <formula>6</formula>
    </cfRule>
    <cfRule type="cellIs" dxfId="1158" priority="1420" operator="equal">
      <formula>5</formula>
    </cfRule>
    <cfRule type="cellIs" dxfId="1157" priority="1421" operator="equal">
      <formula>4</formula>
    </cfRule>
    <cfRule type="cellIs" dxfId="1156" priority="1422" operator="equal">
      <formula>3</formula>
    </cfRule>
    <cfRule type="cellIs" dxfId="1155" priority="1423" operator="equal">
      <formula>2</formula>
    </cfRule>
    <cfRule type="cellIs" dxfId="1154" priority="1424" operator="equal">
      <formula>1</formula>
    </cfRule>
  </conditionalFormatting>
  <conditionalFormatting sqref="E163:L163">
    <cfRule type="cellIs" dxfId="1153" priority="1409" operator="equal">
      <formula>8</formula>
    </cfRule>
    <cfRule type="cellIs" dxfId="1152" priority="1410" operator="equal">
      <formula>7</formula>
    </cfRule>
    <cfRule type="cellIs" dxfId="1151" priority="1411" operator="equal">
      <formula>6</formula>
    </cfRule>
    <cfRule type="cellIs" dxfId="1150" priority="1412" operator="equal">
      <formula>5</formula>
    </cfRule>
    <cfRule type="cellIs" dxfId="1149" priority="1413" operator="equal">
      <formula>4</formula>
    </cfRule>
    <cfRule type="cellIs" dxfId="1148" priority="1414" operator="equal">
      <formula>3</formula>
    </cfRule>
    <cfRule type="cellIs" dxfId="1147" priority="1415" operator="equal">
      <formula>2</formula>
    </cfRule>
    <cfRule type="cellIs" dxfId="1146" priority="1416" operator="equal">
      <formula>1</formula>
    </cfRule>
  </conditionalFormatting>
  <conditionalFormatting sqref="M163:U163">
    <cfRule type="cellIs" dxfId="1145" priority="1401" operator="equal">
      <formula>8</formula>
    </cfRule>
    <cfRule type="cellIs" dxfId="1144" priority="1402" operator="equal">
      <formula>7</formula>
    </cfRule>
    <cfRule type="cellIs" dxfId="1143" priority="1403" operator="equal">
      <formula>6</formula>
    </cfRule>
    <cfRule type="cellIs" dxfId="1142" priority="1404" operator="equal">
      <formula>5</formula>
    </cfRule>
    <cfRule type="cellIs" dxfId="1141" priority="1405" operator="equal">
      <formula>4</formula>
    </cfRule>
    <cfRule type="cellIs" dxfId="1140" priority="1406" operator="equal">
      <formula>3</formula>
    </cfRule>
    <cfRule type="cellIs" dxfId="1139" priority="1407" operator="equal">
      <formula>2</formula>
    </cfRule>
    <cfRule type="cellIs" dxfId="1138" priority="1408" operator="equal">
      <formula>1</formula>
    </cfRule>
  </conditionalFormatting>
  <conditionalFormatting sqref="V163">
    <cfRule type="cellIs" dxfId="1137" priority="1393" operator="equal">
      <formula>8</formula>
    </cfRule>
    <cfRule type="cellIs" dxfId="1136" priority="1394" operator="equal">
      <formula>7</formula>
    </cfRule>
    <cfRule type="cellIs" dxfId="1135" priority="1395" operator="equal">
      <formula>6</formula>
    </cfRule>
    <cfRule type="cellIs" dxfId="1134" priority="1396" operator="equal">
      <formula>5</formula>
    </cfRule>
    <cfRule type="cellIs" dxfId="1133" priority="1397" operator="equal">
      <formula>4</formula>
    </cfRule>
    <cfRule type="cellIs" dxfId="1132" priority="1398" operator="equal">
      <formula>3</formula>
    </cfRule>
    <cfRule type="cellIs" dxfId="1131" priority="1399" operator="equal">
      <formula>2</formula>
    </cfRule>
    <cfRule type="cellIs" dxfId="1130" priority="1400" operator="equal">
      <formula>1</formula>
    </cfRule>
  </conditionalFormatting>
  <conditionalFormatting sqref="C164">
    <cfRule type="cellIs" dxfId="1129" priority="1385" operator="equal">
      <formula>8</formula>
    </cfRule>
    <cfRule type="cellIs" dxfId="1128" priority="1386" operator="equal">
      <formula>7</formula>
    </cfRule>
    <cfRule type="cellIs" dxfId="1127" priority="1387" operator="equal">
      <formula>6</formula>
    </cfRule>
    <cfRule type="cellIs" dxfId="1126" priority="1388" operator="equal">
      <formula>5</formula>
    </cfRule>
    <cfRule type="cellIs" dxfId="1125" priority="1389" operator="equal">
      <formula>4</formula>
    </cfRule>
    <cfRule type="cellIs" dxfId="1124" priority="1390" operator="equal">
      <formula>3</formula>
    </cfRule>
    <cfRule type="cellIs" dxfId="1123" priority="1391" operator="equal">
      <formula>2</formula>
    </cfRule>
    <cfRule type="cellIs" dxfId="1122" priority="1392" operator="equal">
      <formula>1</formula>
    </cfRule>
  </conditionalFormatting>
  <conditionalFormatting sqref="D164">
    <cfRule type="cellIs" dxfId="1121" priority="1377" operator="equal">
      <formula>8</formula>
    </cfRule>
    <cfRule type="cellIs" dxfId="1120" priority="1378" operator="equal">
      <formula>7</formula>
    </cfRule>
    <cfRule type="cellIs" dxfId="1119" priority="1379" operator="equal">
      <formula>6</formula>
    </cfRule>
    <cfRule type="cellIs" dxfId="1118" priority="1380" operator="equal">
      <formula>5</formula>
    </cfRule>
    <cfRule type="cellIs" dxfId="1117" priority="1381" operator="equal">
      <formula>4</formula>
    </cfRule>
    <cfRule type="cellIs" dxfId="1116" priority="1382" operator="equal">
      <formula>3</formula>
    </cfRule>
    <cfRule type="cellIs" dxfId="1115" priority="1383" operator="equal">
      <formula>2</formula>
    </cfRule>
    <cfRule type="cellIs" dxfId="1114" priority="1384" operator="equal">
      <formula>1</formula>
    </cfRule>
  </conditionalFormatting>
  <conditionalFormatting sqref="E164:L164">
    <cfRule type="cellIs" dxfId="1113" priority="1369" operator="equal">
      <formula>8</formula>
    </cfRule>
    <cfRule type="cellIs" dxfId="1112" priority="1370" operator="equal">
      <formula>7</formula>
    </cfRule>
    <cfRule type="cellIs" dxfId="1111" priority="1371" operator="equal">
      <formula>6</formula>
    </cfRule>
    <cfRule type="cellIs" dxfId="1110" priority="1372" operator="equal">
      <formula>5</formula>
    </cfRule>
    <cfRule type="cellIs" dxfId="1109" priority="1373" operator="equal">
      <formula>4</formula>
    </cfRule>
    <cfRule type="cellIs" dxfId="1108" priority="1374" operator="equal">
      <formula>3</formula>
    </cfRule>
    <cfRule type="cellIs" dxfId="1107" priority="1375" operator="equal">
      <formula>2</formula>
    </cfRule>
    <cfRule type="cellIs" dxfId="1106" priority="1376" operator="equal">
      <formula>1</formula>
    </cfRule>
  </conditionalFormatting>
  <conditionalFormatting sqref="M164:U164">
    <cfRule type="cellIs" dxfId="1105" priority="1361" operator="equal">
      <formula>8</formula>
    </cfRule>
    <cfRule type="cellIs" dxfId="1104" priority="1362" operator="equal">
      <formula>7</formula>
    </cfRule>
    <cfRule type="cellIs" dxfId="1103" priority="1363" operator="equal">
      <formula>6</formula>
    </cfRule>
    <cfRule type="cellIs" dxfId="1102" priority="1364" operator="equal">
      <formula>5</formula>
    </cfRule>
    <cfRule type="cellIs" dxfId="1101" priority="1365" operator="equal">
      <formula>4</formula>
    </cfRule>
    <cfRule type="cellIs" dxfId="1100" priority="1366" operator="equal">
      <formula>3</formula>
    </cfRule>
    <cfRule type="cellIs" dxfId="1099" priority="1367" operator="equal">
      <formula>2</formula>
    </cfRule>
    <cfRule type="cellIs" dxfId="1098" priority="1368" operator="equal">
      <formula>1</formula>
    </cfRule>
  </conditionalFormatting>
  <conditionalFormatting sqref="V164">
    <cfRule type="cellIs" dxfId="1097" priority="1353" operator="equal">
      <formula>8</formula>
    </cfRule>
    <cfRule type="cellIs" dxfId="1096" priority="1354" operator="equal">
      <formula>7</formula>
    </cfRule>
    <cfRule type="cellIs" dxfId="1095" priority="1355" operator="equal">
      <formula>6</formula>
    </cfRule>
    <cfRule type="cellIs" dxfId="1094" priority="1356" operator="equal">
      <formula>5</formula>
    </cfRule>
    <cfRule type="cellIs" dxfId="1093" priority="1357" operator="equal">
      <formula>4</formula>
    </cfRule>
    <cfRule type="cellIs" dxfId="1092" priority="1358" operator="equal">
      <formula>3</formula>
    </cfRule>
    <cfRule type="cellIs" dxfId="1091" priority="1359" operator="equal">
      <formula>2</formula>
    </cfRule>
    <cfRule type="cellIs" dxfId="1090" priority="1360" operator="equal">
      <formula>1</formula>
    </cfRule>
  </conditionalFormatting>
  <conditionalFormatting sqref="C165">
    <cfRule type="cellIs" dxfId="1089" priority="1345" operator="equal">
      <formula>8</formula>
    </cfRule>
    <cfRule type="cellIs" dxfId="1088" priority="1346" operator="equal">
      <formula>7</formula>
    </cfRule>
    <cfRule type="cellIs" dxfId="1087" priority="1347" operator="equal">
      <formula>6</formula>
    </cfRule>
    <cfRule type="cellIs" dxfId="1086" priority="1348" operator="equal">
      <formula>5</formula>
    </cfRule>
    <cfRule type="cellIs" dxfId="1085" priority="1349" operator="equal">
      <formula>4</formula>
    </cfRule>
    <cfRule type="cellIs" dxfId="1084" priority="1350" operator="equal">
      <formula>3</formula>
    </cfRule>
    <cfRule type="cellIs" dxfId="1083" priority="1351" operator="equal">
      <formula>2</formula>
    </cfRule>
    <cfRule type="cellIs" dxfId="1082" priority="1352" operator="equal">
      <formula>1</formula>
    </cfRule>
  </conditionalFormatting>
  <conditionalFormatting sqref="D165">
    <cfRule type="cellIs" dxfId="1081" priority="1337" operator="equal">
      <formula>8</formula>
    </cfRule>
    <cfRule type="cellIs" dxfId="1080" priority="1338" operator="equal">
      <formula>7</formula>
    </cfRule>
    <cfRule type="cellIs" dxfId="1079" priority="1339" operator="equal">
      <formula>6</formula>
    </cfRule>
    <cfRule type="cellIs" dxfId="1078" priority="1340" operator="equal">
      <formula>5</formula>
    </cfRule>
    <cfRule type="cellIs" dxfId="1077" priority="1341" operator="equal">
      <formula>4</formula>
    </cfRule>
    <cfRule type="cellIs" dxfId="1076" priority="1342" operator="equal">
      <formula>3</formula>
    </cfRule>
    <cfRule type="cellIs" dxfId="1075" priority="1343" operator="equal">
      <formula>2</formula>
    </cfRule>
    <cfRule type="cellIs" dxfId="1074" priority="1344" operator="equal">
      <formula>1</formula>
    </cfRule>
  </conditionalFormatting>
  <conditionalFormatting sqref="E165:L165">
    <cfRule type="cellIs" dxfId="1073" priority="1329" operator="equal">
      <formula>8</formula>
    </cfRule>
    <cfRule type="cellIs" dxfId="1072" priority="1330" operator="equal">
      <formula>7</formula>
    </cfRule>
    <cfRule type="cellIs" dxfId="1071" priority="1331" operator="equal">
      <formula>6</formula>
    </cfRule>
    <cfRule type="cellIs" dxfId="1070" priority="1332" operator="equal">
      <formula>5</formula>
    </cfRule>
    <cfRule type="cellIs" dxfId="1069" priority="1333" operator="equal">
      <formula>4</formula>
    </cfRule>
    <cfRule type="cellIs" dxfId="1068" priority="1334" operator="equal">
      <formula>3</formula>
    </cfRule>
    <cfRule type="cellIs" dxfId="1067" priority="1335" operator="equal">
      <formula>2</formula>
    </cfRule>
    <cfRule type="cellIs" dxfId="1066" priority="1336" operator="equal">
      <formula>1</formula>
    </cfRule>
  </conditionalFormatting>
  <conditionalFormatting sqref="M165:U165">
    <cfRule type="cellIs" dxfId="1065" priority="1321" operator="equal">
      <formula>8</formula>
    </cfRule>
    <cfRule type="cellIs" dxfId="1064" priority="1322" operator="equal">
      <formula>7</formula>
    </cfRule>
    <cfRule type="cellIs" dxfId="1063" priority="1323" operator="equal">
      <formula>6</formula>
    </cfRule>
    <cfRule type="cellIs" dxfId="1062" priority="1324" operator="equal">
      <formula>5</formula>
    </cfRule>
    <cfRule type="cellIs" dxfId="1061" priority="1325" operator="equal">
      <formula>4</formula>
    </cfRule>
    <cfRule type="cellIs" dxfId="1060" priority="1326" operator="equal">
      <formula>3</formula>
    </cfRule>
    <cfRule type="cellIs" dxfId="1059" priority="1327" operator="equal">
      <formula>2</formula>
    </cfRule>
    <cfRule type="cellIs" dxfId="1058" priority="1328" operator="equal">
      <formula>1</formula>
    </cfRule>
  </conditionalFormatting>
  <conditionalFormatting sqref="V165">
    <cfRule type="cellIs" dxfId="1057" priority="1313" operator="equal">
      <formula>8</formula>
    </cfRule>
    <cfRule type="cellIs" dxfId="1056" priority="1314" operator="equal">
      <formula>7</formula>
    </cfRule>
    <cfRule type="cellIs" dxfId="1055" priority="1315" operator="equal">
      <formula>6</formula>
    </cfRule>
    <cfRule type="cellIs" dxfId="1054" priority="1316" operator="equal">
      <formula>5</formula>
    </cfRule>
    <cfRule type="cellIs" dxfId="1053" priority="1317" operator="equal">
      <formula>4</formula>
    </cfRule>
    <cfRule type="cellIs" dxfId="1052" priority="1318" operator="equal">
      <formula>3</formula>
    </cfRule>
    <cfRule type="cellIs" dxfId="1051" priority="1319" operator="equal">
      <formula>2</formula>
    </cfRule>
    <cfRule type="cellIs" dxfId="1050" priority="1320" operator="equal">
      <formula>1</formula>
    </cfRule>
  </conditionalFormatting>
  <conditionalFormatting sqref="C166">
    <cfRule type="cellIs" dxfId="1049" priority="1305" operator="equal">
      <formula>8</formula>
    </cfRule>
    <cfRule type="cellIs" dxfId="1048" priority="1306" operator="equal">
      <formula>7</formula>
    </cfRule>
    <cfRule type="cellIs" dxfId="1047" priority="1307" operator="equal">
      <formula>6</formula>
    </cfRule>
    <cfRule type="cellIs" dxfId="1046" priority="1308" operator="equal">
      <formula>5</formula>
    </cfRule>
    <cfRule type="cellIs" dxfId="1045" priority="1309" operator="equal">
      <formula>4</formula>
    </cfRule>
    <cfRule type="cellIs" dxfId="1044" priority="1310" operator="equal">
      <formula>3</formula>
    </cfRule>
    <cfRule type="cellIs" dxfId="1043" priority="1311" operator="equal">
      <formula>2</formula>
    </cfRule>
    <cfRule type="cellIs" dxfId="1042" priority="1312" operator="equal">
      <formula>1</formula>
    </cfRule>
  </conditionalFormatting>
  <conditionalFormatting sqref="D166">
    <cfRule type="cellIs" dxfId="1041" priority="1297" operator="equal">
      <formula>8</formula>
    </cfRule>
    <cfRule type="cellIs" dxfId="1040" priority="1298" operator="equal">
      <formula>7</formula>
    </cfRule>
    <cfRule type="cellIs" dxfId="1039" priority="1299" operator="equal">
      <formula>6</formula>
    </cfRule>
    <cfRule type="cellIs" dxfId="1038" priority="1300" operator="equal">
      <formula>5</formula>
    </cfRule>
    <cfRule type="cellIs" dxfId="1037" priority="1301" operator="equal">
      <formula>4</formula>
    </cfRule>
    <cfRule type="cellIs" dxfId="1036" priority="1302" operator="equal">
      <formula>3</formula>
    </cfRule>
    <cfRule type="cellIs" dxfId="1035" priority="1303" operator="equal">
      <formula>2</formula>
    </cfRule>
    <cfRule type="cellIs" dxfId="1034" priority="1304" operator="equal">
      <formula>1</formula>
    </cfRule>
  </conditionalFormatting>
  <conditionalFormatting sqref="E166:L166">
    <cfRule type="cellIs" dxfId="1033" priority="1289" operator="equal">
      <formula>8</formula>
    </cfRule>
    <cfRule type="cellIs" dxfId="1032" priority="1290" operator="equal">
      <formula>7</formula>
    </cfRule>
    <cfRule type="cellIs" dxfId="1031" priority="1291" operator="equal">
      <formula>6</formula>
    </cfRule>
    <cfRule type="cellIs" dxfId="1030" priority="1292" operator="equal">
      <formula>5</formula>
    </cfRule>
    <cfRule type="cellIs" dxfId="1029" priority="1293" operator="equal">
      <formula>4</formula>
    </cfRule>
    <cfRule type="cellIs" dxfId="1028" priority="1294" operator="equal">
      <formula>3</formula>
    </cfRule>
    <cfRule type="cellIs" dxfId="1027" priority="1295" operator="equal">
      <formula>2</formula>
    </cfRule>
    <cfRule type="cellIs" dxfId="1026" priority="1296" operator="equal">
      <formula>1</formula>
    </cfRule>
  </conditionalFormatting>
  <conditionalFormatting sqref="M166:U166">
    <cfRule type="cellIs" dxfId="1025" priority="1281" operator="equal">
      <formula>8</formula>
    </cfRule>
    <cfRule type="cellIs" dxfId="1024" priority="1282" operator="equal">
      <formula>7</formula>
    </cfRule>
    <cfRule type="cellIs" dxfId="1023" priority="1283" operator="equal">
      <formula>6</formula>
    </cfRule>
    <cfRule type="cellIs" dxfId="1022" priority="1284" operator="equal">
      <formula>5</formula>
    </cfRule>
    <cfRule type="cellIs" dxfId="1021" priority="1285" operator="equal">
      <formula>4</formula>
    </cfRule>
    <cfRule type="cellIs" dxfId="1020" priority="1286" operator="equal">
      <formula>3</formula>
    </cfRule>
    <cfRule type="cellIs" dxfId="1019" priority="1287" operator="equal">
      <formula>2</formula>
    </cfRule>
    <cfRule type="cellIs" dxfId="1018" priority="1288" operator="equal">
      <formula>1</formula>
    </cfRule>
  </conditionalFormatting>
  <conditionalFormatting sqref="V166">
    <cfRule type="cellIs" dxfId="1017" priority="1273" operator="equal">
      <formula>8</formula>
    </cfRule>
    <cfRule type="cellIs" dxfId="1016" priority="1274" operator="equal">
      <formula>7</formula>
    </cfRule>
    <cfRule type="cellIs" dxfId="1015" priority="1275" operator="equal">
      <formula>6</formula>
    </cfRule>
    <cfRule type="cellIs" dxfId="1014" priority="1276" operator="equal">
      <formula>5</formula>
    </cfRule>
    <cfRule type="cellIs" dxfId="1013" priority="1277" operator="equal">
      <formula>4</formula>
    </cfRule>
    <cfRule type="cellIs" dxfId="1012" priority="1278" operator="equal">
      <formula>3</formula>
    </cfRule>
    <cfRule type="cellIs" dxfId="1011" priority="1279" operator="equal">
      <formula>2</formula>
    </cfRule>
    <cfRule type="cellIs" dxfId="1010" priority="1280" operator="equal">
      <formula>1</formula>
    </cfRule>
  </conditionalFormatting>
  <conditionalFormatting sqref="C167">
    <cfRule type="cellIs" dxfId="1009" priority="1265" operator="equal">
      <formula>8</formula>
    </cfRule>
    <cfRule type="cellIs" dxfId="1008" priority="1266" operator="equal">
      <formula>7</formula>
    </cfRule>
    <cfRule type="cellIs" dxfId="1007" priority="1267" operator="equal">
      <formula>6</formula>
    </cfRule>
    <cfRule type="cellIs" dxfId="1006" priority="1268" operator="equal">
      <formula>5</formula>
    </cfRule>
    <cfRule type="cellIs" dxfId="1005" priority="1269" operator="equal">
      <formula>4</formula>
    </cfRule>
    <cfRule type="cellIs" dxfId="1004" priority="1270" operator="equal">
      <formula>3</formula>
    </cfRule>
    <cfRule type="cellIs" dxfId="1003" priority="1271" operator="equal">
      <formula>2</formula>
    </cfRule>
    <cfRule type="cellIs" dxfId="1002" priority="1272" operator="equal">
      <formula>1</formula>
    </cfRule>
  </conditionalFormatting>
  <conditionalFormatting sqref="D167">
    <cfRule type="cellIs" dxfId="1001" priority="1257" operator="equal">
      <formula>8</formula>
    </cfRule>
    <cfRule type="cellIs" dxfId="1000" priority="1258" operator="equal">
      <formula>7</formula>
    </cfRule>
    <cfRule type="cellIs" dxfId="999" priority="1259" operator="equal">
      <formula>6</formula>
    </cfRule>
    <cfRule type="cellIs" dxfId="998" priority="1260" operator="equal">
      <formula>5</formula>
    </cfRule>
    <cfRule type="cellIs" dxfId="997" priority="1261" operator="equal">
      <formula>4</formula>
    </cfRule>
    <cfRule type="cellIs" dxfId="996" priority="1262" operator="equal">
      <formula>3</formula>
    </cfRule>
    <cfRule type="cellIs" dxfId="995" priority="1263" operator="equal">
      <formula>2</formula>
    </cfRule>
    <cfRule type="cellIs" dxfId="994" priority="1264" operator="equal">
      <formula>1</formula>
    </cfRule>
  </conditionalFormatting>
  <conditionalFormatting sqref="E167:L167">
    <cfRule type="cellIs" dxfId="993" priority="1249" operator="equal">
      <formula>8</formula>
    </cfRule>
    <cfRule type="cellIs" dxfId="992" priority="1250" operator="equal">
      <formula>7</formula>
    </cfRule>
    <cfRule type="cellIs" dxfId="991" priority="1251" operator="equal">
      <formula>6</formula>
    </cfRule>
    <cfRule type="cellIs" dxfId="990" priority="1252" operator="equal">
      <formula>5</formula>
    </cfRule>
    <cfRule type="cellIs" dxfId="989" priority="1253" operator="equal">
      <formula>4</formula>
    </cfRule>
    <cfRule type="cellIs" dxfId="988" priority="1254" operator="equal">
      <formula>3</formula>
    </cfRule>
    <cfRule type="cellIs" dxfId="987" priority="1255" operator="equal">
      <formula>2</formula>
    </cfRule>
    <cfRule type="cellIs" dxfId="986" priority="1256" operator="equal">
      <formula>1</formula>
    </cfRule>
  </conditionalFormatting>
  <conditionalFormatting sqref="M167:U167">
    <cfRule type="cellIs" dxfId="985" priority="1241" operator="equal">
      <formula>8</formula>
    </cfRule>
    <cfRule type="cellIs" dxfId="984" priority="1242" operator="equal">
      <formula>7</formula>
    </cfRule>
    <cfRule type="cellIs" dxfId="983" priority="1243" operator="equal">
      <formula>6</formula>
    </cfRule>
    <cfRule type="cellIs" dxfId="982" priority="1244" operator="equal">
      <formula>5</formula>
    </cfRule>
    <cfRule type="cellIs" dxfId="981" priority="1245" operator="equal">
      <formula>4</formula>
    </cfRule>
    <cfRule type="cellIs" dxfId="980" priority="1246" operator="equal">
      <formula>3</formula>
    </cfRule>
    <cfRule type="cellIs" dxfId="979" priority="1247" operator="equal">
      <formula>2</formula>
    </cfRule>
    <cfRule type="cellIs" dxfId="978" priority="1248" operator="equal">
      <formula>1</formula>
    </cfRule>
  </conditionalFormatting>
  <conditionalFormatting sqref="V167">
    <cfRule type="cellIs" dxfId="977" priority="1233" operator="equal">
      <formula>8</formula>
    </cfRule>
    <cfRule type="cellIs" dxfId="976" priority="1234" operator="equal">
      <formula>7</formula>
    </cfRule>
    <cfRule type="cellIs" dxfId="975" priority="1235" operator="equal">
      <formula>6</formula>
    </cfRule>
    <cfRule type="cellIs" dxfId="974" priority="1236" operator="equal">
      <formula>5</formula>
    </cfRule>
    <cfRule type="cellIs" dxfId="973" priority="1237" operator="equal">
      <formula>4</formula>
    </cfRule>
    <cfRule type="cellIs" dxfId="972" priority="1238" operator="equal">
      <formula>3</formula>
    </cfRule>
    <cfRule type="cellIs" dxfId="971" priority="1239" operator="equal">
      <formula>2</formula>
    </cfRule>
    <cfRule type="cellIs" dxfId="970" priority="1240" operator="equal">
      <formula>1</formula>
    </cfRule>
  </conditionalFormatting>
  <conditionalFormatting sqref="C168">
    <cfRule type="cellIs" dxfId="969" priority="1225" operator="equal">
      <formula>8</formula>
    </cfRule>
    <cfRule type="cellIs" dxfId="968" priority="1226" operator="equal">
      <formula>7</formula>
    </cfRule>
    <cfRule type="cellIs" dxfId="967" priority="1227" operator="equal">
      <formula>6</formula>
    </cfRule>
    <cfRule type="cellIs" dxfId="966" priority="1228" operator="equal">
      <formula>5</formula>
    </cfRule>
    <cfRule type="cellIs" dxfId="965" priority="1229" operator="equal">
      <formula>4</formula>
    </cfRule>
    <cfRule type="cellIs" dxfId="964" priority="1230" operator="equal">
      <formula>3</formula>
    </cfRule>
    <cfRule type="cellIs" dxfId="963" priority="1231" operator="equal">
      <formula>2</formula>
    </cfRule>
    <cfRule type="cellIs" dxfId="962" priority="1232" operator="equal">
      <formula>1</formula>
    </cfRule>
  </conditionalFormatting>
  <conditionalFormatting sqref="D168">
    <cfRule type="cellIs" dxfId="961" priority="1217" operator="equal">
      <formula>8</formula>
    </cfRule>
    <cfRule type="cellIs" dxfId="960" priority="1218" operator="equal">
      <formula>7</formula>
    </cfRule>
    <cfRule type="cellIs" dxfId="959" priority="1219" operator="equal">
      <formula>6</formula>
    </cfRule>
    <cfRule type="cellIs" dxfId="958" priority="1220" operator="equal">
      <formula>5</formula>
    </cfRule>
    <cfRule type="cellIs" dxfId="957" priority="1221" operator="equal">
      <formula>4</formula>
    </cfRule>
    <cfRule type="cellIs" dxfId="956" priority="1222" operator="equal">
      <formula>3</formula>
    </cfRule>
    <cfRule type="cellIs" dxfId="955" priority="1223" operator="equal">
      <formula>2</formula>
    </cfRule>
    <cfRule type="cellIs" dxfId="954" priority="1224" operator="equal">
      <formula>1</formula>
    </cfRule>
  </conditionalFormatting>
  <conditionalFormatting sqref="E168:L168">
    <cfRule type="cellIs" dxfId="953" priority="1209" operator="equal">
      <formula>8</formula>
    </cfRule>
    <cfRule type="cellIs" dxfId="952" priority="1210" operator="equal">
      <formula>7</formula>
    </cfRule>
    <cfRule type="cellIs" dxfId="951" priority="1211" operator="equal">
      <formula>6</formula>
    </cfRule>
    <cfRule type="cellIs" dxfId="950" priority="1212" operator="equal">
      <formula>5</formula>
    </cfRule>
    <cfRule type="cellIs" dxfId="949" priority="1213" operator="equal">
      <formula>4</formula>
    </cfRule>
    <cfRule type="cellIs" dxfId="948" priority="1214" operator="equal">
      <formula>3</formula>
    </cfRule>
    <cfRule type="cellIs" dxfId="947" priority="1215" operator="equal">
      <formula>2</formula>
    </cfRule>
    <cfRule type="cellIs" dxfId="946" priority="1216" operator="equal">
      <formula>1</formula>
    </cfRule>
  </conditionalFormatting>
  <conditionalFormatting sqref="M168:U168">
    <cfRule type="cellIs" dxfId="945" priority="1201" operator="equal">
      <formula>8</formula>
    </cfRule>
    <cfRule type="cellIs" dxfId="944" priority="1202" operator="equal">
      <formula>7</formula>
    </cfRule>
    <cfRule type="cellIs" dxfId="943" priority="1203" operator="equal">
      <formula>6</formula>
    </cfRule>
    <cfRule type="cellIs" dxfId="942" priority="1204" operator="equal">
      <formula>5</formula>
    </cfRule>
    <cfRule type="cellIs" dxfId="941" priority="1205" operator="equal">
      <formula>4</formula>
    </cfRule>
    <cfRule type="cellIs" dxfId="940" priority="1206" operator="equal">
      <formula>3</formula>
    </cfRule>
    <cfRule type="cellIs" dxfId="939" priority="1207" operator="equal">
      <formula>2</formula>
    </cfRule>
    <cfRule type="cellIs" dxfId="938" priority="1208" operator="equal">
      <formula>1</formula>
    </cfRule>
  </conditionalFormatting>
  <conditionalFormatting sqref="V168">
    <cfRule type="cellIs" dxfId="937" priority="1193" operator="equal">
      <formula>8</formula>
    </cfRule>
    <cfRule type="cellIs" dxfId="936" priority="1194" operator="equal">
      <formula>7</formula>
    </cfRule>
    <cfRule type="cellIs" dxfId="935" priority="1195" operator="equal">
      <formula>6</formula>
    </cfRule>
    <cfRule type="cellIs" dxfId="934" priority="1196" operator="equal">
      <formula>5</formula>
    </cfRule>
    <cfRule type="cellIs" dxfId="933" priority="1197" operator="equal">
      <formula>4</formula>
    </cfRule>
    <cfRule type="cellIs" dxfId="932" priority="1198" operator="equal">
      <formula>3</formula>
    </cfRule>
    <cfRule type="cellIs" dxfId="931" priority="1199" operator="equal">
      <formula>2</formula>
    </cfRule>
    <cfRule type="cellIs" dxfId="930" priority="1200" operator="equal">
      <formula>1</formula>
    </cfRule>
  </conditionalFormatting>
  <conditionalFormatting sqref="C169">
    <cfRule type="cellIs" dxfId="929" priority="1185" operator="equal">
      <formula>8</formula>
    </cfRule>
    <cfRule type="cellIs" dxfId="928" priority="1186" operator="equal">
      <formula>7</formula>
    </cfRule>
    <cfRule type="cellIs" dxfId="927" priority="1187" operator="equal">
      <formula>6</formula>
    </cfRule>
    <cfRule type="cellIs" dxfId="926" priority="1188" operator="equal">
      <formula>5</formula>
    </cfRule>
    <cfRule type="cellIs" dxfId="925" priority="1189" operator="equal">
      <formula>4</formula>
    </cfRule>
    <cfRule type="cellIs" dxfId="924" priority="1190" operator="equal">
      <formula>3</formula>
    </cfRule>
    <cfRule type="cellIs" dxfId="923" priority="1191" operator="equal">
      <formula>2</formula>
    </cfRule>
    <cfRule type="cellIs" dxfId="922" priority="1192" operator="equal">
      <formula>1</formula>
    </cfRule>
  </conditionalFormatting>
  <conditionalFormatting sqref="D169">
    <cfRule type="cellIs" dxfId="921" priority="1177" operator="equal">
      <formula>8</formula>
    </cfRule>
    <cfRule type="cellIs" dxfId="920" priority="1178" operator="equal">
      <formula>7</formula>
    </cfRule>
    <cfRule type="cellIs" dxfId="919" priority="1179" operator="equal">
      <formula>6</formula>
    </cfRule>
    <cfRule type="cellIs" dxfId="918" priority="1180" operator="equal">
      <formula>5</formula>
    </cfRule>
    <cfRule type="cellIs" dxfId="917" priority="1181" operator="equal">
      <formula>4</formula>
    </cfRule>
    <cfRule type="cellIs" dxfId="916" priority="1182" operator="equal">
      <formula>3</formula>
    </cfRule>
    <cfRule type="cellIs" dxfId="915" priority="1183" operator="equal">
      <formula>2</formula>
    </cfRule>
    <cfRule type="cellIs" dxfId="914" priority="1184" operator="equal">
      <formula>1</formula>
    </cfRule>
  </conditionalFormatting>
  <conditionalFormatting sqref="E169:L169">
    <cfRule type="cellIs" dxfId="913" priority="1169" operator="equal">
      <formula>8</formula>
    </cfRule>
    <cfRule type="cellIs" dxfId="912" priority="1170" operator="equal">
      <formula>7</formula>
    </cfRule>
    <cfRule type="cellIs" dxfId="911" priority="1171" operator="equal">
      <formula>6</formula>
    </cfRule>
    <cfRule type="cellIs" dxfId="910" priority="1172" operator="equal">
      <formula>5</formula>
    </cfRule>
    <cfRule type="cellIs" dxfId="909" priority="1173" operator="equal">
      <formula>4</formula>
    </cfRule>
    <cfRule type="cellIs" dxfId="908" priority="1174" operator="equal">
      <formula>3</formula>
    </cfRule>
    <cfRule type="cellIs" dxfId="907" priority="1175" operator="equal">
      <formula>2</formula>
    </cfRule>
    <cfRule type="cellIs" dxfId="906" priority="1176" operator="equal">
      <formula>1</formula>
    </cfRule>
  </conditionalFormatting>
  <conditionalFormatting sqref="M169:U169">
    <cfRule type="cellIs" dxfId="905" priority="1161" operator="equal">
      <formula>8</formula>
    </cfRule>
    <cfRule type="cellIs" dxfId="904" priority="1162" operator="equal">
      <formula>7</formula>
    </cfRule>
    <cfRule type="cellIs" dxfId="903" priority="1163" operator="equal">
      <formula>6</formula>
    </cfRule>
    <cfRule type="cellIs" dxfId="902" priority="1164" operator="equal">
      <formula>5</formula>
    </cfRule>
    <cfRule type="cellIs" dxfId="901" priority="1165" operator="equal">
      <formula>4</formula>
    </cfRule>
    <cfRule type="cellIs" dxfId="900" priority="1166" operator="equal">
      <formula>3</formula>
    </cfRule>
    <cfRule type="cellIs" dxfId="899" priority="1167" operator="equal">
      <formula>2</formula>
    </cfRule>
    <cfRule type="cellIs" dxfId="898" priority="1168" operator="equal">
      <formula>1</formula>
    </cfRule>
  </conditionalFormatting>
  <conditionalFormatting sqref="V169">
    <cfRule type="cellIs" dxfId="897" priority="1153" operator="equal">
      <formula>8</formula>
    </cfRule>
    <cfRule type="cellIs" dxfId="896" priority="1154" operator="equal">
      <formula>7</formula>
    </cfRule>
    <cfRule type="cellIs" dxfId="895" priority="1155" operator="equal">
      <formula>6</formula>
    </cfRule>
    <cfRule type="cellIs" dxfId="894" priority="1156" operator="equal">
      <formula>5</formula>
    </cfRule>
    <cfRule type="cellIs" dxfId="893" priority="1157" operator="equal">
      <formula>4</formula>
    </cfRule>
    <cfRule type="cellIs" dxfId="892" priority="1158" operator="equal">
      <formula>3</formula>
    </cfRule>
    <cfRule type="cellIs" dxfId="891" priority="1159" operator="equal">
      <formula>2</formula>
    </cfRule>
    <cfRule type="cellIs" dxfId="890" priority="1160" operator="equal">
      <formula>1</formula>
    </cfRule>
  </conditionalFormatting>
  <conditionalFormatting sqref="C170">
    <cfRule type="cellIs" dxfId="889" priority="1145" operator="equal">
      <formula>8</formula>
    </cfRule>
    <cfRule type="cellIs" dxfId="888" priority="1146" operator="equal">
      <formula>7</formula>
    </cfRule>
    <cfRule type="cellIs" dxfId="887" priority="1147" operator="equal">
      <formula>6</formula>
    </cfRule>
    <cfRule type="cellIs" dxfId="886" priority="1148" operator="equal">
      <formula>5</formula>
    </cfRule>
    <cfRule type="cellIs" dxfId="885" priority="1149" operator="equal">
      <formula>4</formula>
    </cfRule>
    <cfRule type="cellIs" dxfId="884" priority="1150" operator="equal">
      <formula>3</formula>
    </cfRule>
    <cfRule type="cellIs" dxfId="883" priority="1151" operator="equal">
      <formula>2</formula>
    </cfRule>
    <cfRule type="cellIs" dxfId="882" priority="1152" operator="equal">
      <formula>1</formula>
    </cfRule>
  </conditionalFormatting>
  <conditionalFormatting sqref="D170">
    <cfRule type="cellIs" dxfId="881" priority="1137" operator="equal">
      <formula>8</formula>
    </cfRule>
    <cfRule type="cellIs" dxfId="880" priority="1138" operator="equal">
      <formula>7</formula>
    </cfRule>
    <cfRule type="cellIs" dxfId="879" priority="1139" operator="equal">
      <formula>6</formula>
    </cfRule>
    <cfRule type="cellIs" dxfId="878" priority="1140" operator="equal">
      <formula>5</formula>
    </cfRule>
    <cfRule type="cellIs" dxfId="877" priority="1141" operator="equal">
      <formula>4</formula>
    </cfRule>
    <cfRule type="cellIs" dxfId="876" priority="1142" operator="equal">
      <formula>3</formula>
    </cfRule>
    <cfRule type="cellIs" dxfId="875" priority="1143" operator="equal">
      <formula>2</formula>
    </cfRule>
    <cfRule type="cellIs" dxfId="874" priority="1144" operator="equal">
      <formula>1</formula>
    </cfRule>
  </conditionalFormatting>
  <conditionalFormatting sqref="E170:L170">
    <cfRule type="cellIs" dxfId="873" priority="1129" operator="equal">
      <formula>8</formula>
    </cfRule>
    <cfRule type="cellIs" dxfId="872" priority="1130" operator="equal">
      <formula>7</formula>
    </cfRule>
    <cfRule type="cellIs" dxfId="871" priority="1131" operator="equal">
      <formula>6</formula>
    </cfRule>
    <cfRule type="cellIs" dxfId="870" priority="1132" operator="equal">
      <formula>5</formula>
    </cfRule>
    <cfRule type="cellIs" dxfId="869" priority="1133" operator="equal">
      <formula>4</formula>
    </cfRule>
    <cfRule type="cellIs" dxfId="868" priority="1134" operator="equal">
      <formula>3</formula>
    </cfRule>
    <cfRule type="cellIs" dxfId="867" priority="1135" operator="equal">
      <formula>2</formula>
    </cfRule>
    <cfRule type="cellIs" dxfId="866" priority="1136" operator="equal">
      <formula>1</formula>
    </cfRule>
  </conditionalFormatting>
  <conditionalFormatting sqref="M170:U170">
    <cfRule type="cellIs" dxfId="865" priority="1121" operator="equal">
      <formula>8</formula>
    </cfRule>
    <cfRule type="cellIs" dxfId="864" priority="1122" operator="equal">
      <formula>7</formula>
    </cfRule>
    <cfRule type="cellIs" dxfId="863" priority="1123" operator="equal">
      <formula>6</formula>
    </cfRule>
    <cfRule type="cellIs" dxfId="862" priority="1124" operator="equal">
      <formula>5</formula>
    </cfRule>
    <cfRule type="cellIs" dxfId="861" priority="1125" operator="equal">
      <formula>4</formula>
    </cfRule>
    <cfRule type="cellIs" dxfId="860" priority="1126" operator="equal">
      <formula>3</formula>
    </cfRule>
    <cfRule type="cellIs" dxfId="859" priority="1127" operator="equal">
      <formula>2</formula>
    </cfRule>
    <cfRule type="cellIs" dxfId="858" priority="1128" operator="equal">
      <formula>1</formula>
    </cfRule>
  </conditionalFormatting>
  <conditionalFormatting sqref="V170">
    <cfRule type="cellIs" dxfId="857" priority="1113" operator="equal">
      <formula>8</formula>
    </cfRule>
    <cfRule type="cellIs" dxfId="856" priority="1114" operator="equal">
      <formula>7</formula>
    </cfRule>
    <cfRule type="cellIs" dxfId="855" priority="1115" operator="equal">
      <formula>6</formula>
    </cfRule>
    <cfRule type="cellIs" dxfId="854" priority="1116" operator="equal">
      <formula>5</formula>
    </cfRule>
    <cfRule type="cellIs" dxfId="853" priority="1117" operator="equal">
      <formula>4</formula>
    </cfRule>
    <cfRule type="cellIs" dxfId="852" priority="1118" operator="equal">
      <formula>3</formula>
    </cfRule>
    <cfRule type="cellIs" dxfId="851" priority="1119" operator="equal">
      <formula>2</formula>
    </cfRule>
    <cfRule type="cellIs" dxfId="850" priority="1120" operator="equal">
      <formula>1</formula>
    </cfRule>
  </conditionalFormatting>
  <conditionalFormatting sqref="C171">
    <cfRule type="cellIs" dxfId="849" priority="1105" operator="equal">
      <formula>8</formula>
    </cfRule>
    <cfRule type="cellIs" dxfId="848" priority="1106" operator="equal">
      <formula>7</formula>
    </cfRule>
    <cfRule type="cellIs" dxfId="847" priority="1107" operator="equal">
      <formula>6</formula>
    </cfRule>
    <cfRule type="cellIs" dxfId="846" priority="1108" operator="equal">
      <formula>5</formula>
    </cfRule>
    <cfRule type="cellIs" dxfId="845" priority="1109" operator="equal">
      <formula>4</formula>
    </cfRule>
    <cfRule type="cellIs" dxfId="844" priority="1110" operator="equal">
      <formula>3</formula>
    </cfRule>
    <cfRule type="cellIs" dxfId="843" priority="1111" operator="equal">
      <formula>2</formula>
    </cfRule>
    <cfRule type="cellIs" dxfId="842" priority="1112" operator="equal">
      <formula>1</formula>
    </cfRule>
  </conditionalFormatting>
  <conditionalFormatting sqref="D171">
    <cfRule type="cellIs" dxfId="841" priority="1097" operator="equal">
      <formula>8</formula>
    </cfRule>
    <cfRule type="cellIs" dxfId="840" priority="1098" operator="equal">
      <formula>7</formula>
    </cfRule>
    <cfRule type="cellIs" dxfId="839" priority="1099" operator="equal">
      <formula>6</formula>
    </cfRule>
    <cfRule type="cellIs" dxfId="838" priority="1100" operator="equal">
      <formula>5</formula>
    </cfRule>
    <cfRule type="cellIs" dxfId="837" priority="1101" operator="equal">
      <formula>4</formula>
    </cfRule>
    <cfRule type="cellIs" dxfId="836" priority="1102" operator="equal">
      <formula>3</formula>
    </cfRule>
    <cfRule type="cellIs" dxfId="835" priority="1103" operator="equal">
      <formula>2</formula>
    </cfRule>
    <cfRule type="cellIs" dxfId="834" priority="1104" operator="equal">
      <formula>1</formula>
    </cfRule>
  </conditionalFormatting>
  <conditionalFormatting sqref="E171:L171">
    <cfRule type="cellIs" dxfId="833" priority="1089" operator="equal">
      <formula>8</formula>
    </cfRule>
    <cfRule type="cellIs" dxfId="832" priority="1090" operator="equal">
      <formula>7</formula>
    </cfRule>
    <cfRule type="cellIs" dxfId="831" priority="1091" operator="equal">
      <formula>6</formula>
    </cfRule>
    <cfRule type="cellIs" dxfId="830" priority="1092" operator="equal">
      <formula>5</formula>
    </cfRule>
    <cfRule type="cellIs" dxfId="829" priority="1093" operator="equal">
      <formula>4</formula>
    </cfRule>
    <cfRule type="cellIs" dxfId="828" priority="1094" operator="equal">
      <formula>3</formula>
    </cfRule>
    <cfRule type="cellIs" dxfId="827" priority="1095" operator="equal">
      <formula>2</formula>
    </cfRule>
    <cfRule type="cellIs" dxfId="826" priority="1096" operator="equal">
      <formula>1</formula>
    </cfRule>
  </conditionalFormatting>
  <conditionalFormatting sqref="M171:U171">
    <cfRule type="cellIs" dxfId="825" priority="1081" operator="equal">
      <formula>8</formula>
    </cfRule>
    <cfRule type="cellIs" dxfId="824" priority="1082" operator="equal">
      <formula>7</formula>
    </cfRule>
    <cfRule type="cellIs" dxfId="823" priority="1083" operator="equal">
      <formula>6</formula>
    </cfRule>
    <cfRule type="cellIs" dxfId="822" priority="1084" operator="equal">
      <formula>5</formula>
    </cfRule>
    <cfRule type="cellIs" dxfId="821" priority="1085" operator="equal">
      <formula>4</formula>
    </cfRule>
    <cfRule type="cellIs" dxfId="820" priority="1086" operator="equal">
      <formula>3</formula>
    </cfRule>
    <cfRule type="cellIs" dxfId="819" priority="1087" operator="equal">
      <formula>2</formula>
    </cfRule>
    <cfRule type="cellIs" dxfId="818" priority="1088" operator="equal">
      <formula>1</formula>
    </cfRule>
  </conditionalFormatting>
  <conditionalFormatting sqref="V171">
    <cfRule type="cellIs" dxfId="817" priority="1073" operator="equal">
      <formula>8</formula>
    </cfRule>
    <cfRule type="cellIs" dxfId="816" priority="1074" operator="equal">
      <formula>7</formula>
    </cfRule>
    <cfRule type="cellIs" dxfId="815" priority="1075" operator="equal">
      <formula>6</formula>
    </cfRule>
    <cfRule type="cellIs" dxfId="814" priority="1076" operator="equal">
      <formula>5</formula>
    </cfRule>
    <cfRule type="cellIs" dxfId="813" priority="1077" operator="equal">
      <formula>4</formula>
    </cfRule>
    <cfRule type="cellIs" dxfId="812" priority="1078" operator="equal">
      <formula>3</formula>
    </cfRule>
    <cfRule type="cellIs" dxfId="811" priority="1079" operator="equal">
      <formula>2</formula>
    </cfRule>
    <cfRule type="cellIs" dxfId="810" priority="1080" operator="equal">
      <formula>1</formula>
    </cfRule>
  </conditionalFormatting>
  <conditionalFormatting sqref="C172">
    <cfRule type="cellIs" dxfId="809" priority="1065" operator="equal">
      <formula>8</formula>
    </cfRule>
    <cfRule type="cellIs" dxfId="808" priority="1066" operator="equal">
      <formula>7</formula>
    </cfRule>
    <cfRule type="cellIs" dxfId="807" priority="1067" operator="equal">
      <formula>6</formula>
    </cfRule>
    <cfRule type="cellIs" dxfId="806" priority="1068" operator="equal">
      <formula>5</formula>
    </cfRule>
    <cfRule type="cellIs" dxfId="805" priority="1069" operator="equal">
      <formula>4</formula>
    </cfRule>
    <cfRule type="cellIs" dxfId="804" priority="1070" operator="equal">
      <formula>3</formula>
    </cfRule>
    <cfRule type="cellIs" dxfId="803" priority="1071" operator="equal">
      <formula>2</formula>
    </cfRule>
    <cfRule type="cellIs" dxfId="802" priority="1072" operator="equal">
      <formula>1</formula>
    </cfRule>
  </conditionalFormatting>
  <conditionalFormatting sqref="D172">
    <cfRule type="cellIs" dxfId="801" priority="1057" operator="equal">
      <formula>8</formula>
    </cfRule>
    <cfRule type="cellIs" dxfId="800" priority="1058" operator="equal">
      <formula>7</formula>
    </cfRule>
    <cfRule type="cellIs" dxfId="799" priority="1059" operator="equal">
      <formula>6</formula>
    </cfRule>
    <cfRule type="cellIs" dxfId="798" priority="1060" operator="equal">
      <formula>5</formula>
    </cfRule>
    <cfRule type="cellIs" dxfId="797" priority="1061" operator="equal">
      <formula>4</formula>
    </cfRule>
    <cfRule type="cellIs" dxfId="796" priority="1062" operator="equal">
      <formula>3</formula>
    </cfRule>
    <cfRule type="cellIs" dxfId="795" priority="1063" operator="equal">
      <formula>2</formula>
    </cfRule>
    <cfRule type="cellIs" dxfId="794" priority="1064" operator="equal">
      <formula>1</formula>
    </cfRule>
  </conditionalFormatting>
  <conditionalFormatting sqref="E172:L172">
    <cfRule type="cellIs" dxfId="793" priority="1049" operator="equal">
      <formula>8</formula>
    </cfRule>
    <cfRule type="cellIs" dxfId="792" priority="1050" operator="equal">
      <formula>7</formula>
    </cfRule>
    <cfRule type="cellIs" dxfId="791" priority="1051" operator="equal">
      <formula>6</formula>
    </cfRule>
    <cfRule type="cellIs" dxfId="790" priority="1052" operator="equal">
      <formula>5</formula>
    </cfRule>
    <cfRule type="cellIs" dxfId="789" priority="1053" operator="equal">
      <formula>4</formula>
    </cfRule>
    <cfRule type="cellIs" dxfId="788" priority="1054" operator="equal">
      <formula>3</formula>
    </cfRule>
    <cfRule type="cellIs" dxfId="787" priority="1055" operator="equal">
      <formula>2</formula>
    </cfRule>
    <cfRule type="cellIs" dxfId="786" priority="1056" operator="equal">
      <formula>1</formula>
    </cfRule>
  </conditionalFormatting>
  <conditionalFormatting sqref="M172:U172">
    <cfRule type="cellIs" dxfId="785" priority="1041" operator="equal">
      <formula>8</formula>
    </cfRule>
    <cfRule type="cellIs" dxfId="784" priority="1042" operator="equal">
      <formula>7</formula>
    </cfRule>
    <cfRule type="cellIs" dxfId="783" priority="1043" operator="equal">
      <formula>6</formula>
    </cfRule>
    <cfRule type="cellIs" dxfId="782" priority="1044" operator="equal">
      <formula>5</formula>
    </cfRule>
    <cfRule type="cellIs" dxfId="781" priority="1045" operator="equal">
      <formula>4</formula>
    </cfRule>
    <cfRule type="cellIs" dxfId="780" priority="1046" operator="equal">
      <formula>3</formula>
    </cfRule>
    <cfRule type="cellIs" dxfId="779" priority="1047" operator="equal">
      <formula>2</formula>
    </cfRule>
    <cfRule type="cellIs" dxfId="778" priority="1048" operator="equal">
      <formula>1</formula>
    </cfRule>
  </conditionalFormatting>
  <conditionalFormatting sqref="V172">
    <cfRule type="cellIs" dxfId="777" priority="1033" operator="equal">
      <formula>8</formula>
    </cfRule>
    <cfRule type="cellIs" dxfId="776" priority="1034" operator="equal">
      <formula>7</formula>
    </cfRule>
    <cfRule type="cellIs" dxfId="775" priority="1035" operator="equal">
      <formula>6</formula>
    </cfRule>
    <cfRule type="cellIs" dxfId="774" priority="1036" operator="equal">
      <formula>5</formula>
    </cfRule>
    <cfRule type="cellIs" dxfId="773" priority="1037" operator="equal">
      <formula>4</formula>
    </cfRule>
    <cfRule type="cellIs" dxfId="772" priority="1038" operator="equal">
      <formula>3</formula>
    </cfRule>
    <cfRule type="cellIs" dxfId="771" priority="1039" operator="equal">
      <formula>2</formula>
    </cfRule>
    <cfRule type="cellIs" dxfId="770" priority="1040" operator="equal">
      <formula>1</formula>
    </cfRule>
  </conditionalFormatting>
  <conditionalFormatting sqref="C173">
    <cfRule type="cellIs" dxfId="769" priority="1025" operator="equal">
      <formula>8</formula>
    </cfRule>
    <cfRule type="cellIs" dxfId="768" priority="1026" operator="equal">
      <formula>7</formula>
    </cfRule>
    <cfRule type="cellIs" dxfId="767" priority="1027" operator="equal">
      <formula>6</formula>
    </cfRule>
    <cfRule type="cellIs" dxfId="766" priority="1028" operator="equal">
      <formula>5</formula>
    </cfRule>
    <cfRule type="cellIs" dxfId="765" priority="1029" operator="equal">
      <formula>4</formula>
    </cfRule>
    <cfRule type="cellIs" dxfId="764" priority="1030" operator="equal">
      <formula>3</formula>
    </cfRule>
    <cfRule type="cellIs" dxfId="763" priority="1031" operator="equal">
      <formula>2</formula>
    </cfRule>
    <cfRule type="cellIs" dxfId="762" priority="1032" operator="equal">
      <formula>1</formula>
    </cfRule>
  </conditionalFormatting>
  <conditionalFormatting sqref="D173">
    <cfRule type="cellIs" dxfId="761" priority="1017" operator="equal">
      <formula>8</formula>
    </cfRule>
    <cfRule type="cellIs" dxfId="760" priority="1018" operator="equal">
      <formula>7</formula>
    </cfRule>
    <cfRule type="cellIs" dxfId="759" priority="1019" operator="equal">
      <formula>6</formula>
    </cfRule>
    <cfRule type="cellIs" dxfId="758" priority="1020" operator="equal">
      <formula>5</formula>
    </cfRule>
    <cfRule type="cellIs" dxfId="757" priority="1021" operator="equal">
      <formula>4</formula>
    </cfRule>
    <cfRule type="cellIs" dxfId="756" priority="1022" operator="equal">
      <formula>3</formula>
    </cfRule>
    <cfRule type="cellIs" dxfId="755" priority="1023" operator="equal">
      <formula>2</formula>
    </cfRule>
    <cfRule type="cellIs" dxfId="754" priority="1024" operator="equal">
      <formula>1</formula>
    </cfRule>
  </conditionalFormatting>
  <conditionalFormatting sqref="E173:L173">
    <cfRule type="cellIs" dxfId="753" priority="1009" operator="equal">
      <formula>8</formula>
    </cfRule>
    <cfRule type="cellIs" dxfId="752" priority="1010" operator="equal">
      <formula>7</formula>
    </cfRule>
    <cfRule type="cellIs" dxfId="751" priority="1011" operator="equal">
      <formula>6</formula>
    </cfRule>
    <cfRule type="cellIs" dxfId="750" priority="1012" operator="equal">
      <formula>5</formula>
    </cfRule>
    <cfRule type="cellIs" dxfId="749" priority="1013" operator="equal">
      <formula>4</formula>
    </cfRule>
    <cfRule type="cellIs" dxfId="748" priority="1014" operator="equal">
      <formula>3</formula>
    </cfRule>
    <cfRule type="cellIs" dxfId="747" priority="1015" operator="equal">
      <formula>2</formula>
    </cfRule>
    <cfRule type="cellIs" dxfId="746" priority="1016" operator="equal">
      <formula>1</formula>
    </cfRule>
  </conditionalFormatting>
  <conditionalFormatting sqref="M173:U173">
    <cfRule type="cellIs" dxfId="745" priority="1001" operator="equal">
      <formula>8</formula>
    </cfRule>
    <cfRule type="cellIs" dxfId="744" priority="1002" operator="equal">
      <formula>7</formula>
    </cfRule>
    <cfRule type="cellIs" dxfId="743" priority="1003" operator="equal">
      <formula>6</formula>
    </cfRule>
    <cfRule type="cellIs" dxfId="742" priority="1004" operator="equal">
      <formula>5</formula>
    </cfRule>
    <cfRule type="cellIs" dxfId="741" priority="1005" operator="equal">
      <formula>4</formula>
    </cfRule>
    <cfRule type="cellIs" dxfId="740" priority="1006" operator="equal">
      <formula>3</formula>
    </cfRule>
    <cfRule type="cellIs" dxfId="739" priority="1007" operator="equal">
      <formula>2</formula>
    </cfRule>
    <cfRule type="cellIs" dxfId="738" priority="1008" operator="equal">
      <formula>1</formula>
    </cfRule>
  </conditionalFormatting>
  <conditionalFormatting sqref="V173">
    <cfRule type="cellIs" dxfId="737" priority="993" operator="equal">
      <formula>8</formula>
    </cfRule>
    <cfRule type="cellIs" dxfId="736" priority="994" operator="equal">
      <formula>7</formula>
    </cfRule>
    <cfRule type="cellIs" dxfId="735" priority="995" operator="equal">
      <formula>6</formula>
    </cfRule>
    <cfRule type="cellIs" dxfId="734" priority="996" operator="equal">
      <formula>5</formula>
    </cfRule>
    <cfRule type="cellIs" dxfId="733" priority="997" operator="equal">
      <formula>4</formula>
    </cfRule>
    <cfRule type="cellIs" dxfId="732" priority="998" operator="equal">
      <formula>3</formula>
    </cfRule>
    <cfRule type="cellIs" dxfId="731" priority="999" operator="equal">
      <formula>2</formula>
    </cfRule>
    <cfRule type="cellIs" dxfId="730" priority="1000" operator="equal">
      <formula>1</formula>
    </cfRule>
  </conditionalFormatting>
  <conditionalFormatting sqref="C174">
    <cfRule type="cellIs" dxfId="729" priority="985" operator="equal">
      <formula>8</formula>
    </cfRule>
    <cfRule type="cellIs" dxfId="728" priority="986" operator="equal">
      <formula>7</formula>
    </cfRule>
    <cfRule type="cellIs" dxfId="727" priority="987" operator="equal">
      <formula>6</formula>
    </cfRule>
    <cfRule type="cellIs" dxfId="726" priority="988" operator="equal">
      <formula>5</formula>
    </cfRule>
    <cfRule type="cellIs" dxfId="725" priority="989" operator="equal">
      <formula>4</formula>
    </cfRule>
    <cfRule type="cellIs" dxfId="724" priority="990" operator="equal">
      <formula>3</formula>
    </cfRule>
    <cfRule type="cellIs" dxfId="723" priority="991" operator="equal">
      <formula>2</formula>
    </cfRule>
    <cfRule type="cellIs" dxfId="722" priority="992" operator="equal">
      <formula>1</formula>
    </cfRule>
  </conditionalFormatting>
  <conditionalFormatting sqref="D174">
    <cfRule type="cellIs" dxfId="721" priority="977" operator="equal">
      <formula>8</formula>
    </cfRule>
    <cfRule type="cellIs" dxfId="720" priority="978" operator="equal">
      <formula>7</formula>
    </cfRule>
    <cfRule type="cellIs" dxfId="719" priority="979" operator="equal">
      <formula>6</formula>
    </cfRule>
    <cfRule type="cellIs" dxfId="718" priority="980" operator="equal">
      <formula>5</formula>
    </cfRule>
    <cfRule type="cellIs" dxfId="717" priority="981" operator="equal">
      <formula>4</formula>
    </cfRule>
    <cfRule type="cellIs" dxfId="716" priority="982" operator="equal">
      <formula>3</formula>
    </cfRule>
    <cfRule type="cellIs" dxfId="715" priority="983" operator="equal">
      <formula>2</formula>
    </cfRule>
    <cfRule type="cellIs" dxfId="714" priority="984" operator="equal">
      <formula>1</formula>
    </cfRule>
  </conditionalFormatting>
  <conditionalFormatting sqref="E174:L174">
    <cfRule type="cellIs" dxfId="713" priority="969" operator="equal">
      <formula>8</formula>
    </cfRule>
    <cfRule type="cellIs" dxfId="712" priority="970" operator="equal">
      <formula>7</formula>
    </cfRule>
    <cfRule type="cellIs" dxfId="711" priority="971" operator="equal">
      <formula>6</formula>
    </cfRule>
    <cfRule type="cellIs" dxfId="710" priority="972" operator="equal">
      <formula>5</formula>
    </cfRule>
    <cfRule type="cellIs" dxfId="709" priority="973" operator="equal">
      <formula>4</formula>
    </cfRule>
    <cfRule type="cellIs" dxfId="708" priority="974" operator="equal">
      <formula>3</formula>
    </cfRule>
    <cfRule type="cellIs" dxfId="707" priority="975" operator="equal">
      <formula>2</formula>
    </cfRule>
    <cfRule type="cellIs" dxfId="706" priority="976" operator="equal">
      <formula>1</formula>
    </cfRule>
  </conditionalFormatting>
  <conditionalFormatting sqref="M174:U174">
    <cfRule type="cellIs" dxfId="705" priority="961" operator="equal">
      <formula>8</formula>
    </cfRule>
    <cfRule type="cellIs" dxfId="704" priority="962" operator="equal">
      <formula>7</formula>
    </cfRule>
    <cfRule type="cellIs" dxfId="703" priority="963" operator="equal">
      <formula>6</formula>
    </cfRule>
    <cfRule type="cellIs" dxfId="702" priority="964" operator="equal">
      <formula>5</formula>
    </cfRule>
    <cfRule type="cellIs" dxfId="701" priority="965" operator="equal">
      <formula>4</formula>
    </cfRule>
    <cfRule type="cellIs" dxfId="700" priority="966" operator="equal">
      <formula>3</formula>
    </cfRule>
    <cfRule type="cellIs" dxfId="699" priority="967" operator="equal">
      <formula>2</formula>
    </cfRule>
    <cfRule type="cellIs" dxfId="698" priority="968" operator="equal">
      <formula>1</formula>
    </cfRule>
  </conditionalFormatting>
  <conditionalFormatting sqref="V174">
    <cfRule type="cellIs" dxfId="697" priority="953" operator="equal">
      <formula>8</formula>
    </cfRule>
    <cfRule type="cellIs" dxfId="696" priority="954" operator="equal">
      <formula>7</formula>
    </cfRule>
    <cfRule type="cellIs" dxfId="695" priority="955" operator="equal">
      <formula>6</formula>
    </cfRule>
    <cfRule type="cellIs" dxfId="694" priority="956" operator="equal">
      <formula>5</formula>
    </cfRule>
    <cfRule type="cellIs" dxfId="693" priority="957" operator="equal">
      <formula>4</formula>
    </cfRule>
    <cfRule type="cellIs" dxfId="692" priority="958" operator="equal">
      <formula>3</formula>
    </cfRule>
    <cfRule type="cellIs" dxfId="691" priority="959" operator="equal">
      <formula>2</formula>
    </cfRule>
    <cfRule type="cellIs" dxfId="690" priority="960" operator="equal">
      <formula>1</formula>
    </cfRule>
  </conditionalFormatting>
  <conditionalFormatting sqref="C175">
    <cfRule type="cellIs" dxfId="689" priority="945" operator="equal">
      <formula>8</formula>
    </cfRule>
    <cfRule type="cellIs" dxfId="688" priority="946" operator="equal">
      <formula>7</formula>
    </cfRule>
    <cfRule type="cellIs" dxfId="687" priority="947" operator="equal">
      <formula>6</formula>
    </cfRule>
    <cfRule type="cellIs" dxfId="686" priority="948" operator="equal">
      <formula>5</formula>
    </cfRule>
    <cfRule type="cellIs" dxfId="685" priority="949" operator="equal">
      <formula>4</formula>
    </cfRule>
    <cfRule type="cellIs" dxfId="684" priority="950" operator="equal">
      <formula>3</formula>
    </cfRule>
    <cfRule type="cellIs" dxfId="683" priority="951" operator="equal">
      <formula>2</formula>
    </cfRule>
    <cfRule type="cellIs" dxfId="682" priority="952" operator="equal">
      <formula>1</formula>
    </cfRule>
  </conditionalFormatting>
  <conditionalFormatting sqref="D175">
    <cfRule type="cellIs" dxfId="681" priority="937" operator="equal">
      <formula>8</formula>
    </cfRule>
    <cfRule type="cellIs" dxfId="680" priority="938" operator="equal">
      <formula>7</formula>
    </cfRule>
    <cfRule type="cellIs" dxfId="679" priority="939" operator="equal">
      <formula>6</formula>
    </cfRule>
    <cfRule type="cellIs" dxfId="678" priority="940" operator="equal">
      <formula>5</formula>
    </cfRule>
    <cfRule type="cellIs" dxfId="677" priority="941" operator="equal">
      <formula>4</formula>
    </cfRule>
    <cfRule type="cellIs" dxfId="676" priority="942" operator="equal">
      <formula>3</formula>
    </cfRule>
    <cfRule type="cellIs" dxfId="675" priority="943" operator="equal">
      <formula>2</formula>
    </cfRule>
    <cfRule type="cellIs" dxfId="674" priority="944" operator="equal">
      <formula>1</formula>
    </cfRule>
  </conditionalFormatting>
  <conditionalFormatting sqref="E175:L175">
    <cfRule type="cellIs" dxfId="673" priority="929" operator="equal">
      <formula>8</formula>
    </cfRule>
    <cfRule type="cellIs" dxfId="672" priority="930" operator="equal">
      <formula>7</formula>
    </cfRule>
    <cfRule type="cellIs" dxfId="671" priority="931" operator="equal">
      <formula>6</formula>
    </cfRule>
    <cfRule type="cellIs" dxfId="670" priority="932" operator="equal">
      <formula>5</formula>
    </cfRule>
    <cfRule type="cellIs" dxfId="669" priority="933" operator="equal">
      <formula>4</formula>
    </cfRule>
    <cfRule type="cellIs" dxfId="668" priority="934" operator="equal">
      <formula>3</formula>
    </cfRule>
    <cfRule type="cellIs" dxfId="667" priority="935" operator="equal">
      <formula>2</formula>
    </cfRule>
    <cfRule type="cellIs" dxfId="666" priority="936" operator="equal">
      <formula>1</formula>
    </cfRule>
  </conditionalFormatting>
  <conditionalFormatting sqref="M175:U175">
    <cfRule type="cellIs" dxfId="665" priority="921" operator="equal">
      <formula>8</formula>
    </cfRule>
    <cfRule type="cellIs" dxfId="664" priority="922" operator="equal">
      <formula>7</formula>
    </cfRule>
    <cfRule type="cellIs" dxfId="663" priority="923" operator="equal">
      <formula>6</formula>
    </cfRule>
    <cfRule type="cellIs" dxfId="662" priority="924" operator="equal">
      <formula>5</formula>
    </cfRule>
    <cfRule type="cellIs" dxfId="661" priority="925" operator="equal">
      <formula>4</formula>
    </cfRule>
    <cfRule type="cellIs" dxfId="660" priority="926" operator="equal">
      <formula>3</formula>
    </cfRule>
    <cfRule type="cellIs" dxfId="659" priority="927" operator="equal">
      <formula>2</formula>
    </cfRule>
    <cfRule type="cellIs" dxfId="658" priority="928" operator="equal">
      <formula>1</formula>
    </cfRule>
  </conditionalFormatting>
  <conditionalFormatting sqref="V175">
    <cfRule type="cellIs" dxfId="657" priority="913" operator="equal">
      <formula>8</formula>
    </cfRule>
    <cfRule type="cellIs" dxfId="656" priority="914" operator="equal">
      <formula>7</formula>
    </cfRule>
    <cfRule type="cellIs" dxfId="655" priority="915" operator="equal">
      <formula>6</formula>
    </cfRule>
    <cfRule type="cellIs" dxfId="654" priority="916" operator="equal">
      <formula>5</formula>
    </cfRule>
    <cfRule type="cellIs" dxfId="653" priority="917" operator="equal">
      <formula>4</formula>
    </cfRule>
    <cfRule type="cellIs" dxfId="652" priority="918" operator="equal">
      <formula>3</formula>
    </cfRule>
    <cfRule type="cellIs" dxfId="651" priority="919" operator="equal">
      <formula>2</formula>
    </cfRule>
    <cfRule type="cellIs" dxfId="650" priority="920" operator="equal">
      <formula>1</formula>
    </cfRule>
  </conditionalFormatting>
  <conditionalFormatting sqref="C176">
    <cfRule type="cellIs" dxfId="649" priority="905" operator="equal">
      <formula>8</formula>
    </cfRule>
    <cfRule type="cellIs" dxfId="648" priority="906" operator="equal">
      <formula>7</formula>
    </cfRule>
    <cfRule type="cellIs" dxfId="647" priority="907" operator="equal">
      <formula>6</formula>
    </cfRule>
    <cfRule type="cellIs" dxfId="646" priority="908" operator="equal">
      <formula>5</formula>
    </cfRule>
    <cfRule type="cellIs" dxfId="645" priority="909" operator="equal">
      <formula>4</formula>
    </cfRule>
    <cfRule type="cellIs" dxfId="644" priority="910" operator="equal">
      <formula>3</formula>
    </cfRule>
    <cfRule type="cellIs" dxfId="643" priority="911" operator="equal">
      <formula>2</formula>
    </cfRule>
    <cfRule type="cellIs" dxfId="642" priority="912" operator="equal">
      <formula>1</formula>
    </cfRule>
  </conditionalFormatting>
  <conditionalFormatting sqref="D176">
    <cfRule type="cellIs" dxfId="641" priority="897" operator="equal">
      <formula>8</formula>
    </cfRule>
    <cfRule type="cellIs" dxfId="640" priority="898" operator="equal">
      <formula>7</formula>
    </cfRule>
    <cfRule type="cellIs" dxfId="639" priority="899" operator="equal">
      <formula>6</formula>
    </cfRule>
    <cfRule type="cellIs" dxfId="638" priority="900" operator="equal">
      <formula>5</formula>
    </cfRule>
    <cfRule type="cellIs" dxfId="637" priority="901" operator="equal">
      <formula>4</formula>
    </cfRule>
    <cfRule type="cellIs" dxfId="636" priority="902" operator="equal">
      <formula>3</formula>
    </cfRule>
    <cfRule type="cellIs" dxfId="635" priority="903" operator="equal">
      <formula>2</formula>
    </cfRule>
    <cfRule type="cellIs" dxfId="634" priority="904" operator="equal">
      <formula>1</formula>
    </cfRule>
  </conditionalFormatting>
  <conditionalFormatting sqref="E176:L176">
    <cfRule type="cellIs" dxfId="633" priority="889" operator="equal">
      <formula>8</formula>
    </cfRule>
    <cfRule type="cellIs" dxfId="632" priority="890" operator="equal">
      <formula>7</formula>
    </cfRule>
    <cfRule type="cellIs" dxfId="631" priority="891" operator="equal">
      <formula>6</formula>
    </cfRule>
    <cfRule type="cellIs" dxfId="630" priority="892" operator="equal">
      <formula>5</formula>
    </cfRule>
    <cfRule type="cellIs" dxfId="629" priority="893" operator="equal">
      <formula>4</formula>
    </cfRule>
    <cfRule type="cellIs" dxfId="628" priority="894" operator="equal">
      <formula>3</formula>
    </cfRule>
    <cfRule type="cellIs" dxfId="627" priority="895" operator="equal">
      <formula>2</formula>
    </cfRule>
    <cfRule type="cellIs" dxfId="626" priority="896" operator="equal">
      <formula>1</formula>
    </cfRule>
  </conditionalFormatting>
  <conditionalFormatting sqref="M176:U176">
    <cfRule type="cellIs" dxfId="625" priority="881" operator="equal">
      <formula>8</formula>
    </cfRule>
    <cfRule type="cellIs" dxfId="624" priority="882" operator="equal">
      <formula>7</formula>
    </cfRule>
    <cfRule type="cellIs" dxfId="623" priority="883" operator="equal">
      <formula>6</formula>
    </cfRule>
    <cfRule type="cellIs" dxfId="622" priority="884" operator="equal">
      <formula>5</formula>
    </cfRule>
    <cfRule type="cellIs" dxfId="621" priority="885" operator="equal">
      <formula>4</formula>
    </cfRule>
    <cfRule type="cellIs" dxfId="620" priority="886" operator="equal">
      <formula>3</formula>
    </cfRule>
    <cfRule type="cellIs" dxfId="619" priority="887" operator="equal">
      <formula>2</formula>
    </cfRule>
    <cfRule type="cellIs" dxfId="618" priority="888" operator="equal">
      <formula>1</formula>
    </cfRule>
  </conditionalFormatting>
  <conditionalFormatting sqref="V176">
    <cfRule type="cellIs" dxfId="617" priority="873" operator="equal">
      <formula>8</formula>
    </cfRule>
    <cfRule type="cellIs" dxfId="616" priority="874" operator="equal">
      <formula>7</formula>
    </cfRule>
    <cfRule type="cellIs" dxfId="615" priority="875" operator="equal">
      <formula>6</formula>
    </cfRule>
    <cfRule type="cellIs" dxfId="614" priority="876" operator="equal">
      <formula>5</formula>
    </cfRule>
    <cfRule type="cellIs" dxfId="613" priority="877" operator="equal">
      <formula>4</formula>
    </cfRule>
    <cfRule type="cellIs" dxfId="612" priority="878" operator="equal">
      <formula>3</formula>
    </cfRule>
    <cfRule type="cellIs" dxfId="611" priority="879" operator="equal">
      <formula>2</formula>
    </cfRule>
    <cfRule type="cellIs" dxfId="610" priority="880" operator="equal">
      <formula>1</formula>
    </cfRule>
  </conditionalFormatting>
  <conditionalFormatting sqref="C40">
    <cfRule type="cellIs" dxfId="609" priority="865" operator="equal">
      <formula>8</formula>
    </cfRule>
    <cfRule type="cellIs" dxfId="608" priority="866" operator="equal">
      <formula>7</formula>
    </cfRule>
    <cfRule type="cellIs" dxfId="607" priority="867" operator="equal">
      <formula>6</formula>
    </cfRule>
    <cfRule type="cellIs" dxfId="606" priority="868" operator="equal">
      <formula>5</formula>
    </cfRule>
    <cfRule type="cellIs" dxfId="605" priority="869" operator="equal">
      <formula>4</formula>
    </cfRule>
    <cfRule type="cellIs" dxfId="604" priority="870" operator="equal">
      <formula>3</formula>
    </cfRule>
    <cfRule type="cellIs" dxfId="603" priority="871" operator="equal">
      <formula>2</formula>
    </cfRule>
    <cfRule type="cellIs" dxfId="602" priority="872" operator="equal">
      <formula>1</formula>
    </cfRule>
  </conditionalFormatting>
  <conditionalFormatting sqref="D40">
    <cfRule type="cellIs" dxfId="601" priority="857" operator="equal">
      <formula>8</formula>
    </cfRule>
    <cfRule type="cellIs" dxfId="600" priority="858" operator="equal">
      <formula>7</formula>
    </cfRule>
    <cfRule type="cellIs" dxfId="599" priority="859" operator="equal">
      <formula>6</formula>
    </cfRule>
    <cfRule type="cellIs" dxfId="598" priority="860" operator="equal">
      <formula>5</formula>
    </cfRule>
    <cfRule type="cellIs" dxfId="597" priority="861" operator="equal">
      <formula>4</formula>
    </cfRule>
    <cfRule type="cellIs" dxfId="596" priority="862" operator="equal">
      <formula>3</formula>
    </cfRule>
    <cfRule type="cellIs" dxfId="595" priority="863" operator="equal">
      <formula>2</formula>
    </cfRule>
    <cfRule type="cellIs" dxfId="594" priority="864" operator="equal">
      <formula>1</formula>
    </cfRule>
  </conditionalFormatting>
  <conditionalFormatting sqref="E40:L40">
    <cfRule type="cellIs" dxfId="593" priority="849" operator="equal">
      <formula>8</formula>
    </cfRule>
    <cfRule type="cellIs" dxfId="592" priority="850" operator="equal">
      <formula>7</formula>
    </cfRule>
    <cfRule type="cellIs" dxfId="591" priority="851" operator="equal">
      <formula>6</formula>
    </cfRule>
    <cfRule type="cellIs" dxfId="590" priority="852" operator="equal">
      <formula>5</formula>
    </cfRule>
    <cfRule type="cellIs" dxfId="589" priority="853" operator="equal">
      <formula>4</formula>
    </cfRule>
    <cfRule type="cellIs" dxfId="588" priority="854" operator="equal">
      <formula>3</formula>
    </cfRule>
    <cfRule type="cellIs" dxfId="587" priority="855" operator="equal">
      <formula>2</formula>
    </cfRule>
    <cfRule type="cellIs" dxfId="586" priority="856" operator="equal">
      <formula>1</formula>
    </cfRule>
  </conditionalFormatting>
  <conditionalFormatting sqref="V40">
    <cfRule type="cellIs" dxfId="585" priority="833" operator="equal">
      <formula>8</formula>
    </cfRule>
    <cfRule type="cellIs" dxfId="584" priority="834" operator="equal">
      <formula>7</formula>
    </cfRule>
    <cfRule type="cellIs" dxfId="583" priority="835" operator="equal">
      <formula>6</formula>
    </cfRule>
    <cfRule type="cellIs" dxfId="582" priority="836" operator="equal">
      <formula>5</formula>
    </cfRule>
    <cfRule type="cellIs" dxfId="581" priority="837" operator="equal">
      <formula>4</formula>
    </cfRule>
    <cfRule type="cellIs" dxfId="580" priority="838" operator="equal">
      <formula>3</formula>
    </cfRule>
    <cfRule type="cellIs" dxfId="579" priority="839" operator="equal">
      <formula>2</formula>
    </cfRule>
    <cfRule type="cellIs" dxfId="578" priority="840" operator="equal">
      <formula>1</formula>
    </cfRule>
  </conditionalFormatting>
  <conditionalFormatting sqref="C41">
    <cfRule type="cellIs" dxfId="577" priority="825" operator="equal">
      <formula>8</formula>
    </cfRule>
    <cfRule type="cellIs" dxfId="576" priority="826" operator="equal">
      <formula>7</formula>
    </cfRule>
    <cfRule type="cellIs" dxfId="575" priority="827" operator="equal">
      <formula>6</formula>
    </cfRule>
    <cfRule type="cellIs" dxfId="574" priority="828" operator="equal">
      <formula>5</formula>
    </cfRule>
    <cfRule type="cellIs" dxfId="573" priority="829" operator="equal">
      <formula>4</formula>
    </cfRule>
    <cfRule type="cellIs" dxfId="572" priority="830" operator="equal">
      <formula>3</formula>
    </cfRule>
    <cfRule type="cellIs" dxfId="571" priority="831" operator="equal">
      <formula>2</formula>
    </cfRule>
    <cfRule type="cellIs" dxfId="570" priority="832" operator="equal">
      <formula>1</formula>
    </cfRule>
  </conditionalFormatting>
  <conditionalFormatting sqref="D41">
    <cfRule type="cellIs" dxfId="569" priority="817" operator="equal">
      <formula>8</formula>
    </cfRule>
    <cfRule type="cellIs" dxfId="568" priority="818" operator="equal">
      <formula>7</formula>
    </cfRule>
    <cfRule type="cellIs" dxfId="567" priority="819" operator="equal">
      <formula>6</formula>
    </cfRule>
    <cfRule type="cellIs" dxfId="566" priority="820" operator="equal">
      <formula>5</formula>
    </cfRule>
    <cfRule type="cellIs" dxfId="565" priority="821" operator="equal">
      <formula>4</formula>
    </cfRule>
    <cfRule type="cellIs" dxfId="564" priority="822" operator="equal">
      <formula>3</formula>
    </cfRule>
    <cfRule type="cellIs" dxfId="563" priority="823" operator="equal">
      <formula>2</formula>
    </cfRule>
    <cfRule type="cellIs" dxfId="562" priority="824" operator="equal">
      <formula>1</formula>
    </cfRule>
  </conditionalFormatting>
  <conditionalFormatting sqref="E41:L41">
    <cfRule type="cellIs" dxfId="561" priority="809" operator="equal">
      <formula>8</formula>
    </cfRule>
    <cfRule type="cellIs" dxfId="560" priority="810" operator="equal">
      <formula>7</formula>
    </cfRule>
    <cfRule type="cellIs" dxfId="559" priority="811" operator="equal">
      <formula>6</formula>
    </cfRule>
    <cfRule type="cellIs" dxfId="558" priority="812" operator="equal">
      <formula>5</formula>
    </cfRule>
    <cfRule type="cellIs" dxfId="557" priority="813" operator="equal">
      <formula>4</formula>
    </cfRule>
    <cfRule type="cellIs" dxfId="556" priority="814" operator="equal">
      <formula>3</formula>
    </cfRule>
    <cfRule type="cellIs" dxfId="555" priority="815" operator="equal">
      <formula>2</formula>
    </cfRule>
    <cfRule type="cellIs" dxfId="554" priority="816" operator="equal">
      <formula>1</formula>
    </cfRule>
  </conditionalFormatting>
  <conditionalFormatting sqref="V41">
    <cfRule type="cellIs" dxfId="553" priority="793" operator="equal">
      <formula>8</formula>
    </cfRule>
    <cfRule type="cellIs" dxfId="552" priority="794" operator="equal">
      <formula>7</formula>
    </cfRule>
    <cfRule type="cellIs" dxfId="551" priority="795" operator="equal">
      <formula>6</formula>
    </cfRule>
    <cfRule type="cellIs" dxfId="550" priority="796" operator="equal">
      <formula>5</formula>
    </cfRule>
    <cfRule type="cellIs" dxfId="549" priority="797" operator="equal">
      <formula>4</formula>
    </cfRule>
    <cfRule type="cellIs" dxfId="548" priority="798" operator="equal">
      <formula>3</formula>
    </cfRule>
    <cfRule type="cellIs" dxfId="547" priority="799" operator="equal">
      <formula>2</formula>
    </cfRule>
    <cfRule type="cellIs" dxfId="546" priority="800" operator="equal">
      <formula>1</formula>
    </cfRule>
  </conditionalFormatting>
  <conditionalFormatting sqref="C42">
    <cfRule type="cellIs" dxfId="545" priority="785" operator="equal">
      <formula>8</formula>
    </cfRule>
    <cfRule type="cellIs" dxfId="544" priority="786" operator="equal">
      <formula>7</formula>
    </cfRule>
    <cfRule type="cellIs" dxfId="543" priority="787" operator="equal">
      <formula>6</formula>
    </cfRule>
    <cfRule type="cellIs" dxfId="542" priority="788" operator="equal">
      <formula>5</formula>
    </cfRule>
    <cfRule type="cellIs" dxfId="541" priority="789" operator="equal">
      <formula>4</formula>
    </cfRule>
    <cfRule type="cellIs" dxfId="540" priority="790" operator="equal">
      <formula>3</formula>
    </cfRule>
    <cfRule type="cellIs" dxfId="539" priority="791" operator="equal">
      <formula>2</formula>
    </cfRule>
    <cfRule type="cellIs" dxfId="538" priority="792" operator="equal">
      <formula>1</formula>
    </cfRule>
  </conditionalFormatting>
  <conditionalFormatting sqref="D42">
    <cfRule type="cellIs" dxfId="537" priority="777" operator="equal">
      <formula>8</formula>
    </cfRule>
    <cfRule type="cellIs" dxfId="536" priority="778" operator="equal">
      <formula>7</formula>
    </cfRule>
    <cfRule type="cellIs" dxfId="535" priority="779" operator="equal">
      <formula>6</formula>
    </cfRule>
    <cfRule type="cellIs" dxfId="534" priority="780" operator="equal">
      <formula>5</formula>
    </cfRule>
    <cfRule type="cellIs" dxfId="533" priority="781" operator="equal">
      <formula>4</formula>
    </cfRule>
    <cfRule type="cellIs" dxfId="532" priority="782" operator="equal">
      <formula>3</formula>
    </cfRule>
    <cfRule type="cellIs" dxfId="531" priority="783" operator="equal">
      <formula>2</formula>
    </cfRule>
    <cfRule type="cellIs" dxfId="530" priority="784" operator="equal">
      <formula>1</formula>
    </cfRule>
  </conditionalFormatting>
  <conditionalFormatting sqref="E42:L42">
    <cfRule type="cellIs" dxfId="529" priority="769" operator="equal">
      <formula>8</formula>
    </cfRule>
    <cfRule type="cellIs" dxfId="528" priority="770" operator="equal">
      <formula>7</formula>
    </cfRule>
    <cfRule type="cellIs" dxfId="527" priority="771" operator="equal">
      <formula>6</formula>
    </cfRule>
    <cfRule type="cellIs" dxfId="526" priority="772" operator="equal">
      <formula>5</formula>
    </cfRule>
    <cfRule type="cellIs" dxfId="525" priority="773" operator="equal">
      <formula>4</formula>
    </cfRule>
    <cfRule type="cellIs" dxfId="524" priority="774" operator="equal">
      <formula>3</formula>
    </cfRule>
    <cfRule type="cellIs" dxfId="523" priority="775" operator="equal">
      <formula>2</formula>
    </cfRule>
    <cfRule type="cellIs" dxfId="522" priority="776" operator="equal">
      <formula>1</formula>
    </cfRule>
  </conditionalFormatting>
  <conditionalFormatting sqref="V42">
    <cfRule type="cellIs" dxfId="521" priority="753" operator="equal">
      <formula>8</formula>
    </cfRule>
    <cfRule type="cellIs" dxfId="520" priority="754" operator="equal">
      <formula>7</formula>
    </cfRule>
    <cfRule type="cellIs" dxfId="519" priority="755" operator="equal">
      <formula>6</formula>
    </cfRule>
    <cfRule type="cellIs" dxfId="518" priority="756" operator="equal">
      <formula>5</formula>
    </cfRule>
    <cfRule type="cellIs" dxfId="517" priority="757" operator="equal">
      <formula>4</formula>
    </cfRule>
    <cfRule type="cellIs" dxfId="516" priority="758" operator="equal">
      <formula>3</formula>
    </cfRule>
    <cfRule type="cellIs" dxfId="515" priority="759" operator="equal">
      <formula>2</formula>
    </cfRule>
    <cfRule type="cellIs" dxfId="514" priority="760" operator="equal">
      <formula>1</formula>
    </cfRule>
  </conditionalFormatting>
  <conditionalFormatting sqref="C43">
    <cfRule type="cellIs" dxfId="513" priority="745" operator="equal">
      <formula>8</formula>
    </cfRule>
    <cfRule type="cellIs" dxfId="512" priority="746" operator="equal">
      <formula>7</formula>
    </cfRule>
    <cfRule type="cellIs" dxfId="511" priority="747" operator="equal">
      <formula>6</formula>
    </cfRule>
    <cfRule type="cellIs" dxfId="510" priority="748" operator="equal">
      <formula>5</formula>
    </cfRule>
    <cfRule type="cellIs" dxfId="509" priority="749" operator="equal">
      <formula>4</formula>
    </cfRule>
    <cfRule type="cellIs" dxfId="508" priority="750" operator="equal">
      <formula>3</formula>
    </cfRule>
    <cfRule type="cellIs" dxfId="507" priority="751" operator="equal">
      <formula>2</formula>
    </cfRule>
    <cfRule type="cellIs" dxfId="506" priority="752" operator="equal">
      <formula>1</formula>
    </cfRule>
  </conditionalFormatting>
  <conditionalFormatting sqref="D43">
    <cfRule type="cellIs" dxfId="505" priority="737" operator="equal">
      <formula>8</formula>
    </cfRule>
    <cfRule type="cellIs" dxfId="504" priority="738" operator="equal">
      <formula>7</formula>
    </cfRule>
    <cfRule type="cellIs" dxfId="503" priority="739" operator="equal">
      <formula>6</formula>
    </cfRule>
    <cfRule type="cellIs" dxfId="502" priority="740" operator="equal">
      <formula>5</formula>
    </cfRule>
    <cfRule type="cellIs" dxfId="501" priority="741" operator="equal">
      <formula>4</formula>
    </cfRule>
    <cfRule type="cellIs" dxfId="500" priority="742" operator="equal">
      <formula>3</formula>
    </cfRule>
    <cfRule type="cellIs" dxfId="499" priority="743" operator="equal">
      <formula>2</formula>
    </cfRule>
    <cfRule type="cellIs" dxfId="498" priority="744" operator="equal">
      <formula>1</formula>
    </cfRule>
  </conditionalFormatting>
  <conditionalFormatting sqref="E43:L43">
    <cfRule type="cellIs" dxfId="497" priority="729" operator="equal">
      <formula>8</formula>
    </cfRule>
    <cfRule type="cellIs" dxfId="496" priority="730" operator="equal">
      <formula>7</formula>
    </cfRule>
    <cfRule type="cellIs" dxfId="495" priority="731" operator="equal">
      <formula>6</formula>
    </cfRule>
    <cfRule type="cellIs" dxfId="494" priority="732" operator="equal">
      <formula>5</formula>
    </cfRule>
    <cfRule type="cellIs" dxfId="493" priority="733" operator="equal">
      <formula>4</formula>
    </cfRule>
    <cfRule type="cellIs" dxfId="492" priority="734" operator="equal">
      <formula>3</formula>
    </cfRule>
    <cfRule type="cellIs" dxfId="491" priority="735" operator="equal">
      <formula>2</formula>
    </cfRule>
    <cfRule type="cellIs" dxfId="490" priority="736" operator="equal">
      <formula>1</formula>
    </cfRule>
  </conditionalFormatting>
  <conditionalFormatting sqref="V43">
    <cfRule type="cellIs" dxfId="489" priority="713" operator="equal">
      <formula>8</formula>
    </cfRule>
    <cfRule type="cellIs" dxfId="488" priority="714" operator="equal">
      <formula>7</formula>
    </cfRule>
    <cfRule type="cellIs" dxfId="487" priority="715" operator="equal">
      <formula>6</formula>
    </cfRule>
    <cfRule type="cellIs" dxfId="486" priority="716" operator="equal">
      <formula>5</formula>
    </cfRule>
    <cfRule type="cellIs" dxfId="485" priority="717" operator="equal">
      <formula>4</formula>
    </cfRule>
    <cfRule type="cellIs" dxfId="484" priority="718" operator="equal">
      <formula>3</formula>
    </cfRule>
    <cfRule type="cellIs" dxfId="483" priority="719" operator="equal">
      <formula>2</formula>
    </cfRule>
    <cfRule type="cellIs" dxfId="482" priority="720" operator="equal">
      <formula>1</formula>
    </cfRule>
  </conditionalFormatting>
  <conditionalFormatting sqref="C44">
    <cfRule type="cellIs" dxfId="481" priority="705" operator="equal">
      <formula>8</formula>
    </cfRule>
    <cfRule type="cellIs" dxfId="480" priority="706" operator="equal">
      <formula>7</formula>
    </cfRule>
    <cfRule type="cellIs" dxfId="479" priority="707" operator="equal">
      <formula>6</formula>
    </cfRule>
    <cfRule type="cellIs" dxfId="478" priority="708" operator="equal">
      <formula>5</formula>
    </cfRule>
    <cfRule type="cellIs" dxfId="477" priority="709" operator="equal">
      <formula>4</formula>
    </cfRule>
    <cfRule type="cellIs" dxfId="476" priority="710" operator="equal">
      <formula>3</formula>
    </cfRule>
    <cfRule type="cellIs" dxfId="475" priority="711" operator="equal">
      <formula>2</formula>
    </cfRule>
    <cfRule type="cellIs" dxfId="474" priority="712" operator="equal">
      <formula>1</formula>
    </cfRule>
  </conditionalFormatting>
  <conditionalFormatting sqref="D44">
    <cfRule type="cellIs" dxfId="473" priority="697" operator="equal">
      <formula>8</formula>
    </cfRule>
    <cfRule type="cellIs" dxfId="472" priority="698" operator="equal">
      <formula>7</formula>
    </cfRule>
    <cfRule type="cellIs" dxfId="471" priority="699" operator="equal">
      <formula>6</formula>
    </cfRule>
    <cfRule type="cellIs" dxfId="470" priority="700" operator="equal">
      <formula>5</formula>
    </cfRule>
    <cfRule type="cellIs" dxfId="469" priority="701" operator="equal">
      <formula>4</formula>
    </cfRule>
    <cfRule type="cellIs" dxfId="468" priority="702" operator="equal">
      <formula>3</formula>
    </cfRule>
    <cfRule type="cellIs" dxfId="467" priority="703" operator="equal">
      <formula>2</formula>
    </cfRule>
    <cfRule type="cellIs" dxfId="466" priority="704" operator="equal">
      <formula>1</formula>
    </cfRule>
  </conditionalFormatting>
  <conditionalFormatting sqref="E44:L44">
    <cfRule type="cellIs" dxfId="465" priority="689" operator="equal">
      <formula>8</formula>
    </cfRule>
    <cfRule type="cellIs" dxfId="464" priority="690" operator="equal">
      <formula>7</formula>
    </cfRule>
    <cfRule type="cellIs" dxfId="463" priority="691" operator="equal">
      <formula>6</formula>
    </cfRule>
    <cfRule type="cellIs" dxfId="462" priority="692" operator="equal">
      <formula>5</formula>
    </cfRule>
    <cfRule type="cellIs" dxfId="461" priority="693" operator="equal">
      <formula>4</formula>
    </cfRule>
    <cfRule type="cellIs" dxfId="460" priority="694" operator="equal">
      <formula>3</formula>
    </cfRule>
    <cfRule type="cellIs" dxfId="459" priority="695" operator="equal">
      <formula>2</formula>
    </cfRule>
    <cfRule type="cellIs" dxfId="458" priority="696" operator="equal">
      <formula>1</formula>
    </cfRule>
  </conditionalFormatting>
  <conditionalFormatting sqref="C45">
    <cfRule type="cellIs" dxfId="457" priority="665" operator="equal">
      <formula>8</formula>
    </cfRule>
    <cfRule type="cellIs" dxfId="456" priority="666" operator="equal">
      <formula>7</formula>
    </cfRule>
    <cfRule type="cellIs" dxfId="455" priority="667" operator="equal">
      <formula>6</formula>
    </cfRule>
    <cfRule type="cellIs" dxfId="454" priority="668" operator="equal">
      <formula>5</formula>
    </cfRule>
    <cfRule type="cellIs" dxfId="453" priority="669" operator="equal">
      <formula>4</formula>
    </cfRule>
    <cfRule type="cellIs" dxfId="452" priority="670" operator="equal">
      <formula>3</formula>
    </cfRule>
    <cfRule type="cellIs" dxfId="451" priority="671" operator="equal">
      <formula>2</formula>
    </cfRule>
    <cfRule type="cellIs" dxfId="450" priority="672" operator="equal">
      <formula>1</formula>
    </cfRule>
  </conditionalFormatting>
  <conditionalFormatting sqref="D45">
    <cfRule type="cellIs" dxfId="449" priority="657" operator="equal">
      <formula>8</formula>
    </cfRule>
    <cfRule type="cellIs" dxfId="448" priority="658" operator="equal">
      <formula>7</formula>
    </cfRule>
    <cfRule type="cellIs" dxfId="447" priority="659" operator="equal">
      <formula>6</formula>
    </cfRule>
    <cfRule type="cellIs" dxfId="446" priority="660" operator="equal">
      <formula>5</formula>
    </cfRule>
    <cfRule type="cellIs" dxfId="445" priority="661" operator="equal">
      <formula>4</formula>
    </cfRule>
    <cfRule type="cellIs" dxfId="444" priority="662" operator="equal">
      <formula>3</formula>
    </cfRule>
    <cfRule type="cellIs" dxfId="443" priority="663" operator="equal">
      <formula>2</formula>
    </cfRule>
    <cfRule type="cellIs" dxfId="442" priority="664" operator="equal">
      <formula>1</formula>
    </cfRule>
  </conditionalFormatting>
  <conditionalFormatting sqref="E45:L45">
    <cfRule type="cellIs" dxfId="441" priority="649" operator="equal">
      <formula>8</formula>
    </cfRule>
    <cfRule type="cellIs" dxfId="440" priority="650" operator="equal">
      <formula>7</formula>
    </cfRule>
    <cfRule type="cellIs" dxfId="439" priority="651" operator="equal">
      <formula>6</formula>
    </cfRule>
    <cfRule type="cellIs" dxfId="438" priority="652" operator="equal">
      <formula>5</formula>
    </cfRule>
    <cfRule type="cellIs" dxfId="437" priority="653" operator="equal">
      <formula>4</formula>
    </cfRule>
    <cfRule type="cellIs" dxfId="436" priority="654" operator="equal">
      <formula>3</formula>
    </cfRule>
    <cfRule type="cellIs" dxfId="435" priority="655" operator="equal">
      <formula>2</formula>
    </cfRule>
    <cfRule type="cellIs" dxfId="434" priority="656" operator="equal">
      <formula>1</formula>
    </cfRule>
  </conditionalFormatting>
  <conditionalFormatting sqref="C46">
    <cfRule type="cellIs" dxfId="433" priority="625" operator="equal">
      <formula>8</formula>
    </cfRule>
    <cfRule type="cellIs" dxfId="432" priority="626" operator="equal">
      <formula>7</formula>
    </cfRule>
    <cfRule type="cellIs" dxfId="431" priority="627" operator="equal">
      <formula>6</formula>
    </cfRule>
    <cfRule type="cellIs" dxfId="430" priority="628" operator="equal">
      <formula>5</formula>
    </cfRule>
    <cfRule type="cellIs" dxfId="429" priority="629" operator="equal">
      <formula>4</formula>
    </cfRule>
    <cfRule type="cellIs" dxfId="428" priority="630" operator="equal">
      <formula>3</formula>
    </cfRule>
    <cfRule type="cellIs" dxfId="427" priority="631" operator="equal">
      <formula>2</formula>
    </cfRule>
    <cfRule type="cellIs" dxfId="426" priority="632" operator="equal">
      <formula>1</formula>
    </cfRule>
  </conditionalFormatting>
  <conditionalFormatting sqref="D46">
    <cfRule type="cellIs" dxfId="425" priority="617" operator="equal">
      <formula>8</formula>
    </cfRule>
    <cfRule type="cellIs" dxfId="424" priority="618" operator="equal">
      <formula>7</formula>
    </cfRule>
    <cfRule type="cellIs" dxfId="423" priority="619" operator="equal">
      <formula>6</formula>
    </cfRule>
    <cfRule type="cellIs" dxfId="422" priority="620" operator="equal">
      <formula>5</formula>
    </cfRule>
    <cfRule type="cellIs" dxfId="421" priority="621" operator="equal">
      <formula>4</formula>
    </cfRule>
    <cfRule type="cellIs" dxfId="420" priority="622" operator="equal">
      <formula>3</formula>
    </cfRule>
    <cfRule type="cellIs" dxfId="419" priority="623" operator="equal">
      <formula>2</formula>
    </cfRule>
    <cfRule type="cellIs" dxfId="418" priority="624" operator="equal">
      <formula>1</formula>
    </cfRule>
  </conditionalFormatting>
  <conditionalFormatting sqref="E46:L46">
    <cfRule type="cellIs" dxfId="417" priority="609" operator="equal">
      <formula>8</formula>
    </cfRule>
    <cfRule type="cellIs" dxfId="416" priority="610" operator="equal">
      <formula>7</formula>
    </cfRule>
    <cfRule type="cellIs" dxfId="415" priority="611" operator="equal">
      <formula>6</formula>
    </cfRule>
    <cfRule type="cellIs" dxfId="414" priority="612" operator="equal">
      <formula>5</formula>
    </cfRule>
    <cfRule type="cellIs" dxfId="413" priority="613" operator="equal">
      <formula>4</formula>
    </cfRule>
    <cfRule type="cellIs" dxfId="412" priority="614" operator="equal">
      <formula>3</formula>
    </cfRule>
    <cfRule type="cellIs" dxfId="411" priority="615" operator="equal">
      <formula>2</formula>
    </cfRule>
    <cfRule type="cellIs" dxfId="410" priority="616" operator="equal">
      <formula>1</formula>
    </cfRule>
  </conditionalFormatting>
  <conditionalFormatting sqref="C47">
    <cfRule type="cellIs" dxfId="409" priority="585" operator="equal">
      <formula>8</formula>
    </cfRule>
    <cfRule type="cellIs" dxfId="408" priority="586" operator="equal">
      <formula>7</formula>
    </cfRule>
    <cfRule type="cellIs" dxfId="407" priority="587" operator="equal">
      <formula>6</formula>
    </cfRule>
    <cfRule type="cellIs" dxfId="406" priority="588" operator="equal">
      <formula>5</formula>
    </cfRule>
    <cfRule type="cellIs" dxfId="405" priority="589" operator="equal">
      <formula>4</formula>
    </cfRule>
    <cfRule type="cellIs" dxfId="404" priority="590" operator="equal">
      <formula>3</formula>
    </cfRule>
    <cfRule type="cellIs" dxfId="403" priority="591" operator="equal">
      <formula>2</formula>
    </cfRule>
    <cfRule type="cellIs" dxfId="402" priority="592" operator="equal">
      <formula>1</formula>
    </cfRule>
  </conditionalFormatting>
  <conditionalFormatting sqref="D47">
    <cfRule type="cellIs" dxfId="401" priority="577" operator="equal">
      <formula>8</formula>
    </cfRule>
    <cfRule type="cellIs" dxfId="400" priority="578" operator="equal">
      <formula>7</formula>
    </cfRule>
    <cfRule type="cellIs" dxfId="399" priority="579" operator="equal">
      <formula>6</formula>
    </cfRule>
    <cfRule type="cellIs" dxfId="398" priority="580" operator="equal">
      <formula>5</formula>
    </cfRule>
    <cfRule type="cellIs" dxfId="397" priority="581" operator="equal">
      <formula>4</formula>
    </cfRule>
    <cfRule type="cellIs" dxfId="396" priority="582" operator="equal">
      <formula>3</formula>
    </cfRule>
    <cfRule type="cellIs" dxfId="395" priority="583" operator="equal">
      <formula>2</formula>
    </cfRule>
    <cfRule type="cellIs" dxfId="394" priority="584" operator="equal">
      <formula>1</formula>
    </cfRule>
  </conditionalFormatting>
  <conditionalFormatting sqref="E47:L47">
    <cfRule type="cellIs" dxfId="393" priority="569" operator="equal">
      <formula>8</formula>
    </cfRule>
    <cfRule type="cellIs" dxfId="392" priority="570" operator="equal">
      <formula>7</formula>
    </cfRule>
    <cfRule type="cellIs" dxfId="391" priority="571" operator="equal">
      <formula>6</formula>
    </cfRule>
    <cfRule type="cellIs" dxfId="390" priority="572" operator="equal">
      <formula>5</formula>
    </cfRule>
    <cfRule type="cellIs" dxfId="389" priority="573" operator="equal">
      <formula>4</formula>
    </cfRule>
    <cfRule type="cellIs" dxfId="388" priority="574" operator="equal">
      <formula>3</formula>
    </cfRule>
    <cfRule type="cellIs" dxfId="387" priority="575" operator="equal">
      <formula>2</formula>
    </cfRule>
    <cfRule type="cellIs" dxfId="386" priority="576" operator="equal">
      <formula>1</formula>
    </cfRule>
  </conditionalFormatting>
  <conditionalFormatting sqref="C48">
    <cfRule type="cellIs" dxfId="385" priority="545" operator="equal">
      <formula>8</formula>
    </cfRule>
    <cfRule type="cellIs" dxfId="384" priority="546" operator="equal">
      <formula>7</formula>
    </cfRule>
    <cfRule type="cellIs" dxfId="383" priority="547" operator="equal">
      <formula>6</formula>
    </cfRule>
    <cfRule type="cellIs" dxfId="382" priority="548" operator="equal">
      <formula>5</formula>
    </cfRule>
    <cfRule type="cellIs" dxfId="381" priority="549" operator="equal">
      <formula>4</formula>
    </cfRule>
    <cfRule type="cellIs" dxfId="380" priority="550" operator="equal">
      <formula>3</formula>
    </cfRule>
    <cfRule type="cellIs" dxfId="379" priority="551" operator="equal">
      <formula>2</formula>
    </cfRule>
    <cfRule type="cellIs" dxfId="378" priority="552" operator="equal">
      <formula>1</formula>
    </cfRule>
  </conditionalFormatting>
  <conditionalFormatting sqref="D48">
    <cfRule type="cellIs" dxfId="377" priority="537" operator="equal">
      <formula>8</formula>
    </cfRule>
    <cfRule type="cellIs" dxfId="376" priority="538" operator="equal">
      <formula>7</formula>
    </cfRule>
    <cfRule type="cellIs" dxfId="375" priority="539" operator="equal">
      <formula>6</formula>
    </cfRule>
    <cfRule type="cellIs" dxfId="374" priority="540" operator="equal">
      <formula>5</formula>
    </cfRule>
    <cfRule type="cellIs" dxfId="373" priority="541" operator="equal">
      <formula>4</formula>
    </cfRule>
    <cfRule type="cellIs" dxfId="372" priority="542" operator="equal">
      <formula>3</formula>
    </cfRule>
    <cfRule type="cellIs" dxfId="371" priority="543" operator="equal">
      <formula>2</formula>
    </cfRule>
    <cfRule type="cellIs" dxfId="370" priority="544" operator="equal">
      <formula>1</formula>
    </cfRule>
  </conditionalFormatting>
  <conditionalFormatting sqref="E48:L48">
    <cfRule type="cellIs" dxfId="369" priority="529" operator="equal">
      <formula>8</formula>
    </cfRule>
    <cfRule type="cellIs" dxfId="368" priority="530" operator="equal">
      <formula>7</formula>
    </cfRule>
    <cfRule type="cellIs" dxfId="367" priority="531" operator="equal">
      <formula>6</formula>
    </cfRule>
    <cfRule type="cellIs" dxfId="366" priority="532" operator="equal">
      <formula>5</formula>
    </cfRule>
    <cfRule type="cellIs" dxfId="365" priority="533" operator="equal">
      <formula>4</formula>
    </cfRule>
    <cfRule type="cellIs" dxfId="364" priority="534" operator="equal">
      <formula>3</formula>
    </cfRule>
    <cfRule type="cellIs" dxfId="363" priority="535" operator="equal">
      <formula>2</formula>
    </cfRule>
    <cfRule type="cellIs" dxfId="362" priority="536" operator="equal">
      <formula>1</formula>
    </cfRule>
  </conditionalFormatting>
  <conditionalFormatting sqref="C49">
    <cfRule type="cellIs" dxfId="361" priority="505" operator="equal">
      <formula>8</formula>
    </cfRule>
    <cfRule type="cellIs" dxfId="360" priority="506" operator="equal">
      <formula>7</formula>
    </cfRule>
    <cfRule type="cellIs" dxfId="359" priority="507" operator="equal">
      <formula>6</formula>
    </cfRule>
    <cfRule type="cellIs" dxfId="358" priority="508" operator="equal">
      <formula>5</formula>
    </cfRule>
    <cfRule type="cellIs" dxfId="357" priority="509" operator="equal">
      <formula>4</formula>
    </cfRule>
    <cfRule type="cellIs" dxfId="356" priority="510" operator="equal">
      <formula>3</formula>
    </cfRule>
    <cfRule type="cellIs" dxfId="355" priority="511" operator="equal">
      <formula>2</formula>
    </cfRule>
    <cfRule type="cellIs" dxfId="354" priority="512" operator="equal">
      <formula>1</formula>
    </cfRule>
  </conditionalFormatting>
  <conditionalFormatting sqref="D49">
    <cfRule type="cellIs" dxfId="353" priority="497" operator="equal">
      <formula>8</formula>
    </cfRule>
    <cfRule type="cellIs" dxfId="352" priority="498" operator="equal">
      <formula>7</formula>
    </cfRule>
    <cfRule type="cellIs" dxfId="351" priority="499" operator="equal">
      <formula>6</formula>
    </cfRule>
    <cfRule type="cellIs" dxfId="350" priority="500" operator="equal">
      <formula>5</formula>
    </cfRule>
    <cfRule type="cellIs" dxfId="349" priority="501" operator="equal">
      <formula>4</formula>
    </cfRule>
    <cfRule type="cellIs" dxfId="348" priority="502" operator="equal">
      <formula>3</formula>
    </cfRule>
    <cfRule type="cellIs" dxfId="347" priority="503" operator="equal">
      <formula>2</formula>
    </cfRule>
    <cfRule type="cellIs" dxfId="346" priority="504" operator="equal">
      <formula>1</formula>
    </cfRule>
  </conditionalFormatting>
  <conditionalFormatting sqref="E49:L49">
    <cfRule type="cellIs" dxfId="345" priority="489" operator="equal">
      <formula>8</formula>
    </cfRule>
    <cfRule type="cellIs" dxfId="344" priority="490" operator="equal">
      <formula>7</formula>
    </cfRule>
    <cfRule type="cellIs" dxfId="343" priority="491" operator="equal">
      <formula>6</formula>
    </cfRule>
    <cfRule type="cellIs" dxfId="342" priority="492" operator="equal">
      <formula>5</formula>
    </cfRule>
    <cfRule type="cellIs" dxfId="341" priority="493" operator="equal">
      <formula>4</formula>
    </cfRule>
    <cfRule type="cellIs" dxfId="340" priority="494" operator="equal">
      <formula>3</formula>
    </cfRule>
    <cfRule type="cellIs" dxfId="339" priority="495" operator="equal">
      <formula>2</formula>
    </cfRule>
    <cfRule type="cellIs" dxfId="338" priority="496" operator="equal">
      <formula>1</formula>
    </cfRule>
  </conditionalFormatting>
  <conditionalFormatting sqref="C50">
    <cfRule type="cellIs" dxfId="337" priority="465" operator="equal">
      <formula>8</formula>
    </cfRule>
    <cfRule type="cellIs" dxfId="336" priority="466" operator="equal">
      <formula>7</formula>
    </cfRule>
    <cfRule type="cellIs" dxfId="335" priority="467" operator="equal">
      <formula>6</formula>
    </cfRule>
    <cfRule type="cellIs" dxfId="334" priority="468" operator="equal">
      <formula>5</formula>
    </cfRule>
    <cfRule type="cellIs" dxfId="333" priority="469" operator="equal">
      <formula>4</formula>
    </cfRule>
    <cfRule type="cellIs" dxfId="332" priority="470" operator="equal">
      <formula>3</formula>
    </cfRule>
    <cfRule type="cellIs" dxfId="331" priority="471" operator="equal">
      <formula>2</formula>
    </cfRule>
    <cfRule type="cellIs" dxfId="330" priority="472" operator="equal">
      <formula>1</formula>
    </cfRule>
  </conditionalFormatting>
  <conditionalFormatting sqref="D50">
    <cfRule type="cellIs" dxfId="329" priority="457" operator="equal">
      <formula>8</formula>
    </cfRule>
    <cfRule type="cellIs" dxfId="328" priority="458" operator="equal">
      <formula>7</formula>
    </cfRule>
    <cfRule type="cellIs" dxfId="327" priority="459" operator="equal">
      <formula>6</formula>
    </cfRule>
    <cfRule type="cellIs" dxfId="326" priority="460" operator="equal">
      <formula>5</formula>
    </cfRule>
    <cfRule type="cellIs" dxfId="325" priority="461" operator="equal">
      <formula>4</formula>
    </cfRule>
    <cfRule type="cellIs" dxfId="324" priority="462" operator="equal">
      <formula>3</formula>
    </cfRule>
    <cfRule type="cellIs" dxfId="323" priority="463" operator="equal">
      <formula>2</formula>
    </cfRule>
    <cfRule type="cellIs" dxfId="322" priority="464" operator="equal">
      <formula>1</formula>
    </cfRule>
  </conditionalFormatting>
  <conditionalFormatting sqref="E50:L50">
    <cfRule type="cellIs" dxfId="321" priority="449" operator="equal">
      <formula>8</formula>
    </cfRule>
    <cfRule type="cellIs" dxfId="320" priority="450" operator="equal">
      <formula>7</formula>
    </cfRule>
    <cfRule type="cellIs" dxfId="319" priority="451" operator="equal">
      <formula>6</formula>
    </cfRule>
    <cfRule type="cellIs" dxfId="318" priority="452" operator="equal">
      <formula>5</formula>
    </cfRule>
    <cfRule type="cellIs" dxfId="317" priority="453" operator="equal">
      <formula>4</formula>
    </cfRule>
    <cfRule type="cellIs" dxfId="316" priority="454" operator="equal">
      <formula>3</formula>
    </cfRule>
    <cfRule type="cellIs" dxfId="315" priority="455" operator="equal">
      <formula>2</formula>
    </cfRule>
    <cfRule type="cellIs" dxfId="314" priority="456" operator="equal">
      <formula>1</formula>
    </cfRule>
  </conditionalFormatting>
  <conditionalFormatting sqref="C51">
    <cfRule type="cellIs" dxfId="313" priority="425" operator="equal">
      <formula>8</formula>
    </cfRule>
    <cfRule type="cellIs" dxfId="312" priority="426" operator="equal">
      <formula>7</formula>
    </cfRule>
    <cfRule type="cellIs" dxfId="311" priority="427" operator="equal">
      <formula>6</formula>
    </cfRule>
    <cfRule type="cellIs" dxfId="310" priority="428" operator="equal">
      <formula>5</formula>
    </cfRule>
    <cfRule type="cellIs" dxfId="309" priority="429" operator="equal">
      <formula>4</formula>
    </cfRule>
    <cfRule type="cellIs" dxfId="308" priority="430" operator="equal">
      <formula>3</formula>
    </cfRule>
    <cfRule type="cellIs" dxfId="307" priority="431" operator="equal">
      <formula>2</formula>
    </cfRule>
    <cfRule type="cellIs" dxfId="306" priority="432" operator="equal">
      <formula>1</formula>
    </cfRule>
  </conditionalFormatting>
  <conditionalFormatting sqref="D51">
    <cfRule type="cellIs" dxfId="305" priority="417" operator="equal">
      <formula>8</formula>
    </cfRule>
    <cfRule type="cellIs" dxfId="304" priority="418" operator="equal">
      <formula>7</formula>
    </cfRule>
    <cfRule type="cellIs" dxfId="303" priority="419" operator="equal">
      <formula>6</formula>
    </cfRule>
    <cfRule type="cellIs" dxfId="302" priority="420" operator="equal">
      <formula>5</formula>
    </cfRule>
    <cfRule type="cellIs" dxfId="301" priority="421" operator="equal">
      <formula>4</formula>
    </cfRule>
    <cfRule type="cellIs" dxfId="300" priority="422" operator="equal">
      <formula>3</formula>
    </cfRule>
    <cfRule type="cellIs" dxfId="299" priority="423" operator="equal">
      <formula>2</formula>
    </cfRule>
    <cfRule type="cellIs" dxfId="298" priority="424" operator="equal">
      <formula>1</formula>
    </cfRule>
  </conditionalFormatting>
  <conditionalFormatting sqref="E51:L51">
    <cfRule type="cellIs" dxfId="297" priority="409" operator="equal">
      <formula>8</formula>
    </cfRule>
    <cfRule type="cellIs" dxfId="296" priority="410" operator="equal">
      <formula>7</formula>
    </cfRule>
    <cfRule type="cellIs" dxfId="295" priority="411" operator="equal">
      <formula>6</formula>
    </cfRule>
    <cfRule type="cellIs" dxfId="294" priority="412" operator="equal">
      <formula>5</formula>
    </cfRule>
    <cfRule type="cellIs" dxfId="293" priority="413" operator="equal">
      <formula>4</formula>
    </cfRule>
    <cfRule type="cellIs" dxfId="292" priority="414" operator="equal">
      <formula>3</formula>
    </cfRule>
    <cfRule type="cellIs" dxfId="291" priority="415" operator="equal">
      <formula>2</formula>
    </cfRule>
    <cfRule type="cellIs" dxfId="290" priority="416" operator="equal">
      <formula>1</formula>
    </cfRule>
  </conditionalFormatting>
  <conditionalFormatting sqref="C52">
    <cfRule type="cellIs" dxfId="289" priority="385" operator="equal">
      <formula>8</formula>
    </cfRule>
    <cfRule type="cellIs" dxfId="288" priority="386" operator="equal">
      <formula>7</formula>
    </cfRule>
    <cfRule type="cellIs" dxfId="287" priority="387" operator="equal">
      <formula>6</formula>
    </cfRule>
    <cfRule type="cellIs" dxfId="286" priority="388" operator="equal">
      <formula>5</formula>
    </cfRule>
    <cfRule type="cellIs" dxfId="285" priority="389" operator="equal">
      <formula>4</formula>
    </cfRule>
    <cfRule type="cellIs" dxfId="284" priority="390" operator="equal">
      <formula>3</formula>
    </cfRule>
    <cfRule type="cellIs" dxfId="283" priority="391" operator="equal">
      <formula>2</formula>
    </cfRule>
    <cfRule type="cellIs" dxfId="282" priority="392" operator="equal">
      <formula>1</formula>
    </cfRule>
  </conditionalFormatting>
  <conditionalFormatting sqref="D52">
    <cfRule type="cellIs" dxfId="281" priority="377" operator="equal">
      <formula>8</formula>
    </cfRule>
    <cfRule type="cellIs" dxfId="280" priority="378" operator="equal">
      <formula>7</formula>
    </cfRule>
    <cfRule type="cellIs" dxfId="279" priority="379" operator="equal">
      <formula>6</formula>
    </cfRule>
    <cfRule type="cellIs" dxfId="278" priority="380" operator="equal">
      <formula>5</formula>
    </cfRule>
    <cfRule type="cellIs" dxfId="277" priority="381" operator="equal">
      <formula>4</formula>
    </cfRule>
    <cfRule type="cellIs" dxfId="276" priority="382" operator="equal">
      <formula>3</formula>
    </cfRule>
    <cfRule type="cellIs" dxfId="275" priority="383" operator="equal">
      <formula>2</formula>
    </cfRule>
    <cfRule type="cellIs" dxfId="274" priority="384" operator="equal">
      <formula>1</formula>
    </cfRule>
  </conditionalFormatting>
  <conditionalFormatting sqref="E52:L52">
    <cfRule type="cellIs" dxfId="273" priority="369" operator="equal">
      <formula>8</formula>
    </cfRule>
    <cfRule type="cellIs" dxfId="272" priority="370" operator="equal">
      <formula>7</formula>
    </cfRule>
    <cfRule type="cellIs" dxfId="271" priority="371" operator="equal">
      <formula>6</formula>
    </cfRule>
    <cfRule type="cellIs" dxfId="270" priority="372" operator="equal">
      <formula>5</formula>
    </cfRule>
    <cfRule type="cellIs" dxfId="269" priority="373" operator="equal">
      <formula>4</formula>
    </cfRule>
    <cfRule type="cellIs" dxfId="268" priority="374" operator="equal">
      <formula>3</formula>
    </cfRule>
    <cfRule type="cellIs" dxfId="267" priority="375" operator="equal">
      <formula>2</formula>
    </cfRule>
    <cfRule type="cellIs" dxfId="266" priority="376" operator="equal">
      <formula>1</formula>
    </cfRule>
  </conditionalFormatting>
  <conditionalFormatting sqref="C53">
    <cfRule type="cellIs" dxfId="265" priority="345" operator="equal">
      <formula>8</formula>
    </cfRule>
    <cfRule type="cellIs" dxfId="264" priority="346" operator="equal">
      <formula>7</formula>
    </cfRule>
    <cfRule type="cellIs" dxfId="263" priority="347" operator="equal">
      <formula>6</formula>
    </cfRule>
    <cfRule type="cellIs" dxfId="262" priority="348" operator="equal">
      <formula>5</formula>
    </cfRule>
    <cfRule type="cellIs" dxfId="261" priority="349" operator="equal">
      <formula>4</formula>
    </cfRule>
    <cfRule type="cellIs" dxfId="260" priority="350" operator="equal">
      <formula>3</formula>
    </cfRule>
    <cfRule type="cellIs" dxfId="259" priority="351" operator="equal">
      <formula>2</formula>
    </cfRule>
    <cfRule type="cellIs" dxfId="258" priority="352" operator="equal">
      <formula>1</formula>
    </cfRule>
  </conditionalFormatting>
  <conditionalFormatting sqref="D53">
    <cfRule type="cellIs" dxfId="257" priority="337" operator="equal">
      <formula>8</formula>
    </cfRule>
    <cfRule type="cellIs" dxfId="256" priority="338" operator="equal">
      <formula>7</formula>
    </cfRule>
    <cfRule type="cellIs" dxfId="255" priority="339" operator="equal">
      <formula>6</formula>
    </cfRule>
    <cfRule type="cellIs" dxfId="254" priority="340" operator="equal">
      <formula>5</formula>
    </cfRule>
    <cfRule type="cellIs" dxfId="253" priority="341" operator="equal">
      <formula>4</formula>
    </cfRule>
    <cfRule type="cellIs" dxfId="252" priority="342" operator="equal">
      <formula>3</formula>
    </cfRule>
    <cfRule type="cellIs" dxfId="251" priority="343" operator="equal">
      <formula>2</formula>
    </cfRule>
    <cfRule type="cellIs" dxfId="250" priority="344" operator="equal">
      <formula>1</formula>
    </cfRule>
  </conditionalFormatting>
  <conditionalFormatting sqref="E53:L53">
    <cfRule type="cellIs" dxfId="249" priority="329" operator="equal">
      <formula>8</formula>
    </cfRule>
    <cfRule type="cellIs" dxfId="248" priority="330" operator="equal">
      <formula>7</formula>
    </cfRule>
    <cfRule type="cellIs" dxfId="247" priority="331" operator="equal">
      <formula>6</formula>
    </cfRule>
    <cfRule type="cellIs" dxfId="246" priority="332" operator="equal">
      <formula>5</formula>
    </cfRule>
    <cfRule type="cellIs" dxfId="245" priority="333" operator="equal">
      <formula>4</formula>
    </cfRule>
    <cfRule type="cellIs" dxfId="244" priority="334" operator="equal">
      <formula>3</formula>
    </cfRule>
    <cfRule type="cellIs" dxfId="243" priority="335" operator="equal">
      <formula>2</formula>
    </cfRule>
    <cfRule type="cellIs" dxfId="242" priority="336" operator="equal">
      <formula>1</formula>
    </cfRule>
  </conditionalFormatting>
  <conditionalFormatting sqref="C54">
    <cfRule type="cellIs" dxfId="241" priority="305" operator="equal">
      <formula>8</formula>
    </cfRule>
    <cfRule type="cellIs" dxfId="240" priority="306" operator="equal">
      <formula>7</formula>
    </cfRule>
    <cfRule type="cellIs" dxfId="239" priority="307" operator="equal">
      <formula>6</formula>
    </cfRule>
    <cfRule type="cellIs" dxfId="238" priority="308" operator="equal">
      <formula>5</formula>
    </cfRule>
    <cfRule type="cellIs" dxfId="237" priority="309" operator="equal">
      <formula>4</formula>
    </cfRule>
    <cfRule type="cellIs" dxfId="236" priority="310" operator="equal">
      <formula>3</formula>
    </cfRule>
    <cfRule type="cellIs" dxfId="235" priority="311" operator="equal">
      <formula>2</formula>
    </cfRule>
    <cfRule type="cellIs" dxfId="234" priority="312" operator="equal">
      <formula>1</formula>
    </cfRule>
  </conditionalFormatting>
  <conditionalFormatting sqref="D54">
    <cfRule type="cellIs" dxfId="233" priority="297" operator="equal">
      <formula>8</formula>
    </cfRule>
    <cfRule type="cellIs" dxfId="232" priority="298" operator="equal">
      <formula>7</formula>
    </cfRule>
    <cfRule type="cellIs" dxfId="231" priority="299" operator="equal">
      <formula>6</formula>
    </cfRule>
    <cfRule type="cellIs" dxfId="230" priority="300" operator="equal">
      <formula>5</formula>
    </cfRule>
    <cfRule type="cellIs" dxfId="229" priority="301" operator="equal">
      <formula>4</formula>
    </cfRule>
    <cfRule type="cellIs" dxfId="228" priority="302" operator="equal">
      <formula>3</formula>
    </cfRule>
    <cfRule type="cellIs" dxfId="227" priority="303" operator="equal">
      <formula>2</formula>
    </cfRule>
    <cfRule type="cellIs" dxfId="226" priority="304" operator="equal">
      <formula>1</formula>
    </cfRule>
  </conditionalFormatting>
  <conditionalFormatting sqref="E54:L54">
    <cfRule type="cellIs" dxfId="225" priority="289" operator="equal">
      <formula>8</formula>
    </cfRule>
    <cfRule type="cellIs" dxfId="224" priority="290" operator="equal">
      <formula>7</formula>
    </cfRule>
    <cfRule type="cellIs" dxfId="223" priority="291" operator="equal">
      <formula>6</formula>
    </cfRule>
    <cfRule type="cellIs" dxfId="222" priority="292" operator="equal">
      <formula>5</formula>
    </cfRule>
    <cfRule type="cellIs" dxfId="221" priority="293" operator="equal">
      <formula>4</formula>
    </cfRule>
    <cfRule type="cellIs" dxfId="220" priority="294" operator="equal">
      <formula>3</formula>
    </cfRule>
    <cfRule type="cellIs" dxfId="219" priority="295" operator="equal">
      <formula>2</formula>
    </cfRule>
    <cfRule type="cellIs" dxfId="218" priority="296" operator="equal">
      <formula>1</formula>
    </cfRule>
  </conditionalFormatting>
  <conditionalFormatting sqref="C55">
    <cfRule type="cellIs" dxfId="217" priority="265" operator="equal">
      <formula>8</formula>
    </cfRule>
    <cfRule type="cellIs" dxfId="216" priority="266" operator="equal">
      <formula>7</formula>
    </cfRule>
    <cfRule type="cellIs" dxfId="215" priority="267" operator="equal">
      <formula>6</formula>
    </cfRule>
    <cfRule type="cellIs" dxfId="214" priority="268" operator="equal">
      <formula>5</formula>
    </cfRule>
    <cfRule type="cellIs" dxfId="213" priority="269" operator="equal">
      <formula>4</formula>
    </cfRule>
    <cfRule type="cellIs" dxfId="212" priority="270" operator="equal">
      <formula>3</formula>
    </cfRule>
    <cfRule type="cellIs" dxfId="211" priority="271" operator="equal">
      <formula>2</formula>
    </cfRule>
    <cfRule type="cellIs" dxfId="210" priority="272" operator="equal">
      <formula>1</formula>
    </cfRule>
  </conditionalFormatting>
  <conditionalFormatting sqref="D55">
    <cfRule type="cellIs" dxfId="209" priority="257" operator="equal">
      <formula>8</formula>
    </cfRule>
    <cfRule type="cellIs" dxfId="208" priority="258" operator="equal">
      <formula>7</formula>
    </cfRule>
    <cfRule type="cellIs" dxfId="207" priority="259" operator="equal">
      <formula>6</formula>
    </cfRule>
    <cfRule type="cellIs" dxfId="206" priority="260" operator="equal">
      <formula>5</formula>
    </cfRule>
    <cfRule type="cellIs" dxfId="205" priority="261" operator="equal">
      <formula>4</formula>
    </cfRule>
    <cfRule type="cellIs" dxfId="204" priority="262" operator="equal">
      <formula>3</formula>
    </cfRule>
    <cfRule type="cellIs" dxfId="203" priority="263" operator="equal">
      <formula>2</formula>
    </cfRule>
    <cfRule type="cellIs" dxfId="202" priority="264" operator="equal">
      <formula>1</formula>
    </cfRule>
  </conditionalFormatting>
  <conditionalFormatting sqref="E55:L55">
    <cfRule type="cellIs" dxfId="201" priority="249" operator="equal">
      <formula>8</formula>
    </cfRule>
    <cfRule type="cellIs" dxfId="200" priority="250" operator="equal">
      <formula>7</formula>
    </cfRule>
    <cfRule type="cellIs" dxfId="199" priority="251" operator="equal">
      <formula>6</formula>
    </cfRule>
    <cfRule type="cellIs" dxfId="198" priority="252" operator="equal">
      <formula>5</formula>
    </cfRule>
    <cfRule type="cellIs" dxfId="197" priority="253" operator="equal">
      <formula>4</formula>
    </cfRule>
    <cfRule type="cellIs" dxfId="196" priority="254" operator="equal">
      <formula>3</formula>
    </cfRule>
    <cfRule type="cellIs" dxfId="195" priority="255" operator="equal">
      <formula>2</formula>
    </cfRule>
    <cfRule type="cellIs" dxfId="194" priority="256" operator="equal">
      <formula>1</formula>
    </cfRule>
  </conditionalFormatting>
  <conditionalFormatting sqref="C56">
    <cfRule type="cellIs" dxfId="193" priority="225" operator="equal">
      <formula>8</formula>
    </cfRule>
    <cfRule type="cellIs" dxfId="192" priority="226" operator="equal">
      <formula>7</formula>
    </cfRule>
    <cfRule type="cellIs" dxfId="191" priority="227" operator="equal">
      <formula>6</formula>
    </cfRule>
    <cfRule type="cellIs" dxfId="190" priority="228" operator="equal">
      <formula>5</formula>
    </cfRule>
    <cfRule type="cellIs" dxfId="189" priority="229" operator="equal">
      <formula>4</formula>
    </cfRule>
    <cfRule type="cellIs" dxfId="188" priority="230" operator="equal">
      <formula>3</formula>
    </cfRule>
    <cfRule type="cellIs" dxfId="187" priority="231" operator="equal">
      <formula>2</formula>
    </cfRule>
    <cfRule type="cellIs" dxfId="186" priority="232" operator="equal">
      <formula>1</formula>
    </cfRule>
  </conditionalFormatting>
  <conditionalFormatting sqref="D56">
    <cfRule type="cellIs" dxfId="185" priority="217" operator="equal">
      <formula>8</formula>
    </cfRule>
    <cfRule type="cellIs" dxfId="184" priority="218" operator="equal">
      <formula>7</formula>
    </cfRule>
    <cfRule type="cellIs" dxfId="183" priority="219" operator="equal">
      <formula>6</formula>
    </cfRule>
    <cfRule type="cellIs" dxfId="182" priority="220" operator="equal">
      <formula>5</formula>
    </cfRule>
    <cfRule type="cellIs" dxfId="181" priority="221" operator="equal">
      <formula>4</formula>
    </cfRule>
    <cfRule type="cellIs" dxfId="180" priority="222" operator="equal">
      <formula>3</formula>
    </cfRule>
    <cfRule type="cellIs" dxfId="179" priority="223" operator="equal">
      <formula>2</formula>
    </cfRule>
    <cfRule type="cellIs" dxfId="178" priority="224" operator="equal">
      <formula>1</formula>
    </cfRule>
  </conditionalFormatting>
  <conditionalFormatting sqref="E56:L56">
    <cfRule type="cellIs" dxfId="177" priority="209" operator="equal">
      <formula>8</formula>
    </cfRule>
    <cfRule type="cellIs" dxfId="176" priority="210" operator="equal">
      <formula>7</formula>
    </cfRule>
    <cfRule type="cellIs" dxfId="175" priority="211" operator="equal">
      <formula>6</formula>
    </cfRule>
    <cfRule type="cellIs" dxfId="174" priority="212" operator="equal">
      <formula>5</formula>
    </cfRule>
    <cfRule type="cellIs" dxfId="173" priority="213" operator="equal">
      <formula>4</formula>
    </cfRule>
    <cfRule type="cellIs" dxfId="172" priority="214" operator="equal">
      <formula>3</formula>
    </cfRule>
    <cfRule type="cellIs" dxfId="171" priority="215" operator="equal">
      <formula>2</formula>
    </cfRule>
    <cfRule type="cellIs" dxfId="170" priority="216" operator="equal">
      <formula>1</formula>
    </cfRule>
  </conditionalFormatting>
  <conditionalFormatting sqref="C57">
    <cfRule type="cellIs" dxfId="169" priority="185" operator="equal">
      <formula>8</formula>
    </cfRule>
    <cfRule type="cellIs" dxfId="168" priority="186" operator="equal">
      <formula>7</formula>
    </cfRule>
    <cfRule type="cellIs" dxfId="167" priority="187" operator="equal">
      <formula>6</formula>
    </cfRule>
    <cfRule type="cellIs" dxfId="166" priority="188" operator="equal">
      <formula>5</formula>
    </cfRule>
    <cfRule type="cellIs" dxfId="165" priority="189" operator="equal">
      <formula>4</formula>
    </cfRule>
    <cfRule type="cellIs" dxfId="164" priority="190" operator="equal">
      <formula>3</formula>
    </cfRule>
    <cfRule type="cellIs" dxfId="163" priority="191" operator="equal">
      <formula>2</formula>
    </cfRule>
    <cfRule type="cellIs" dxfId="162" priority="192" operator="equal">
      <formula>1</formula>
    </cfRule>
  </conditionalFormatting>
  <conditionalFormatting sqref="D57">
    <cfRule type="cellIs" dxfId="161" priority="177" operator="equal">
      <formula>8</formula>
    </cfRule>
    <cfRule type="cellIs" dxfId="160" priority="178" operator="equal">
      <formula>7</formula>
    </cfRule>
    <cfRule type="cellIs" dxfId="159" priority="179" operator="equal">
      <formula>6</formula>
    </cfRule>
    <cfRule type="cellIs" dxfId="158" priority="180" operator="equal">
      <formula>5</formula>
    </cfRule>
    <cfRule type="cellIs" dxfId="157" priority="181" operator="equal">
      <formula>4</formula>
    </cfRule>
    <cfRule type="cellIs" dxfId="156" priority="182" operator="equal">
      <formula>3</formula>
    </cfRule>
    <cfRule type="cellIs" dxfId="155" priority="183" operator="equal">
      <formula>2</formula>
    </cfRule>
    <cfRule type="cellIs" dxfId="154" priority="184" operator="equal">
      <formula>1</formula>
    </cfRule>
  </conditionalFormatting>
  <conditionalFormatting sqref="E57:L57">
    <cfRule type="cellIs" dxfId="153" priority="169" operator="equal">
      <formula>8</formula>
    </cfRule>
    <cfRule type="cellIs" dxfId="152" priority="170" operator="equal">
      <formula>7</formula>
    </cfRule>
    <cfRule type="cellIs" dxfId="151" priority="171" operator="equal">
      <formula>6</formula>
    </cfRule>
    <cfRule type="cellIs" dxfId="150" priority="172" operator="equal">
      <formula>5</formula>
    </cfRule>
    <cfRule type="cellIs" dxfId="149" priority="173" operator="equal">
      <formula>4</formula>
    </cfRule>
    <cfRule type="cellIs" dxfId="148" priority="174" operator="equal">
      <formula>3</formula>
    </cfRule>
    <cfRule type="cellIs" dxfId="147" priority="175" operator="equal">
      <formula>2</formula>
    </cfRule>
    <cfRule type="cellIs" dxfId="146" priority="176" operator="equal">
      <formula>1</formula>
    </cfRule>
  </conditionalFormatting>
  <conditionalFormatting sqref="V57">
    <cfRule type="cellIs" dxfId="145" priority="153" operator="equal">
      <formula>8</formula>
    </cfRule>
    <cfRule type="cellIs" dxfId="144" priority="154" operator="equal">
      <formula>7</formula>
    </cfRule>
    <cfRule type="cellIs" dxfId="143" priority="155" operator="equal">
      <formula>6</formula>
    </cfRule>
    <cfRule type="cellIs" dxfId="142" priority="156" operator="equal">
      <formula>5</formula>
    </cfRule>
    <cfRule type="cellIs" dxfId="141" priority="157" operator="equal">
      <formula>4</formula>
    </cfRule>
    <cfRule type="cellIs" dxfId="140" priority="158" operator="equal">
      <formula>3</formula>
    </cfRule>
    <cfRule type="cellIs" dxfId="139" priority="159" operator="equal">
      <formula>2</formula>
    </cfRule>
    <cfRule type="cellIs" dxfId="138" priority="160" operator="equal">
      <formula>1</formula>
    </cfRule>
  </conditionalFormatting>
  <conditionalFormatting sqref="C58">
    <cfRule type="cellIs" dxfId="137" priority="145" operator="equal">
      <formula>8</formula>
    </cfRule>
    <cfRule type="cellIs" dxfId="136" priority="146" operator="equal">
      <formula>7</formula>
    </cfRule>
    <cfRule type="cellIs" dxfId="135" priority="147" operator="equal">
      <formula>6</formula>
    </cfRule>
    <cfRule type="cellIs" dxfId="134" priority="148" operator="equal">
      <formula>5</formula>
    </cfRule>
    <cfRule type="cellIs" dxfId="133" priority="149" operator="equal">
      <formula>4</formula>
    </cfRule>
    <cfRule type="cellIs" dxfId="132" priority="150" operator="equal">
      <formula>3</formula>
    </cfRule>
    <cfRule type="cellIs" dxfId="131" priority="151" operator="equal">
      <formula>2</formula>
    </cfRule>
    <cfRule type="cellIs" dxfId="130" priority="152" operator="equal">
      <formula>1</formula>
    </cfRule>
  </conditionalFormatting>
  <conditionalFormatting sqref="D58">
    <cfRule type="cellIs" dxfId="129" priority="137" operator="equal">
      <formula>8</formula>
    </cfRule>
    <cfRule type="cellIs" dxfId="128" priority="138" operator="equal">
      <formula>7</formula>
    </cfRule>
    <cfRule type="cellIs" dxfId="127" priority="139" operator="equal">
      <formula>6</formula>
    </cfRule>
    <cfRule type="cellIs" dxfId="126" priority="140" operator="equal">
      <formula>5</formula>
    </cfRule>
    <cfRule type="cellIs" dxfId="125" priority="141" operator="equal">
      <formula>4</formula>
    </cfRule>
    <cfRule type="cellIs" dxfId="124" priority="142" operator="equal">
      <formula>3</formula>
    </cfRule>
    <cfRule type="cellIs" dxfId="123" priority="143" operator="equal">
      <formula>2</formula>
    </cfRule>
    <cfRule type="cellIs" dxfId="122" priority="144" operator="equal">
      <formula>1</formula>
    </cfRule>
  </conditionalFormatting>
  <conditionalFormatting sqref="E58:L58">
    <cfRule type="cellIs" dxfId="121" priority="129" operator="equal">
      <formula>8</formula>
    </cfRule>
    <cfRule type="cellIs" dxfId="120" priority="130" operator="equal">
      <formula>7</formula>
    </cfRule>
    <cfRule type="cellIs" dxfId="119" priority="131" operator="equal">
      <formula>6</formula>
    </cfRule>
    <cfRule type="cellIs" dxfId="118" priority="132" operator="equal">
      <formula>5</formula>
    </cfRule>
    <cfRule type="cellIs" dxfId="117" priority="133" operator="equal">
      <formula>4</formula>
    </cfRule>
    <cfRule type="cellIs" dxfId="116" priority="134" operator="equal">
      <formula>3</formula>
    </cfRule>
    <cfRule type="cellIs" dxfId="115" priority="135" operator="equal">
      <formula>2</formula>
    </cfRule>
    <cfRule type="cellIs" dxfId="114" priority="136" operator="equal">
      <formula>1</formula>
    </cfRule>
  </conditionalFormatting>
  <conditionalFormatting sqref="V58">
    <cfRule type="cellIs" dxfId="113" priority="113" operator="equal">
      <formula>8</formula>
    </cfRule>
    <cfRule type="cellIs" dxfId="112" priority="114" operator="equal">
      <formula>7</formula>
    </cfRule>
    <cfRule type="cellIs" dxfId="111" priority="115" operator="equal">
      <formula>6</formula>
    </cfRule>
    <cfRule type="cellIs" dxfId="110" priority="116" operator="equal">
      <formula>5</formula>
    </cfRule>
    <cfRule type="cellIs" dxfId="109" priority="117" operator="equal">
      <formula>4</formula>
    </cfRule>
    <cfRule type="cellIs" dxfId="108" priority="118" operator="equal">
      <formula>3</formula>
    </cfRule>
    <cfRule type="cellIs" dxfId="107" priority="119" operator="equal">
      <formula>2</formula>
    </cfRule>
    <cfRule type="cellIs" dxfId="106" priority="120" operator="equal">
      <formula>1</formula>
    </cfRule>
  </conditionalFormatting>
  <conditionalFormatting sqref="C59">
    <cfRule type="cellIs" dxfId="105" priority="105" operator="equal">
      <formula>8</formula>
    </cfRule>
    <cfRule type="cellIs" dxfId="104" priority="106" operator="equal">
      <formula>7</formula>
    </cfRule>
    <cfRule type="cellIs" dxfId="103" priority="107" operator="equal">
      <formula>6</formula>
    </cfRule>
    <cfRule type="cellIs" dxfId="102" priority="108" operator="equal">
      <formula>5</formula>
    </cfRule>
    <cfRule type="cellIs" dxfId="101" priority="109" operator="equal">
      <formula>4</formula>
    </cfRule>
    <cfRule type="cellIs" dxfId="100" priority="110" operator="equal">
      <formula>3</formula>
    </cfRule>
    <cfRule type="cellIs" dxfId="99" priority="111" operator="equal">
      <formula>2</formula>
    </cfRule>
    <cfRule type="cellIs" dxfId="98" priority="112" operator="equal">
      <formula>1</formula>
    </cfRule>
  </conditionalFormatting>
  <conditionalFormatting sqref="D59">
    <cfRule type="cellIs" dxfId="97" priority="97" operator="equal">
      <formula>8</formula>
    </cfRule>
    <cfRule type="cellIs" dxfId="96" priority="98" operator="equal">
      <formula>7</formula>
    </cfRule>
    <cfRule type="cellIs" dxfId="95" priority="99" operator="equal">
      <formula>6</formula>
    </cfRule>
    <cfRule type="cellIs" dxfId="94" priority="100" operator="equal">
      <formula>5</formula>
    </cfRule>
    <cfRule type="cellIs" dxfId="93" priority="101" operator="equal">
      <formula>4</formula>
    </cfRule>
    <cfRule type="cellIs" dxfId="92" priority="102" operator="equal">
      <formula>3</formula>
    </cfRule>
    <cfRule type="cellIs" dxfId="91" priority="103" operator="equal">
      <formula>2</formula>
    </cfRule>
    <cfRule type="cellIs" dxfId="90" priority="104" operator="equal">
      <formula>1</formula>
    </cfRule>
  </conditionalFormatting>
  <conditionalFormatting sqref="E59:L59">
    <cfRule type="cellIs" dxfId="89" priority="89" operator="equal">
      <formula>8</formula>
    </cfRule>
    <cfRule type="cellIs" dxfId="88" priority="90" operator="equal">
      <formula>7</formula>
    </cfRule>
    <cfRule type="cellIs" dxfId="87" priority="91" operator="equal">
      <formula>6</formula>
    </cfRule>
    <cfRule type="cellIs" dxfId="86" priority="92" operator="equal">
      <formula>5</formula>
    </cfRule>
    <cfRule type="cellIs" dxfId="85" priority="93" operator="equal">
      <formula>4</formula>
    </cfRule>
    <cfRule type="cellIs" dxfId="84" priority="94" operator="equal">
      <formula>3</formula>
    </cfRule>
    <cfRule type="cellIs" dxfId="83" priority="95" operator="equal">
      <formula>2</formula>
    </cfRule>
    <cfRule type="cellIs" dxfId="82" priority="96" operator="equal">
      <formula>1</formula>
    </cfRule>
  </conditionalFormatting>
  <conditionalFormatting sqref="M59:N59 Q59:U59">
    <cfRule type="cellIs" dxfId="81" priority="81" operator="equal">
      <formula>8</formula>
    </cfRule>
    <cfRule type="cellIs" dxfId="80" priority="82" operator="equal">
      <formula>7</formula>
    </cfRule>
    <cfRule type="cellIs" dxfId="79" priority="83" operator="equal">
      <formula>6</formula>
    </cfRule>
    <cfRule type="cellIs" dxfId="78" priority="84" operator="equal">
      <formula>5</formula>
    </cfRule>
    <cfRule type="cellIs" dxfId="77" priority="85" operator="equal">
      <formula>4</formula>
    </cfRule>
    <cfRule type="cellIs" dxfId="76" priority="86" operator="equal">
      <formula>3</formula>
    </cfRule>
    <cfRule type="cellIs" dxfId="75" priority="87" operator="equal">
      <formula>2</formula>
    </cfRule>
    <cfRule type="cellIs" dxfId="74" priority="88" operator="equal">
      <formula>1</formula>
    </cfRule>
  </conditionalFormatting>
  <conditionalFormatting sqref="V59">
    <cfRule type="cellIs" dxfId="73" priority="73" operator="equal">
      <formula>8</formula>
    </cfRule>
    <cfRule type="cellIs" dxfId="72" priority="74" operator="equal">
      <formula>7</formula>
    </cfRule>
    <cfRule type="cellIs" dxfId="71" priority="75" operator="equal">
      <formula>6</formula>
    </cfRule>
    <cfRule type="cellIs" dxfId="70" priority="76" operator="equal">
      <formula>5</formula>
    </cfRule>
    <cfRule type="cellIs" dxfId="69" priority="77" operator="equal">
      <formula>4</formula>
    </cfRule>
    <cfRule type="cellIs" dxfId="68" priority="78" operator="equal">
      <formula>3</formula>
    </cfRule>
    <cfRule type="cellIs" dxfId="67" priority="79" operator="equal">
      <formula>2</formula>
    </cfRule>
    <cfRule type="cellIs" dxfId="66" priority="80" operator="equal">
      <formula>1</formula>
    </cfRule>
  </conditionalFormatting>
  <conditionalFormatting sqref="O45:O52">
    <cfRule type="cellIs" dxfId="65" priority="9" operator="equal">
      <formula>8</formula>
    </cfRule>
    <cfRule type="cellIs" dxfId="64" priority="10" operator="equal">
      <formula>7</formula>
    </cfRule>
    <cfRule type="cellIs" dxfId="63" priority="11" operator="equal">
      <formula>6</formula>
    </cfRule>
    <cfRule type="cellIs" dxfId="62" priority="12" operator="equal">
      <formula>5</formula>
    </cfRule>
    <cfRule type="cellIs" dxfId="61" priority="13" operator="equal">
      <formula>4</formula>
    </cfRule>
    <cfRule type="cellIs" dxfId="60" priority="14" operator="equal">
      <formula>3</formula>
    </cfRule>
    <cfRule type="cellIs" dxfId="59" priority="15" operator="equal">
      <formula>2</formula>
    </cfRule>
    <cfRule type="cellIs" dxfId="58" priority="16" operator="equal">
      <formula>1</formula>
    </cfRule>
  </conditionalFormatting>
  <conditionalFormatting sqref="O53:O56">
    <cfRule type="cellIs" dxfId="57" priority="1" operator="equal">
      <formula>8</formula>
    </cfRule>
    <cfRule type="cellIs" dxfId="56" priority="2" operator="equal">
      <formula>7</formula>
    </cfRule>
    <cfRule type="cellIs" dxfId="55" priority="3" operator="equal">
      <formula>6</formula>
    </cfRule>
    <cfRule type="cellIs" dxfId="54" priority="4" operator="equal">
      <formula>5</formula>
    </cfRule>
    <cfRule type="cellIs" dxfId="53" priority="5" operator="equal">
      <formula>4</formula>
    </cfRule>
    <cfRule type="cellIs" dxfId="52" priority="6" operator="equal">
      <formula>3</formula>
    </cfRule>
    <cfRule type="cellIs" dxfId="51" priority="7" operator="equal">
      <formula>2</formula>
    </cfRule>
    <cfRule type="cellIs" dxfId="50" priority="8" operator="equal">
      <formula>1</formula>
    </cfRule>
  </conditionalFormatting>
  <conditionalFormatting sqref="O40:O44 O57:O58">
    <cfRule type="cellIs" dxfId="49" priority="49" operator="equal">
      <formula>8</formula>
    </cfRule>
    <cfRule type="cellIs" dxfId="48" priority="50" operator="equal">
      <formula>7</formula>
    </cfRule>
    <cfRule type="cellIs" dxfId="47" priority="51" operator="equal">
      <formula>6</formula>
    </cfRule>
    <cfRule type="cellIs" dxfId="46" priority="52" operator="equal">
      <formula>5</formula>
    </cfRule>
    <cfRule type="cellIs" dxfId="45" priority="53" operator="equal">
      <formula>4</formula>
    </cfRule>
    <cfRule type="cellIs" dxfId="44" priority="54" operator="equal">
      <formula>3</formula>
    </cfRule>
    <cfRule type="cellIs" dxfId="43" priority="55" operator="equal">
      <formula>2</formula>
    </cfRule>
    <cfRule type="cellIs" dxfId="42" priority="56" operator="equal">
      <formula>1</formula>
    </cfRule>
  </conditionalFormatting>
  <conditionalFormatting sqref="O59">
    <cfRule type="cellIs" dxfId="41" priority="41" operator="equal">
      <formula>8</formula>
    </cfRule>
    <cfRule type="cellIs" dxfId="40" priority="42" operator="equal">
      <formula>7</formula>
    </cfRule>
    <cfRule type="cellIs" dxfId="39" priority="43" operator="equal">
      <formula>6</formula>
    </cfRule>
    <cfRule type="cellIs" dxfId="38" priority="44" operator="equal">
      <formula>5</formula>
    </cfRule>
    <cfRule type="cellIs" dxfId="37" priority="45" operator="equal">
      <formula>4</formula>
    </cfRule>
    <cfRule type="cellIs" dxfId="36" priority="46" operator="equal">
      <formula>3</formula>
    </cfRule>
    <cfRule type="cellIs" dxfId="35" priority="47" operator="equal">
      <formula>2</formula>
    </cfRule>
    <cfRule type="cellIs" dxfId="34" priority="48" operator="equal">
      <formula>1</formula>
    </cfRule>
  </conditionalFormatting>
  <conditionalFormatting sqref="P40:P43 P54:P58">
    <cfRule type="cellIs" dxfId="33" priority="33" operator="equal">
      <formula>8</formula>
    </cfRule>
    <cfRule type="cellIs" dxfId="32" priority="34" operator="equal">
      <formula>7</formula>
    </cfRule>
    <cfRule type="cellIs" dxfId="31" priority="35" operator="equal">
      <formula>6</formula>
    </cfRule>
    <cfRule type="cellIs" dxfId="30" priority="36" operator="equal">
      <formula>5</formula>
    </cfRule>
    <cfRule type="cellIs" dxfId="29" priority="37" operator="equal">
      <formula>4</formula>
    </cfRule>
    <cfRule type="cellIs" dxfId="28" priority="38" operator="equal">
      <formula>3</formula>
    </cfRule>
    <cfRule type="cellIs" dxfId="27" priority="39" operator="equal">
      <formula>2</formula>
    </cfRule>
    <cfRule type="cellIs" dxfId="26" priority="40" operator="equal">
      <formula>1</formula>
    </cfRule>
  </conditionalFormatting>
  <conditionalFormatting sqref="P59">
    <cfRule type="cellIs" dxfId="25" priority="25" operator="equal">
      <formula>8</formula>
    </cfRule>
    <cfRule type="cellIs" dxfId="24" priority="26" operator="equal">
      <formula>7</formula>
    </cfRule>
    <cfRule type="cellIs" dxfId="23" priority="27" operator="equal">
      <formula>6</formula>
    </cfRule>
    <cfRule type="cellIs" dxfId="22" priority="28" operator="equal">
      <formula>5</formula>
    </cfRule>
    <cfRule type="cellIs" dxfId="21" priority="29" operator="equal">
      <formula>4</formula>
    </cfRule>
    <cfRule type="cellIs" dxfId="20" priority="30" operator="equal">
      <formula>3</formula>
    </cfRule>
    <cfRule type="cellIs" dxfId="19" priority="31" operator="equal">
      <formula>2</formula>
    </cfRule>
    <cfRule type="cellIs" dxfId="18" priority="32" operator="equal">
      <formula>1</formula>
    </cfRule>
  </conditionalFormatting>
  <conditionalFormatting sqref="P44:P53">
    <cfRule type="cellIs" dxfId="17" priority="17" operator="equal">
      <formula>8</formula>
    </cfRule>
    <cfRule type="cellIs" dxfId="16" priority="18" operator="equal">
      <formula>7</formula>
    </cfRule>
    <cfRule type="cellIs" dxfId="15" priority="19" operator="equal">
      <formula>6</formula>
    </cfRule>
    <cfRule type="cellIs" dxfId="14" priority="20" operator="equal">
      <formula>5</formula>
    </cfRule>
    <cfRule type="cellIs" dxfId="13" priority="21" operator="equal">
      <formula>4</formula>
    </cfRule>
    <cfRule type="cellIs" dxfId="12" priority="22" operator="equal">
      <formula>3</formula>
    </cfRule>
    <cfRule type="cellIs" dxfId="11" priority="23" operator="equal">
      <formula>2</formula>
    </cfRule>
    <cfRule type="cellIs" dxfId="10" priority="24" operator="equal">
      <formula>1</formula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Análisis Previo</vt:lpstr>
      <vt:lpstr>Público Objetivo</vt:lpstr>
      <vt:lpstr>Cluster 3</vt:lpstr>
      <vt:lpstr>Cluster 4</vt:lpstr>
      <vt:lpstr>Cluster 10</vt:lpstr>
      <vt:lpstr>Cluster 11 y Correlación Seg</vt:lpstr>
      <vt:lpstr>Segmento</vt:lpstr>
      <vt:lpstr>Evaluación</vt:lpstr>
      <vt:lpstr>Perfil</vt:lpstr>
      <vt:lpstr>Kohonen Mapa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p022923</dc:creator>
  <cp:lastModifiedBy>Full name</cp:lastModifiedBy>
  <dcterms:created xsi:type="dcterms:W3CDTF">2016-07-01T21:01:07Z</dcterms:created>
  <dcterms:modified xsi:type="dcterms:W3CDTF">2020-12-19T22:21:48Z</dcterms:modified>
</cp:coreProperties>
</file>