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08784261f2460/DMC/DMC DIP_DS19_EST DESCRIPTIVA _ENERO2026/DMC_DIP_DS19_S02/"/>
    </mc:Choice>
  </mc:AlternateContent>
  <xr:revisionPtr revIDLastSave="155" documentId="8_{8402BE35-9FBC-4FAC-9544-EF3CADBAF373}" xr6:coauthVersionLast="47" xr6:coauthVersionMax="47" xr10:uidLastSave="{BA30913A-3F99-4586-8378-A2AB46F76A2D}"/>
  <bookViews>
    <workbookView xWindow="20370" yWindow="-120" windowWidth="29040" windowHeight="15840" activeTab="1" xr2:uid="{51C1A7D0-6779-412F-972C-EE4782AAA639}"/>
  </bookViews>
  <sheets>
    <sheet name="Empresa_Descripción" sheetId="7" r:id="rId1"/>
    <sheet name="1ra_Muestra_empleados" sheetId="1" r:id="rId2"/>
    <sheet name="2da Muestra_56_empleados" sheetId="14" r:id="rId3"/>
    <sheet name="3raMuestra_Diseño Muestral" sheetId="11" r:id="rId4"/>
    <sheet name="3ra_muestra_Data_ope" sheetId="12" r:id="rId5"/>
    <sheet name="3ra muestra_Data_tec" sheetId="13" r:id="rId6"/>
  </sheets>
  <definedNames>
    <definedName name="_xlnm._FilterDatabase" localSheetId="1" hidden="1">'1ra_Muestra_empleados'!$A$1:$F$31</definedName>
    <definedName name="_xlnm._FilterDatabase" localSheetId="2" hidden="1">'2da Muestra_56_empleados'!$A$1:$H$57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3" i="12" l="1"/>
  <c r="B62" i="12"/>
  <c r="B33" i="13"/>
  <c r="B32" i="13"/>
  <c r="B60" i="12"/>
  <c r="B59" i="12"/>
  <c r="B58" i="12"/>
  <c r="B34" i="13" l="1"/>
  <c r="I11" i="11" l="1"/>
  <c r="F25" i="14"/>
  <c r="F26" i="14"/>
  <c r="F27" i="14"/>
  <c r="F28" i="14"/>
  <c r="F29" i="14"/>
  <c r="F30" i="14"/>
  <c r="F31" i="14"/>
  <c r="F32" i="14"/>
  <c r="J11" i="11" l="1"/>
  <c r="K11" i="11"/>
  <c r="L11" i="11"/>
  <c r="F23" i="13"/>
</calcChain>
</file>

<file path=xl/sharedStrings.xml><?xml version="1.0" encoding="utf-8"?>
<sst xmlns="http://schemas.openxmlformats.org/spreadsheetml/2006/main" count="120" uniqueCount="47">
  <si>
    <t>ID</t>
  </si>
  <si>
    <t>Dicha área está buscando identificar la relación que existe entre el salario actual de su personal y otras características como la antigüedad de la persona en la empresa, la experiencia laboral en el área específica, entre otras.</t>
  </si>
  <si>
    <t>Con los hallazgos, la gerencia general busca desarrollar una política de sueldos para sus nuevos colaboradores y desarrolar junto al área de RRHH una política de salarios según el puesto a contratar y según méritorcracia.</t>
  </si>
  <si>
    <t>Caso práctico.-</t>
  </si>
  <si>
    <t>La cantidad de trabajadores del área de producción es de 280 personas, incluyendo a los operarios, supervisores, jefes y sub gerentes. La empresa cuenta con 320 empleados en total.</t>
  </si>
  <si>
    <t>N=</t>
  </si>
  <si>
    <t>Luego de analizar la muestra inicial de 30 trabajadores del área de producción, se le ha contratado a usted para que confirme los resultados obtenidos o sugiera alguna mejora antes de llevar</t>
  </si>
  <si>
    <t>Salario</t>
  </si>
  <si>
    <t>X1</t>
  </si>
  <si>
    <t>X2</t>
  </si>
  <si>
    <t>X3</t>
  </si>
  <si>
    <t>X4</t>
  </si>
  <si>
    <t>X5</t>
  </si>
  <si>
    <t>DISEÑO MUESTRAL</t>
  </si>
  <si>
    <t>Muestreo estratficado:</t>
  </si>
  <si>
    <t>Estrato 1 =</t>
  </si>
  <si>
    <t>Estrato 2 =</t>
  </si>
  <si>
    <t>Estrato 3 =</t>
  </si>
  <si>
    <t>Operarios</t>
  </si>
  <si>
    <t>Técnicos</t>
  </si>
  <si>
    <t>Jefes y Supervisores</t>
  </si>
  <si>
    <t>Estrato 4=</t>
  </si>
  <si>
    <t>Plana gerencial, sub gerentes.</t>
  </si>
  <si>
    <t>Otros = personal administrativo no decisor</t>
  </si>
  <si>
    <t>Total</t>
  </si>
  <si>
    <t>Turno 01</t>
  </si>
  <si>
    <t>Turno 02</t>
  </si>
  <si>
    <t>Turno 03</t>
  </si>
  <si>
    <t>TAMAÑO MUESTRAL</t>
  </si>
  <si>
    <t>Operario</t>
  </si>
  <si>
    <t>Técnico</t>
  </si>
  <si>
    <t>X2_ExpLab</t>
  </si>
  <si>
    <t>X1_EstAnios</t>
  </si>
  <si>
    <t>X3_Edad</t>
  </si>
  <si>
    <t>X4_AntAnios</t>
  </si>
  <si>
    <t>Y_SalMes</t>
  </si>
  <si>
    <t>X5_Cargo</t>
  </si>
  <si>
    <t>X5_CargoRec</t>
  </si>
  <si>
    <r>
      <t xml:space="preserve">El área de RRHH de la empresa MANUFACTURAS SA ha seleccionado aleatoriamente a 30 personas del </t>
    </r>
    <r>
      <rPr>
        <sz val="11"/>
        <color rgb="FFFF0000"/>
        <rFont val="Calibri"/>
        <family val="2"/>
        <scheme val="minor"/>
      </rPr>
      <t>área de producción (se encuentran personal operario, personal técnico, jefe de área, y supervisores)</t>
    </r>
  </si>
  <si>
    <t>X1d_EstAnios</t>
  </si>
  <si>
    <t>X2d_ExpLab</t>
  </si>
  <si>
    <t>X3d_Edad</t>
  </si>
  <si>
    <t>X4d_AntAnios</t>
  </si>
  <si>
    <t>dichos números a la junta de directorio con los inversionistas, donde se tomará la decisión de abrir una nueva planta de producción con una inversión de USD 200 millones, de los cuales el 45% representa el gasto en planilla para los primeros 12 meses de operación.</t>
  </si>
  <si>
    <t>CV</t>
  </si>
  <si>
    <t>CORR_Ysalario y Estudios</t>
  </si>
  <si>
    <t>CORR_Ysalario y explaboral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</si>
</sst>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S/&quot;\ #,##0.00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7" fillId="5" borderId="1" xfId="0" applyNumberFormat="1" applyFont="1" applyFill="1" applyBorder="1"/>
    <xf numFmtId="0" fontId="7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9" fontId="0" fillId="0" borderId="0" xfId="2" applyFont="1"/>
    <xf numFmtId="164" fontId="6" fillId="10" borderId="1" xfId="0" applyNumberFormat="1" applyFont="1" applyFill="1" applyBorder="1"/>
    <xf numFmtId="9" fontId="7" fillId="0" borderId="0" xfId="2" applyFont="1"/>
    <xf numFmtId="165" fontId="7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A5A9-4C49-4985-B2F1-2B4E0C42BBB0}">
  <dimension ref="B3:B11"/>
  <sheetViews>
    <sheetView zoomScale="160" zoomScaleNormal="160" workbookViewId="0">
      <selection activeCell="F8" sqref="F8"/>
    </sheetView>
  </sheetViews>
  <sheetFormatPr baseColWidth="10" defaultRowHeight="15" x14ac:dyDescent="0.25"/>
  <cols>
    <col min="1" max="1" width="6.85546875" customWidth="1"/>
  </cols>
  <sheetData>
    <row r="3" spans="2:2" ht="23.25" x14ac:dyDescent="0.35">
      <c r="B3" s="3" t="s">
        <v>3</v>
      </c>
    </row>
    <row r="5" spans="2:2" x14ac:dyDescent="0.25">
      <c r="B5" t="s">
        <v>38</v>
      </c>
    </row>
    <row r="6" spans="2:2" x14ac:dyDescent="0.25">
      <c r="B6" t="s">
        <v>1</v>
      </c>
    </row>
    <row r="7" spans="2:2" x14ac:dyDescent="0.25">
      <c r="B7" t="s">
        <v>2</v>
      </c>
    </row>
    <row r="8" spans="2:2" x14ac:dyDescent="0.25">
      <c r="B8" t="s">
        <v>4</v>
      </c>
    </row>
    <row r="10" spans="2:2" x14ac:dyDescent="0.25">
      <c r="B10" t="s">
        <v>6</v>
      </c>
    </row>
    <row r="11" spans="2:2" x14ac:dyDescent="0.25">
      <c r="B1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55A7-DBB7-4CFA-B615-AB4E7D4D3FBA}">
  <dimension ref="A1:J31"/>
  <sheetViews>
    <sheetView tabSelected="1" zoomScale="140" zoomScaleNormal="140" workbookViewId="0">
      <selection activeCell="D7" sqref="D7"/>
    </sheetView>
  </sheetViews>
  <sheetFormatPr baseColWidth="10" defaultRowHeight="15" x14ac:dyDescent="0.25"/>
  <cols>
    <col min="1" max="1" width="13" customWidth="1"/>
    <col min="2" max="2" width="20.28515625" customWidth="1"/>
    <col min="3" max="3" width="15.140625" style="2" customWidth="1"/>
    <col min="4" max="4" width="17.85546875" style="2" customWidth="1"/>
    <col min="5" max="5" width="15.7109375" style="2" customWidth="1"/>
    <col min="6" max="6" width="14.140625" style="2" customWidth="1"/>
    <col min="7" max="10" width="10.140625" style="2" customWidth="1"/>
  </cols>
  <sheetData>
    <row r="1" spans="1:10" s="1" customFormat="1" ht="18.75" customHeight="1" x14ac:dyDescent="0.25">
      <c r="A1" s="18" t="s">
        <v>0</v>
      </c>
      <c r="B1" s="18" t="s">
        <v>35</v>
      </c>
      <c r="C1" s="19" t="s">
        <v>39</v>
      </c>
      <c r="D1" s="19" t="s">
        <v>40</v>
      </c>
      <c r="E1" s="19" t="s">
        <v>41</v>
      </c>
      <c r="F1" s="19" t="s">
        <v>42</v>
      </c>
      <c r="G1" s="18" t="s">
        <v>32</v>
      </c>
      <c r="H1" s="18" t="s">
        <v>31</v>
      </c>
      <c r="I1" s="18" t="s">
        <v>33</v>
      </c>
      <c r="J1" s="18" t="s">
        <v>34</v>
      </c>
    </row>
    <row r="2" spans="1:10" x14ac:dyDescent="0.25">
      <c r="A2" s="6">
        <v>15</v>
      </c>
      <c r="B2" s="7">
        <v>1000</v>
      </c>
      <c r="C2" s="21">
        <v>9</v>
      </c>
      <c r="D2" s="21">
        <v>5</v>
      </c>
      <c r="E2" s="21">
        <v>28</v>
      </c>
      <c r="F2" s="21">
        <v>5</v>
      </c>
      <c r="G2" s="8">
        <v>9</v>
      </c>
      <c r="H2" s="8">
        <v>5</v>
      </c>
      <c r="I2" s="20"/>
      <c r="J2" s="8">
        <v>5</v>
      </c>
    </row>
    <row r="3" spans="1:10" x14ac:dyDescent="0.25">
      <c r="A3" s="6">
        <v>8</v>
      </c>
      <c r="B3" s="7">
        <v>1050</v>
      </c>
      <c r="C3" s="21">
        <v>6</v>
      </c>
      <c r="D3" s="21">
        <v>3</v>
      </c>
      <c r="E3" s="21">
        <v>23</v>
      </c>
      <c r="F3" s="21">
        <v>6</v>
      </c>
      <c r="G3" s="8">
        <v>6</v>
      </c>
      <c r="H3" s="8">
        <v>3</v>
      </c>
      <c r="I3" s="8">
        <v>23</v>
      </c>
      <c r="J3" s="8">
        <v>6</v>
      </c>
    </row>
    <row r="4" spans="1:10" x14ac:dyDescent="0.25">
      <c r="A4" s="6">
        <v>2</v>
      </c>
      <c r="B4" s="7">
        <v>1200</v>
      </c>
      <c r="C4" s="21">
        <v>8</v>
      </c>
      <c r="D4" s="21">
        <v>6</v>
      </c>
      <c r="E4" s="21">
        <v>36</v>
      </c>
      <c r="F4" s="21">
        <v>3</v>
      </c>
      <c r="G4" s="8">
        <v>8</v>
      </c>
      <c r="H4" s="8">
        <v>6</v>
      </c>
      <c r="I4" s="8">
        <v>36</v>
      </c>
      <c r="J4" s="8">
        <v>3</v>
      </c>
    </row>
    <row r="5" spans="1:10" x14ac:dyDescent="0.25">
      <c r="A5" s="6">
        <v>25</v>
      </c>
      <c r="B5" s="7">
        <v>1320</v>
      </c>
      <c r="C5" s="21">
        <v>7</v>
      </c>
      <c r="D5" s="21">
        <v>4</v>
      </c>
      <c r="E5" s="21">
        <v>25</v>
      </c>
      <c r="F5" s="21">
        <v>4</v>
      </c>
      <c r="G5" s="8">
        <v>7</v>
      </c>
      <c r="H5" s="8">
        <v>4</v>
      </c>
      <c r="I5" s="8">
        <v>25</v>
      </c>
      <c r="J5" s="8">
        <v>4</v>
      </c>
    </row>
    <row r="6" spans="1:10" x14ac:dyDescent="0.25">
      <c r="A6" s="6">
        <v>26</v>
      </c>
      <c r="B6" s="7">
        <v>1458</v>
      </c>
      <c r="C6" s="21">
        <v>6</v>
      </c>
      <c r="D6" s="21">
        <v>3</v>
      </c>
      <c r="E6" s="21">
        <v>22</v>
      </c>
      <c r="F6" s="21">
        <v>7</v>
      </c>
      <c r="G6" s="8">
        <v>6</v>
      </c>
      <c r="H6" s="8">
        <v>3</v>
      </c>
      <c r="I6" s="8">
        <v>22</v>
      </c>
      <c r="J6" s="8">
        <v>7</v>
      </c>
    </row>
    <row r="7" spans="1:10" x14ac:dyDescent="0.25">
      <c r="A7" s="6">
        <v>7</v>
      </c>
      <c r="B7" s="7">
        <v>1500</v>
      </c>
      <c r="C7" s="21">
        <v>9</v>
      </c>
      <c r="D7" s="21">
        <v>5</v>
      </c>
      <c r="E7" s="21">
        <v>23</v>
      </c>
      <c r="F7" s="21">
        <v>5</v>
      </c>
      <c r="G7" s="8">
        <v>9</v>
      </c>
      <c r="H7" s="20"/>
      <c r="I7" s="20"/>
      <c r="J7" s="8">
        <v>5</v>
      </c>
    </row>
    <row r="8" spans="1:10" x14ac:dyDescent="0.25">
      <c r="A8" s="6">
        <v>12</v>
      </c>
      <c r="B8" s="7">
        <v>1600</v>
      </c>
      <c r="C8" s="21">
        <v>10</v>
      </c>
      <c r="D8" s="21">
        <v>4</v>
      </c>
      <c r="E8" s="21">
        <v>25</v>
      </c>
      <c r="F8" s="21">
        <v>2</v>
      </c>
      <c r="G8" s="20"/>
      <c r="H8" s="8">
        <v>4</v>
      </c>
      <c r="I8" s="8">
        <v>25</v>
      </c>
      <c r="J8" s="8">
        <v>2</v>
      </c>
    </row>
    <row r="9" spans="1:10" x14ac:dyDescent="0.25">
      <c r="A9" s="6">
        <v>27</v>
      </c>
      <c r="B9" s="7">
        <v>1600</v>
      </c>
      <c r="C9" s="21">
        <v>10</v>
      </c>
      <c r="D9" s="21">
        <v>2</v>
      </c>
      <c r="E9" s="21">
        <v>26</v>
      </c>
      <c r="F9" s="21">
        <v>3</v>
      </c>
      <c r="G9" s="8">
        <v>10</v>
      </c>
      <c r="H9" s="20"/>
      <c r="I9" s="8">
        <v>26</v>
      </c>
      <c r="J9" s="8">
        <v>3</v>
      </c>
    </row>
    <row r="10" spans="1:10" x14ac:dyDescent="0.25">
      <c r="A10" s="6">
        <v>21</v>
      </c>
      <c r="B10" s="7">
        <v>1650</v>
      </c>
      <c r="C10" s="21">
        <v>9</v>
      </c>
      <c r="D10" s="21">
        <v>4</v>
      </c>
      <c r="E10" s="21">
        <v>21</v>
      </c>
      <c r="F10" s="21">
        <v>6</v>
      </c>
      <c r="G10" s="8">
        <v>9</v>
      </c>
      <c r="H10" s="8">
        <v>4</v>
      </c>
      <c r="I10" s="8">
        <v>21</v>
      </c>
      <c r="J10" s="8">
        <v>6</v>
      </c>
    </row>
    <row r="11" spans="1:10" x14ac:dyDescent="0.25">
      <c r="A11" s="6">
        <v>14</v>
      </c>
      <c r="B11" s="7">
        <v>2000</v>
      </c>
      <c r="C11" s="21">
        <v>11</v>
      </c>
      <c r="D11" s="21">
        <v>6</v>
      </c>
      <c r="E11" s="21">
        <v>40</v>
      </c>
      <c r="F11" s="21">
        <v>4</v>
      </c>
      <c r="G11" s="8">
        <v>11</v>
      </c>
      <c r="H11" s="8">
        <v>6</v>
      </c>
      <c r="I11" s="8">
        <v>40</v>
      </c>
      <c r="J11" s="8">
        <v>4</v>
      </c>
    </row>
    <row r="12" spans="1:10" x14ac:dyDescent="0.25">
      <c r="A12" s="6">
        <v>9</v>
      </c>
      <c r="B12" s="7">
        <v>2020</v>
      </c>
      <c r="C12" s="21">
        <v>12</v>
      </c>
      <c r="D12" s="21">
        <v>8</v>
      </c>
      <c r="E12" s="21">
        <v>28</v>
      </c>
      <c r="F12" s="21">
        <v>5</v>
      </c>
      <c r="G12" s="8">
        <v>12</v>
      </c>
      <c r="H12" s="8">
        <v>8</v>
      </c>
      <c r="I12" s="20"/>
      <c r="J12" s="8">
        <v>5</v>
      </c>
    </row>
    <row r="13" spans="1:10" x14ac:dyDescent="0.25">
      <c r="A13" s="6">
        <v>30</v>
      </c>
      <c r="B13" s="7">
        <v>2200</v>
      </c>
      <c r="C13" s="21">
        <v>12</v>
      </c>
      <c r="D13" s="21">
        <v>9</v>
      </c>
      <c r="E13" s="21">
        <v>26</v>
      </c>
      <c r="F13" s="21">
        <v>2</v>
      </c>
      <c r="G13" s="8">
        <v>12</v>
      </c>
      <c r="H13" s="8">
        <v>9</v>
      </c>
      <c r="I13" s="8">
        <v>26</v>
      </c>
      <c r="J13" s="8">
        <v>2</v>
      </c>
    </row>
    <row r="14" spans="1:10" x14ac:dyDescent="0.25">
      <c r="A14" s="6">
        <v>29</v>
      </c>
      <c r="B14" s="7">
        <v>2300</v>
      </c>
      <c r="C14" s="21">
        <v>12</v>
      </c>
      <c r="D14" s="21">
        <v>4</v>
      </c>
      <c r="E14" s="21">
        <v>24</v>
      </c>
      <c r="F14" s="21">
        <v>3</v>
      </c>
      <c r="G14" s="8">
        <v>12</v>
      </c>
      <c r="H14" s="8">
        <v>4</v>
      </c>
      <c r="I14" s="8">
        <v>24</v>
      </c>
      <c r="J14" s="8">
        <v>3</v>
      </c>
    </row>
    <row r="15" spans="1:10" x14ac:dyDescent="0.25">
      <c r="A15" s="6">
        <v>1</v>
      </c>
      <c r="B15" s="7">
        <v>2500</v>
      </c>
      <c r="C15" s="21">
        <v>11</v>
      </c>
      <c r="D15" s="21">
        <v>5</v>
      </c>
      <c r="E15" s="21">
        <v>26</v>
      </c>
      <c r="F15" s="21">
        <v>5</v>
      </c>
      <c r="G15" s="8">
        <v>11</v>
      </c>
      <c r="H15" s="8">
        <v>5</v>
      </c>
      <c r="I15" s="8">
        <v>26</v>
      </c>
      <c r="J15" s="8">
        <v>5</v>
      </c>
    </row>
    <row r="16" spans="1:10" x14ac:dyDescent="0.25">
      <c r="A16" s="6">
        <v>4</v>
      </c>
      <c r="B16" s="7">
        <v>2590</v>
      </c>
      <c r="C16" s="21">
        <v>13</v>
      </c>
      <c r="D16" s="21">
        <v>5</v>
      </c>
      <c r="E16" s="21">
        <v>27</v>
      </c>
      <c r="F16" s="21">
        <v>4</v>
      </c>
      <c r="G16" s="8">
        <v>13</v>
      </c>
      <c r="H16" s="8">
        <v>5</v>
      </c>
      <c r="I16" s="8">
        <v>27</v>
      </c>
      <c r="J16" s="8">
        <v>4</v>
      </c>
    </row>
    <row r="17" spans="1:10" x14ac:dyDescent="0.25">
      <c r="A17" s="6">
        <v>13</v>
      </c>
      <c r="B17" s="7">
        <v>3000</v>
      </c>
      <c r="C17" s="21">
        <v>15</v>
      </c>
      <c r="D17" s="21">
        <v>6</v>
      </c>
      <c r="E17" s="21">
        <v>30</v>
      </c>
      <c r="F17" s="21">
        <v>6</v>
      </c>
      <c r="G17" s="8">
        <v>15</v>
      </c>
      <c r="H17" s="8">
        <v>6</v>
      </c>
      <c r="I17" s="20"/>
      <c r="J17" s="8">
        <v>6</v>
      </c>
    </row>
    <row r="18" spans="1:10" x14ac:dyDescent="0.25">
      <c r="A18" s="6">
        <v>16</v>
      </c>
      <c r="B18" s="7">
        <v>3000</v>
      </c>
      <c r="C18" s="21">
        <v>14</v>
      </c>
      <c r="D18" s="21">
        <v>8</v>
      </c>
      <c r="E18" s="21">
        <v>26</v>
      </c>
      <c r="F18" s="21">
        <v>2</v>
      </c>
      <c r="G18" s="8">
        <v>14</v>
      </c>
      <c r="H18" s="8">
        <v>8</v>
      </c>
      <c r="I18" s="8">
        <v>26</v>
      </c>
      <c r="J18" s="8">
        <v>2</v>
      </c>
    </row>
    <row r="19" spans="1:10" x14ac:dyDescent="0.25">
      <c r="A19" s="6">
        <v>23</v>
      </c>
      <c r="B19" s="7">
        <v>3010.6896551724139</v>
      </c>
      <c r="C19" s="21">
        <v>13</v>
      </c>
      <c r="D19" s="21">
        <v>6</v>
      </c>
      <c r="E19" s="21">
        <v>23</v>
      </c>
      <c r="F19" s="21">
        <v>3</v>
      </c>
      <c r="G19" s="8">
        <v>13</v>
      </c>
      <c r="H19" s="8">
        <v>6</v>
      </c>
      <c r="I19" s="8">
        <v>23</v>
      </c>
      <c r="J19" s="8">
        <v>3</v>
      </c>
    </row>
    <row r="20" spans="1:10" x14ac:dyDescent="0.25">
      <c r="A20" s="6">
        <v>28</v>
      </c>
      <c r="B20" s="7">
        <v>3210</v>
      </c>
      <c r="C20" s="21">
        <v>11</v>
      </c>
      <c r="D20" s="21">
        <v>5</v>
      </c>
      <c r="E20" s="21">
        <v>24</v>
      </c>
      <c r="F20" s="21">
        <v>4</v>
      </c>
      <c r="G20" s="8">
        <v>11</v>
      </c>
      <c r="H20" s="8">
        <v>5</v>
      </c>
      <c r="I20" s="8">
        <v>24</v>
      </c>
      <c r="J20" s="8">
        <v>4</v>
      </c>
    </row>
    <row r="21" spans="1:10" x14ac:dyDescent="0.25">
      <c r="A21" s="6">
        <v>20</v>
      </c>
      <c r="B21" s="7">
        <v>3400</v>
      </c>
      <c r="C21" s="21">
        <v>10</v>
      </c>
      <c r="D21" s="21">
        <v>6</v>
      </c>
      <c r="E21" s="21">
        <v>29</v>
      </c>
      <c r="F21" s="21">
        <v>2</v>
      </c>
      <c r="G21" s="8">
        <v>10</v>
      </c>
      <c r="H21" s="8">
        <v>6</v>
      </c>
      <c r="I21" s="8">
        <v>29</v>
      </c>
      <c r="J21" s="8">
        <v>2</v>
      </c>
    </row>
    <row r="22" spans="1:10" x14ac:dyDescent="0.25">
      <c r="A22" s="6">
        <v>3</v>
      </c>
      <c r="B22" s="7">
        <v>3500</v>
      </c>
      <c r="C22" s="21">
        <v>13</v>
      </c>
      <c r="D22" s="21">
        <v>8</v>
      </c>
      <c r="E22" s="21">
        <v>27</v>
      </c>
      <c r="F22" s="21">
        <v>6</v>
      </c>
      <c r="G22" s="8">
        <v>13</v>
      </c>
      <c r="H22" s="8">
        <v>8</v>
      </c>
      <c r="I22" s="8">
        <v>27</v>
      </c>
      <c r="J22" s="8">
        <v>6</v>
      </c>
    </row>
    <row r="23" spans="1:10" x14ac:dyDescent="0.25">
      <c r="A23" s="6">
        <v>5</v>
      </c>
      <c r="B23" s="7">
        <v>3500</v>
      </c>
      <c r="C23" s="21">
        <v>13</v>
      </c>
      <c r="D23" s="21">
        <v>8</v>
      </c>
      <c r="E23" s="21">
        <v>28</v>
      </c>
      <c r="F23" s="21">
        <v>1</v>
      </c>
      <c r="G23" s="8">
        <v>13</v>
      </c>
      <c r="H23" s="8">
        <v>8</v>
      </c>
      <c r="I23" s="8">
        <v>0</v>
      </c>
      <c r="J23" s="8">
        <v>1</v>
      </c>
    </row>
    <row r="24" spans="1:10" x14ac:dyDescent="0.25">
      <c r="A24" s="6">
        <v>10</v>
      </c>
      <c r="B24" s="7">
        <v>3698</v>
      </c>
      <c r="C24" s="21">
        <v>12</v>
      </c>
      <c r="D24" s="21">
        <v>8</v>
      </c>
      <c r="E24" s="21">
        <v>29</v>
      </c>
      <c r="F24" s="21">
        <v>2</v>
      </c>
      <c r="G24" s="8">
        <v>12</v>
      </c>
      <c r="H24" s="8">
        <v>8</v>
      </c>
      <c r="I24" s="20"/>
      <c r="J24" s="8">
        <v>2</v>
      </c>
    </row>
    <row r="25" spans="1:10" x14ac:dyDescent="0.25">
      <c r="A25" s="6">
        <v>17</v>
      </c>
      <c r="B25" s="7">
        <v>4000</v>
      </c>
      <c r="C25" s="21">
        <v>15</v>
      </c>
      <c r="D25" s="21">
        <v>6</v>
      </c>
      <c r="E25" s="21">
        <v>30</v>
      </c>
      <c r="F25" s="21">
        <v>3</v>
      </c>
      <c r="G25" s="20"/>
      <c r="H25" s="8">
        <v>6</v>
      </c>
      <c r="I25" s="8">
        <v>30</v>
      </c>
      <c r="J25" s="8">
        <v>3</v>
      </c>
    </row>
    <row r="26" spans="1:10" x14ac:dyDescent="0.25">
      <c r="A26" s="6">
        <v>22</v>
      </c>
      <c r="B26" s="7">
        <v>4560</v>
      </c>
      <c r="C26" s="21">
        <v>15</v>
      </c>
      <c r="D26" s="21">
        <v>7</v>
      </c>
      <c r="E26" s="21">
        <v>36</v>
      </c>
      <c r="F26" s="21">
        <v>4</v>
      </c>
      <c r="G26" s="8">
        <v>15</v>
      </c>
      <c r="H26" s="8">
        <v>7</v>
      </c>
      <c r="I26" s="8">
        <v>36</v>
      </c>
      <c r="J26" s="8">
        <v>4</v>
      </c>
    </row>
    <row r="27" spans="1:10" x14ac:dyDescent="0.25">
      <c r="A27" s="6">
        <v>6</v>
      </c>
      <c r="B27" s="7">
        <v>4600</v>
      </c>
      <c r="C27" s="21">
        <v>12</v>
      </c>
      <c r="D27" s="21">
        <v>7</v>
      </c>
      <c r="E27" s="21">
        <v>25</v>
      </c>
      <c r="F27" s="21">
        <v>3</v>
      </c>
      <c r="G27" s="8">
        <v>12</v>
      </c>
      <c r="H27" s="8">
        <v>7</v>
      </c>
      <c r="I27" s="8">
        <v>25</v>
      </c>
      <c r="J27" s="8">
        <v>3</v>
      </c>
    </row>
    <row r="28" spans="1:10" x14ac:dyDescent="0.25">
      <c r="A28" s="6">
        <v>11</v>
      </c>
      <c r="B28" s="7">
        <v>4600</v>
      </c>
      <c r="C28" s="21">
        <v>15</v>
      </c>
      <c r="D28" s="21">
        <v>9</v>
      </c>
      <c r="E28" s="21">
        <v>28</v>
      </c>
      <c r="F28" s="21">
        <v>5</v>
      </c>
      <c r="G28" s="8">
        <v>15</v>
      </c>
      <c r="H28" s="8">
        <v>9</v>
      </c>
      <c r="I28" s="8">
        <v>28</v>
      </c>
      <c r="J28" s="8">
        <v>5</v>
      </c>
    </row>
    <row r="29" spans="1:10" x14ac:dyDescent="0.25">
      <c r="A29" s="6">
        <v>19</v>
      </c>
      <c r="B29" s="7">
        <v>6000</v>
      </c>
      <c r="C29" s="21">
        <v>12</v>
      </c>
      <c r="D29" s="21">
        <v>11</v>
      </c>
      <c r="E29" s="21">
        <v>35</v>
      </c>
      <c r="F29" s="21">
        <v>6</v>
      </c>
      <c r="G29" s="8">
        <v>12</v>
      </c>
      <c r="H29" s="20"/>
      <c r="I29" s="8">
        <v>35</v>
      </c>
      <c r="J29" s="8">
        <v>6</v>
      </c>
    </row>
    <row r="30" spans="1:10" x14ac:dyDescent="0.25">
      <c r="A30" s="6">
        <v>24</v>
      </c>
      <c r="B30" s="7">
        <v>6254</v>
      </c>
      <c r="C30" s="21">
        <v>17</v>
      </c>
      <c r="D30" s="21">
        <v>8</v>
      </c>
      <c r="E30" s="21">
        <v>35</v>
      </c>
      <c r="F30" s="21">
        <v>4</v>
      </c>
      <c r="G30" s="20"/>
      <c r="H30" s="8">
        <v>8</v>
      </c>
      <c r="I30" s="8">
        <v>35</v>
      </c>
      <c r="J30" s="8">
        <v>4</v>
      </c>
    </row>
    <row r="31" spans="1:10" x14ac:dyDescent="0.25">
      <c r="A31" s="6">
        <v>18</v>
      </c>
      <c r="B31" s="23">
        <v>2838.6444708680142</v>
      </c>
      <c r="C31" s="21">
        <v>16</v>
      </c>
      <c r="D31" s="21">
        <v>12</v>
      </c>
      <c r="E31" s="21">
        <v>32</v>
      </c>
      <c r="F31" s="21">
        <v>2</v>
      </c>
      <c r="G31" s="8">
        <v>16</v>
      </c>
      <c r="H31" s="8">
        <v>12</v>
      </c>
      <c r="I31" s="20"/>
      <c r="J31" s="8">
        <v>2</v>
      </c>
    </row>
  </sheetData>
  <autoFilter ref="A1:F31" xr:uid="{272855A7-DBB7-4CFA-B615-AB4E7D4D3FBA}"/>
  <sortState xmlns:xlrd2="http://schemas.microsoft.com/office/spreadsheetml/2017/richdata2" ref="A2:B31">
    <sortCondition ref="B2:B31"/>
  </sortState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D7C5-8213-4DBE-9B11-BEF6E8AD3329}">
  <dimension ref="A1:H57"/>
  <sheetViews>
    <sheetView zoomScale="150" zoomScaleNormal="150" workbookViewId="0">
      <selection activeCell="C15" sqref="C15"/>
    </sheetView>
  </sheetViews>
  <sheetFormatPr baseColWidth="10" defaultRowHeight="15" x14ac:dyDescent="0.25"/>
  <cols>
    <col min="1" max="1" width="21.85546875" style="10" customWidth="1"/>
    <col min="2" max="2" width="21.7109375" style="10" customWidth="1"/>
    <col min="3" max="6" width="11.42578125" style="10" customWidth="1"/>
    <col min="7" max="7" width="16" style="11" customWidth="1"/>
    <col min="8" max="8" width="13.42578125" style="10" customWidth="1"/>
  </cols>
  <sheetData>
    <row r="1" spans="1:8" x14ac:dyDescent="0.25">
      <c r="A1" s="17" t="s">
        <v>0</v>
      </c>
      <c r="B1" s="17" t="s">
        <v>35</v>
      </c>
      <c r="C1" s="17" t="s">
        <v>32</v>
      </c>
      <c r="D1" s="17" t="s">
        <v>31</v>
      </c>
      <c r="E1" s="17" t="s">
        <v>33</v>
      </c>
      <c r="F1" s="17" t="s">
        <v>34</v>
      </c>
      <c r="G1" s="17" t="s">
        <v>37</v>
      </c>
      <c r="H1" s="17" t="s">
        <v>36</v>
      </c>
    </row>
    <row r="2" spans="1:8" x14ac:dyDescent="0.25">
      <c r="A2" s="6">
        <v>1</v>
      </c>
      <c r="B2" s="7">
        <v>2500</v>
      </c>
      <c r="C2" s="8">
        <v>11</v>
      </c>
      <c r="D2" s="8">
        <v>5</v>
      </c>
      <c r="E2" s="8">
        <v>26</v>
      </c>
      <c r="F2" s="8">
        <v>5</v>
      </c>
      <c r="G2" s="8">
        <v>1</v>
      </c>
      <c r="H2" s="6" t="s">
        <v>29</v>
      </c>
    </row>
    <row r="3" spans="1:8" x14ac:dyDescent="0.25">
      <c r="A3" s="6">
        <v>2</v>
      </c>
      <c r="B3" s="7">
        <v>1200</v>
      </c>
      <c r="C3" s="8">
        <v>8</v>
      </c>
      <c r="D3" s="8">
        <v>6</v>
      </c>
      <c r="E3" s="8">
        <v>36</v>
      </c>
      <c r="F3" s="8">
        <v>6</v>
      </c>
      <c r="G3" s="8">
        <v>1</v>
      </c>
      <c r="H3" s="6" t="s">
        <v>29</v>
      </c>
    </row>
    <row r="4" spans="1:8" x14ac:dyDescent="0.25">
      <c r="A4" s="6">
        <v>3</v>
      </c>
      <c r="B4" s="7">
        <v>3500</v>
      </c>
      <c r="C4" s="8">
        <v>15</v>
      </c>
      <c r="D4" s="8">
        <v>8</v>
      </c>
      <c r="E4" s="8">
        <v>27</v>
      </c>
      <c r="F4" s="8">
        <v>4</v>
      </c>
      <c r="G4" s="8">
        <v>2</v>
      </c>
      <c r="H4" s="6" t="s">
        <v>30</v>
      </c>
    </row>
    <row r="5" spans="1:8" x14ac:dyDescent="0.25">
      <c r="A5" s="6">
        <v>4</v>
      </c>
      <c r="B5" s="7">
        <v>2500</v>
      </c>
      <c r="C5" s="8">
        <v>13</v>
      </c>
      <c r="D5" s="8">
        <v>5</v>
      </c>
      <c r="E5" s="8">
        <v>27</v>
      </c>
      <c r="F5" s="8">
        <v>6</v>
      </c>
      <c r="G5" s="8">
        <v>2</v>
      </c>
      <c r="H5" s="6" t="s">
        <v>30</v>
      </c>
    </row>
    <row r="6" spans="1:8" x14ac:dyDescent="0.25">
      <c r="A6" s="6">
        <v>5</v>
      </c>
      <c r="B6" s="7">
        <v>3000</v>
      </c>
      <c r="C6" s="8">
        <v>14</v>
      </c>
      <c r="D6" s="8">
        <v>8</v>
      </c>
      <c r="E6" s="8">
        <v>28</v>
      </c>
      <c r="F6" s="8">
        <v>5</v>
      </c>
      <c r="G6" s="8">
        <v>2</v>
      </c>
      <c r="H6" s="6" t="s">
        <v>30</v>
      </c>
    </row>
    <row r="7" spans="1:8" x14ac:dyDescent="0.25">
      <c r="A7" s="6">
        <v>6</v>
      </c>
      <c r="B7" s="7">
        <v>3000</v>
      </c>
      <c r="C7" s="8">
        <v>16</v>
      </c>
      <c r="D7" s="8">
        <v>7</v>
      </c>
      <c r="E7" s="8">
        <v>25</v>
      </c>
      <c r="F7" s="8">
        <v>6</v>
      </c>
      <c r="G7" s="8">
        <v>2</v>
      </c>
      <c r="H7" s="6" t="s">
        <v>30</v>
      </c>
    </row>
    <row r="8" spans="1:8" x14ac:dyDescent="0.25">
      <c r="A8" s="6">
        <v>7</v>
      </c>
      <c r="B8" s="7">
        <v>1500</v>
      </c>
      <c r="C8" s="8">
        <v>9</v>
      </c>
      <c r="D8" s="8">
        <v>5</v>
      </c>
      <c r="E8" s="8">
        <v>23</v>
      </c>
      <c r="F8" s="8">
        <v>2</v>
      </c>
      <c r="G8" s="8">
        <v>1</v>
      </c>
      <c r="H8" s="6" t="s">
        <v>29</v>
      </c>
    </row>
    <row r="9" spans="1:8" x14ac:dyDescent="0.25">
      <c r="A9" s="6">
        <v>8</v>
      </c>
      <c r="B9" s="7">
        <v>1350</v>
      </c>
      <c r="C9" s="8">
        <v>6</v>
      </c>
      <c r="D9" s="8">
        <v>3</v>
      </c>
      <c r="E9" s="8">
        <v>23</v>
      </c>
      <c r="F9" s="8">
        <v>1</v>
      </c>
      <c r="G9" s="8">
        <v>1</v>
      </c>
      <c r="H9" s="6" t="s">
        <v>29</v>
      </c>
    </row>
    <row r="10" spans="1:8" x14ac:dyDescent="0.25">
      <c r="A10" s="6">
        <v>9</v>
      </c>
      <c r="B10" s="7">
        <v>2020</v>
      </c>
      <c r="C10" s="8">
        <v>12</v>
      </c>
      <c r="D10" s="8">
        <v>8</v>
      </c>
      <c r="E10" s="8">
        <v>28</v>
      </c>
      <c r="F10" s="8">
        <v>6</v>
      </c>
      <c r="G10" s="8">
        <v>1</v>
      </c>
      <c r="H10" s="6" t="s">
        <v>29</v>
      </c>
    </row>
    <row r="11" spans="1:8" x14ac:dyDescent="0.25">
      <c r="A11" s="6">
        <v>10</v>
      </c>
      <c r="B11" s="7">
        <v>3200</v>
      </c>
      <c r="C11" s="8">
        <v>14</v>
      </c>
      <c r="D11" s="8">
        <v>8</v>
      </c>
      <c r="E11" s="8">
        <v>29</v>
      </c>
      <c r="F11" s="8">
        <v>4</v>
      </c>
      <c r="G11" s="8">
        <v>2</v>
      </c>
      <c r="H11" s="6" t="s">
        <v>30</v>
      </c>
    </row>
    <row r="12" spans="1:8" x14ac:dyDescent="0.25">
      <c r="A12" s="6">
        <v>11</v>
      </c>
      <c r="B12" s="7">
        <v>3000</v>
      </c>
      <c r="C12" s="8">
        <v>15</v>
      </c>
      <c r="D12" s="8">
        <v>9</v>
      </c>
      <c r="E12" s="8">
        <v>28</v>
      </c>
      <c r="F12" s="8">
        <v>6</v>
      </c>
      <c r="G12" s="8">
        <v>2</v>
      </c>
      <c r="H12" s="6" t="s">
        <v>30</v>
      </c>
    </row>
    <row r="13" spans="1:8" x14ac:dyDescent="0.25">
      <c r="A13" s="6">
        <v>12</v>
      </c>
      <c r="B13" s="7">
        <v>1600</v>
      </c>
      <c r="C13" s="8">
        <v>10</v>
      </c>
      <c r="D13" s="8">
        <v>4</v>
      </c>
      <c r="E13" s="8">
        <v>25</v>
      </c>
      <c r="F13" s="8">
        <v>5</v>
      </c>
      <c r="G13" s="8">
        <v>1</v>
      </c>
      <c r="H13" s="6" t="s">
        <v>29</v>
      </c>
    </row>
    <row r="14" spans="1:8" x14ac:dyDescent="0.25">
      <c r="A14" s="6">
        <v>13</v>
      </c>
      <c r="B14" s="7">
        <v>3000</v>
      </c>
      <c r="C14" s="8">
        <v>15</v>
      </c>
      <c r="D14" s="8">
        <v>6</v>
      </c>
      <c r="E14" s="8">
        <v>30</v>
      </c>
      <c r="F14" s="8">
        <v>8</v>
      </c>
      <c r="G14" s="8">
        <v>2</v>
      </c>
      <c r="H14" s="6" t="s">
        <v>30</v>
      </c>
    </row>
    <row r="15" spans="1:8" x14ac:dyDescent="0.25">
      <c r="A15" s="6">
        <v>14</v>
      </c>
      <c r="B15" s="7">
        <v>2000</v>
      </c>
      <c r="C15" s="8">
        <v>11</v>
      </c>
      <c r="D15" s="8">
        <v>6</v>
      </c>
      <c r="E15" s="8">
        <v>40</v>
      </c>
      <c r="F15" s="8">
        <v>9</v>
      </c>
      <c r="G15" s="8">
        <v>1</v>
      </c>
      <c r="H15" s="6" t="s">
        <v>29</v>
      </c>
    </row>
    <row r="16" spans="1:8" x14ac:dyDescent="0.25">
      <c r="A16" s="6">
        <v>15</v>
      </c>
      <c r="B16" s="7">
        <v>1000</v>
      </c>
      <c r="C16" s="8">
        <v>9</v>
      </c>
      <c r="D16" s="8">
        <v>5</v>
      </c>
      <c r="E16" s="8">
        <v>28</v>
      </c>
      <c r="F16" s="8">
        <v>5</v>
      </c>
      <c r="G16" s="8">
        <v>1</v>
      </c>
      <c r="H16" s="6" t="s">
        <v>29</v>
      </c>
    </row>
    <row r="17" spans="1:8" x14ac:dyDescent="0.25">
      <c r="A17" s="6">
        <v>16</v>
      </c>
      <c r="B17" s="7">
        <v>3000</v>
      </c>
      <c r="C17" s="8">
        <v>14</v>
      </c>
      <c r="D17" s="8">
        <v>8</v>
      </c>
      <c r="E17" s="8">
        <v>26</v>
      </c>
      <c r="F17" s="8">
        <v>6</v>
      </c>
      <c r="G17" s="8">
        <v>2</v>
      </c>
      <c r="H17" s="6" t="s">
        <v>30</v>
      </c>
    </row>
    <row r="18" spans="1:8" x14ac:dyDescent="0.25">
      <c r="A18" s="6">
        <v>17</v>
      </c>
      <c r="B18" s="7">
        <v>3200</v>
      </c>
      <c r="C18" s="8">
        <v>15</v>
      </c>
      <c r="D18" s="8">
        <v>6</v>
      </c>
      <c r="E18" s="8">
        <v>30</v>
      </c>
      <c r="F18" s="8">
        <v>9</v>
      </c>
      <c r="G18" s="8">
        <v>2</v>
      </c>
      <c r="H18" s="6" t="s">
        <v>30</v>
      </c>
    </row>
    <row r="19" spans="1:8" x14ac:dyDescent="0.25">
      <c r="A19" s="6">
        <v>18</v>
      </c>
      <c r="B19" s="7">
        <v>2000</v>
      </c>
      <c r="C19" s="8">
        <v>11</v>
      </c>
      <c r="D19" s="8">
        <v>6</v>
      </c>
      <c r="E19" s="8">
        <v>40</v>
      </c>
      <c r="F19" s="8">
        <v>4</v>
      </c>
      <c r="G19" s="8">
        <v>1</v>
      </c>
      <c r="H19" s="6" t="s">
        <v>29</v>
      </c>
    </row>
    <row r="20" spans="1:8" x14ac:dyDescent="0.25">
      <c r="A20" s="6">
        <v>19</v>
      </c>
      <c r="B20" s="7">
        <v>1600</v>
      </c>
      <c r="C20" s="8">
        <v>10</v>
      </c>
      <c r="D20" s="8">
        <v>4</v>
      </c>
      <c r="E20" s="8">
        <v>25</v>
      </c>
      <c r="F20" s="8">
        <v>2</v>
      </c>
      <c r="G20" s="8">
        <v>1</v>
      </c>
      <c r="H20" s="6" t="s">
        <v>29</v>
      </c>
    </row>
    <row r="21" spans="1:8" x14ac:dyDescent="0.25">
      <c r="A21" s="6">
        <v>20</v>
      </c>
      <c r="B21" s="7">
        <v>3400</v>
      </c>
      <c r="C21" s="8">
        <v>10</v>
      </c>
      <c r="D21" s="8">
        <v>6</v>
      </c>
      <c r="E21" s="8">
        <v>29</v>
      </c>
      <c r="F21" s="8">
        <v>9</v>
      </c>
      <c r="G21" s="8">
        <v>2</v>
      </c>
      <c r="H21" s="6" t="s">
        <v>30</v>
      </c>
    </row>
    <row r="22" spans="1:8" x14ac:dyDescent="0.25">
      <c r="A22" s="6">
        <v>21</v>
      </c>
      <c r="B22" s="7">
        <v>1650</v>
      </c>
      <c r="C22" s="8">
        <v>8</v>
      </c>
      <c r="D22" s="8">
        <v>3</v>
      </c>
      <c r="E22" s="8">
        <v>21</v>
      </c>
      <c r="F22" s="8">
        <v>1</v>
      </c>
      <c r="G22" s="8">
        <v>1</v>
      </c>
      <c r="H22" s="6" t="s">
        <v>29</v>
      </c>
    </row>
    <row r="23" spans="1:8" x14ac:dyDescent="0.25">
      <c r="A23" s="6">
        <v>22</v>
      </c>
      <c r="B23" s="7">
        <v>3800</v>
      </c>
      <c r="C23" s="8">
        <v>16</v>
      </c>
      <c r="D23" s="8">
        <v>7</v>
      </c>
      <c r="E23" s="8">
        <v>36</v>
      </c>
      <c r="F23" s="8">
        <v>10</v>
      </c>
      <c r="G23" s="8">
        <v>2</v>
      </c>
      <c r="H23" s="6" t="s">
        <v>30</v>
      </c>
    </row>
    <row r="24" spans="1:8" x14ac:dyDescent="0.25">
      <c r="A24" s="6">
        <v>23</v>
      </c>
      <c r="B24" s="7">
        <v>2500</v>
      </c>
      <c r="C24" s="8">
        <v>13</v>
      </c>
      <c r="D24" s="8">
        <v>6</v>
      </c>
      <c r="E24" s="8">
        <v>29</v>
      </c>
      <c r="F24" s="8">
        <v>4</v>
      </c>
      <c r="G24" s="8">
        <v>2</v>
      </c>
      <c r="H24" s="6" t="s">
        <v>30</v>
      </c>
    </row>
    <row r="25" spans="1:8" x14ac:dyDescent="0.25">
      <c r="A25" s="6">
        <v>24</v>
      </c>
      <c r="B25" s="7">
        <v>1650</v>
      </c>
      <c r="C25" s="8">
        <v>9</v>
      </c>
      <c r="D25" s="8">
        <v>4</v>
      </c>
      <c r="E25" s="8">
        <v>21</v>
      </c>
      <c r="F25" s="8">
        <f t="shared" ref="F25:F32" si="0">+E25-18</f>
        <v>3</v>
      </c>
      <c r="G25" s="8">
        <v>1</v>
      </c>
      <c r="H25" s="6" t="s">
        <v>29</v>
      </c>
    </row>
    <row r="26" spans="1:8" x14ac:dyDescent="0.25">
      <c r="A26" s="6">
        <v>25</v>
      </c>
      <c r="B26" s="7">
        <v>1320</v>
      </c>
      <c r="C26" s="8">
        <v>7</v>
      </c>
      <c r="D26" s="8">
        <v>4</v>
      </c>
      <c r="E26" s="8">
        <v>25</v>
      </c>
      <c r="F26" s="8">
        <f t="shared" si="0"/>
        <v>7</v>
      </c>
      <c r="G26" s="8">
        <v>1</v>
      </c>
      <c r="H26" s="6" t="s">
        <v>29</v>
      </c>
    </row>
    <row r="27" spans="1:8" x14ac:dyDescent="0.25">
      <c r="A27" s="6">
        <v>26</v>
      </c>
      <c r="B27" s="7">
        <v>1458</v>
      </c>
      <c r="C27" s="8">
        <v>6</v>
      </c>
      <c r="D27" s="8">
        <v>3</v>
      </c>
      <c r="E27" s="8">
        <v>22</v>
      </c>
      <c r="F27" s="8">
        <f t="shared" si="0"/>
        <v>4</v>
      </c>
      <c r="G27" s="8">
        <v>1</v>
      </c>
      <c r="H27" s="6" t="s">
        <v>29</v>
      </c>
    </row>
    <row r="28" spans="1:8" x14ac:dyDescent="0.25">
      <c r="A28" s="6">
        <v>27</v>
      </c>
      <c r="B28" s="7">
        <v>1600</v>
      </c>
      <c r="C28" s="8">
        <v>10</v>
      </c>
      <c r="D28" s="8">
        <v>2</v>
      </c>
      <c r="E28" s="8">
        <v>26</v>
      </c>
      <c r="F28" s="8">
        <f t="shared" si="0"/>
        <v>8</v>
      </c>
      <c r="G28" s="8">
        <v>1</v>
      </c>
      <c r="H28" s="6" t="s">
        <v>29</v>
      </c>
    </row>
    <row r="29" spans="1:8" x14ac:dyDescent="0.25">
      <c r="A29" s="6">
        <v>28</v>
      </c>
      <c r="B29" s="7">
        <v>3200</v>
      </c>
      <c r="C29" s="8">
        <v>11</v>
      </c>
      <c r="D29" s="8">
        <v>5</v>
      </c>
      <c r="E29" s="8">
        <v>24</v>
      </c>
      <c r="F29" s="8">
        <f t="shared" si="0"/>
        <v>6</v>
      </c>
      <c r="G29" s="8">
        <v>2</v>
      </c>
      <c r="H29" s="6" t="s">
        <v>30</v>
      </c>
    </row>
    <row r="30" spans="1:8" x14ac:dyDescent="0.25">
      <c r="A30" s="6">
        <v>29</v>
      </c>
      <c r="B30" s="7">
        <v>2300</v>
      </c>
      <c r="C30" s="8">
        <v>12</v>
      </c>
      <c r="D30" s="8">
        <v>4</v>
      </c>
      <c r="E30" s="8">
        <v>24</v>
      </c>
      <c r="F30" s="8">
        <f t="shared" si="0"/>
        <v>6</v>
      </c>
      <c r="G30" s="8">
        <v>1</v>
      </c>
      <c r="H30" s="6" t="s">
        <v>29</v>
      </c>
    </row>
    <row r="31" spans="1:8" x14ac:dyDescent="0.25">
      <c r="A31" s="6">
        <v>30</v>
      </c>
      <c r="B31" s="7">
        <v>2200</v>
      </c>
      <c r="C31" s="8">
        <v>12</v>
      </c>
      <c r="D31" s="8">
        <v>9</v>
      </c>
      <c r="E31" s="8">
        <v>26</v>
      </c>
      <c r="F31" s="8">
        <f t="shared" si="0"/>
        <v>8</v>
      </c>
      <c r="G31" s="8">
        <v>1</v>
      </c>
      <c r="H31" s="6" t="s">
        <v>29</v>
      </c>
    </row>
    <row r="32" spans="1:8" x14ac:dyDescent="0.25">
      <c r="A32" s="6">
        <v>31</v>
      </c>
      <c r="B32" s="7">
        <v>1650</v>
      </c>
      <c r="C32" s="8">
        <v>9</v>
      </c>
      <c r="D32" s="8">
        <v>4</v>
      </c>
      <c r="E32" s="8">
        <v>21</v>
      </c>
      <c r="F32" s="8">
        <f t="shared" si="0"/>
        <v>3</v>
      </c>
      <c r="G32" s="8">
        <v>1</v>
      </c>
      <c r="H32" s="6" t="s">
        <v>29</v>
      </c>
    </row>
    <row r="33" spans="1:8" x14ac:dyDescent="0.25">
      <c r="A33" s="6">
        <v>32</v>
      </c>
      <c r="B33" s="7">
        <v>1500</v>
      </c>
      <c r="C33" s="8">
        <v>11</v>
      </c>
      <c r="D33" s="8">
        <v>7</v>
      </c>
      <c r="E33" s="8">
        <v>35</v>
      </c>
      <c r="F33" s="8">
        <v>10</v>
      </c>
      <c r="G33" s="8">
        <v>1</v>
      </c>
      <c r="H33" s="6" t="s">
        <v>29</v>
      </c>
    </row>
    <row r="34" spans="1:8" x14ac:dyDescent="0.25">
      <c r="A34" s="6">
        <v>33</v>
      </c>
      <c r="B34" s="7">
        <v>1050</v>
      </c>
      <c r="C34" s="8">
        <v>9</v>
      </c>
      <c r="D34" s="8">
        <v>5</v>
      </c>
      <c r="E34" s="8">
        <v>29</v>
      </c>
      <c r="F34" s="8">
        <v>10</v>
      </c>
      <c r="G34" s="8">
        <v>1</v>
      </c>
      <c r="H34" s="6" t="s">
        <v>29</v>
      </c>
    </row>
    <row r="35" spans="1:8" x14ac:dyDescent="0.25">
      <c r="A35" s="6">
        <v>34</v>
      </c>
      <c r="B35" s="7">
        <v>2020</v>
      </c>
      <c r="C35" s="8">
        <v>14</v>
      </c>
      <c r="D35" s="8">
        <v>3</v>
      </c>
      <c r="E35" s="8">
        <v>21</v>
      </c>
      <c r="F35" s="8">
        <v>1</v>
      </c>
      <c r="G35" s="8">
        <v>1</v>
      </c>
      <c r="H35" s="6" t="s">
        <v>29</v>
      </c>
    </row>
    <row r="36" spans="1:8" x14ac:dyDescent="0.25">
      <c r="A36" s="6">
        <v>35</v>
      </c>
      <c r="B36" s="7">
        <v>3450</v>
      </c>
      <c r="C36" s="8">
        <v>15</v>
      </c>
      <c r="D36" s="8">
        <v>8</v>
      </c>
      <c r="E36" s="8">
        <v>36</v>
      </c>
      <c r="F36" s="8">
        <v>12</v>
      </c>
      <c r="G36" s="8">
        <v>2</v>
      </c>
      <c r="H36" s="6" t="s">
        <v>30</v>
      </c>
    </row>
    <row r="37" spans="1:8" x14ac:dyDescent="0.25">
      <c r="A37" s="6">
        <v>36</v>
      </c>
      <c r="B37" s="7">
        <v>2200</v>
      </c>
      <c r="C37" s="8">
        <v>10</v>
      </c>
      <c r="D37" s="8">
        <v>5</v>
      </c>
      <c r="E37" s="8">
        <v>27</v>
      </c>
      <c r="F37" s="8">
        <v>5</v>
      </c>
      <c r="G37" s="8">
        <v>1</v>
      </c>
      <c r="H37" s="6" t="s">
        <v>29</v>
      </c>
    </row>
    <row r="38" spans="1:8" x14ac:dyDescent="0.25">
      <c r="A38" s="6">
        <v>37</v>
      </c>
      <c r="B38" s="7">
        <v>1600</v>
      </c>
      <c r="C38" s="8">
        <v>12</v>
      </c>
      <c r="D38" s="8">
        <v>9</v>
      </c>
      <c r="E38" s="8">
        <v>35</v>
      </c>
      <c r="F38" s="8">
        <v>12</v>
      </c>
      <c r="G38" s="8">
        <v>1</v>
      </c>
      <c r="H38" s="6" t="s">
        <v>29</v>
      </c>
    </row>
    <row r="39" spans="1:8" x14ac:dyDescent="0.25">
      <c r="A39" s="6">
        <v>38</v>
      </c>
      <c r="B39" s="7">
        <v>3000</v>
      </c>
      <c r="C39" s="8">
        <v>10</v>
      </c>
      <c r="D39" s="8">
        <v>4</v>
      </c>
      <c r="E39" s="8">
        <v>25</v>
      </c>
      <c r="F39" s="8">
        <v>5</v>
      </c>
      <c r="G39" s="8">
        <v>2</v>
      </c>
      <c r="H39" s="6" t="s">
        <v>30</v>
      </c>
    </row>
    <row r="40" spans="1:8" x14ac:dyDescent="0.25">
      <c r="A40" s="6">
        <v>39</v>
      </c>
      <c r="B40" s="7">
        <v>2000</v>
      </c>
      <c r="C40" s="8">
        <v>9</v>
      </c>
      <c r="D40" s="8">
        <v>6</v>
      </c>
      <c r="E40" s="8">
        <v>22</v>
      </c>
      <c r="F40" s="8">
        <v>3</v>
      </c>
      <c r="G40" s="8">
        <v>1</v>
      </c>
      <c r="H40" s="6" t="s">
        <v>29</v>
      </c>
    </row>
    <row r="41" spans="1:8" x14ac:dyDescent="0.25">
      <c r="A41" s="6">
        <v>40</v>
      </c>
      <c r="B41" s="7">
        <v>1000</v>
      </c>
      <c r="C41" s="8">
        <v>16</v>
      </c>
      <c r="D41" s="8">
        <v>6</v>
      </c>
      <c r="E41" s="8">
        <v>35</v>
      </c>
      <c r="F41" s="8">
        <v>13</v>
      </c>
      <c r="G41" s="8">
        <v>1</v>
      </c>
      <c r="H41" s="6" t="s">
        <v>29</v>
      </c>
    </row>
    <row r="42" spans="1:8" x14ac:dyDescent="0.25">
      <c r="A42" s="6">
        <v>41</v>
      </c>
      <c r="B42" s="7">
        <v>3000</v>
      </c>
      <c r="C42" s="8">
        <v>13</v>
      </c>
      <c r="D42" s="8">
        <v>5</v>
      </c>
      <c r="E42" s="8">
        <v>29</v>
      </c>
      <c r="F42" s="8">
        <v>8</v>
      </c>
      <c r="G42" s="8">
        <v>2</v>
      </c>
      <c r="H42" s="6" t="s">
        <v>30</v>
      </c>
    </row>
    <row r="43" spans="1:8" x14ac:dyDescent="0.25">
      <c r="A43" s="6">
        <v>42</v>
      </c>
      <c r="B43" s="7">
        <v>2000</v>
      </c>
      <c r="C43" s="8">
        <v>11</v>
      </c>
      <c r="D43" s="8">
        <v>5</v>
      </c>
      <c r="E43" s="8">
        <v>25</v>
      </c>
      <c r="F43" s="8">
        <v>5</v>
      </c>
      <c r="G43" s="8">
        <v>1</v>
      </c>
      <c r="H43" s="6" t="s">
        <v>29</v>
      </c>
    </row>
    <row r="44" spans="1:8" x14ac:dyDescent="0.25">
      <c r="A44" s="6">
        <v>43</v>
      </c>
      <c r="B44" s="7">
        <v>2350</v>
      </c>
      <c r="C44" s="8">
        <v>12</v>
      </c>
      <c r="D44" s="8">
        <v>6</v>
      </c>
      <c r="E44" s="8">
        <v>28</v>
      </c>
      <c r="F44" s="8">
        <v>7</v>
      </c>
      <c r="G44" s="8">
        <v>1</v>
      </c>
      <c r="H44" s="6" t="s">
        <v>29</v>
      </c>
    </row>
    <row r="45" spans="1:8" x14ac:dyDescent="0.25">
      <c r="A45" s="6">
        <v>44</v>
      </c>
      <c r="B45" s="7">
        <v>2500</v>
      </c>
      <c r="C45" s="8">
        <v>11</v>
      </c>
      <c r="D45" s="8">
        <v>5</v>
      </c>
      <c r="E45" s="8">
        <v>26</v>
      </c>
      <c r="F45" s="8">
        <v>3</v>
      </c>
      <c r="G45" s="8">
        <v>1</v>
      </c>
      <c r="H45" s="6" t="s">
        <v>29</v>
      </c>
    </row>
    <row r="46" spans="1:8" x14ac:dyDescent="0.25">
      <c r="A46" s="6">
        <v>45</v>
      </c>
      <c r="B46" s="7">
        <v>3200</v>
      </c>
      <c r="C46" s="8">
        <v>10</v>
      </c>
      <c r="D46" s="8">
        <v>6</v>
      </c>
      <c r="E46" s="8">
        <v>30</v>
      </c>
      <c r="F46" s="8">
        <v>9</v>
      </c>
      <c r="G46" s="8">
        <v>2</v>
      </c>
      <c r="H46" s="6" t="s">
        <v>30</v>
      </c>
    </row>
    <row r="47" spans="1:8" x14ac:dyDescent="0.25">
      <c r="A47" s="6">
        <v>46</v>
      </c>
      <c r="B47" s="7">
        <v>3000</v>
      </c>
      <c r="C47" s="8">
        <v>9</v>
      </c>
      <c r="D47" s="8">
        <v>4</v>
      </c>
      <c r="E47" s="8">
        <v>29</v>
      </c>
      <c r="F47" s="8">
        <v>6</v>
      </c>
      <c r="G47" s="8">
        <v>2</v>
      </c>
      <c r="H47" s="6" t="s">
        <v>30</v>
      </c>
    </row>
    <row r="48" spans="1:8" x14ac:dyDescent="0.25">
      <c r="A48" s="6">
        <v>47</v>
      </c>
      <c r="B48" s="7">
        <v>2950</v>
      </c>
      <c r="C48" s="8">
        <v>10</v>
      </c>
      <c r="D48" s="8">
        <v>7</v>
      </c>
      <c r="E48" s="8">
        <v>28</v>
      </c>
      <c r="F48" s="8">
        <v>3</v>
      </c>
      <c r="G48" s="8">
        <v>2</v>
      </c>
      <c r="H48" s="6" t="s">
        <v>30</v>
      </c>
    </row>
    <row r="49" spans="1:8" x14ac:dyDescent="0.25">
      <c r="A49" s="6">
        <v>48</v>
      </c>
      <c r="B49" s="7">
        <v>2800</v>
      </c>
      <c r="C49" s="8">
        <v>11</v>
      </c>
      <c r="D49" s="8">
        <v>6</v>
      </c>
      <c r="E49" s="8">
        <v>27</v>
      </c>
      <c r="F49" s="8">
        <v>3</v>
      </c>
      <c r="G49" s="8">
        <v>2</v>
      </c>
      <c r="H49" s="6" t="s">
        <v>30</v>
      </c>
    </row>
    <row r="50" spans="1:8" x14ac:dyDescent="0.25">
      <c r="A50" s="6">
        <v>49</v>
      </c>
      <c r="B50" s="7">
        <v>2250</v>
      </c>
      <c r="C50" s="8">
        <v>12</v>
      </c>
      <c r="D50" s="8">
        <v>6</v>
      </c>
      <c r="E50" s="8">
        <v>26</v>
      </c>
      <c r="F50" s="8">
        <v>4</v>
      </c>
      <c r="G50" s="8">
        <v>1</v>
      </c>
      <c r="H50" s="6" t="s">
        <v>29</v>
      </c>
    </row>
    <row r="51" spans="1:8" x14ac:dyDescent="0.25">
      <c r="A51" s="6">
        <v>50</v>
      </c>
      <c r="B51" s="7">
        <v>2000</v>
      </c>
      <c r="C51" s="8">
        <v>11</v>
      </c>
      <c r="D51" s="8">
        <v>5</v>
      </c>
      <c r="E51" s="8">
        <v>27</v>
      </c>
      <c r="F51" s="8">
        <v>4</v>
      </c>
      <c r="G51" s="8">
        <v>1</v>
      </c>
      <c r="H51" s="6" t="s">
        <v>29</v>
      </c>
    </row>
    <row r="52" spans="1:8" x14ac:dyDescent="0.25">
      <c r="A52" s="6">
        <v>51</v>
      </c>
      <c r="B52" s="7">
        <v>1750</v>
      </c>
      <c r="C52" s="8">
        <v>10</v>
      </c>
      <c r="D52" s="8">
        <v>5</v>
      </c>
      <c r="E52" s="8">
        <v>25</v>
      </c>
      <c r="F52" s="8">
        <v>3</v>
      </c>
      <c r="G52" s="8">
        <v>1</v>
      </c>
      <c r="H52" s="6" t="s">
        <v>29</v>
      </c>
    </row>
    <row r="53" spans="1:8" x14ac:dyDescent="0.25">
      <c r="A53" s="6">
        <v>52</v>
      </c>
      <c r="B53" s="7">
        <v>1500</v>
      </c>
      <c r="C53" s="8">
        <v>9</v>
      </c>
      <c r="D53" s="8">
        <v>3</v>
      </c>
      <c r="E53" s="8">
        <v>24</v>
      </c>
      <c r="F53" s="8">
        <v>3</v>
      </c>
      <c r="G53" s="8">
        <v>1</v>
      </c>
      <c r="H53" s="6" t="s">
        <v>29</v>
      </c>
    </row>
    <row r="54" spans="1:8" x14ac:dyDescent="0.25">
      <c r="A54" s="6">
        <v>53</v>
      </c>
      <c r="B54" s="7">
        <v>2020</v>
      </c>
      <c r="C54" s="8">
        <v>12</v>
      </c>
      <c r="D54" s="8">
        <v>8</v>
      </c>
      <c r="E54" s="8">
        <v>26</v>
      </c>
      <c r="F54" s="8">
        <v>6</v>
      </c>
      <c r="G54" s="8">
        <v>1</v>
      </c>
      <c r="H54" s="6" t="s">
        <v>29</v>
      </c>
    </row>
    <row r="55" spans="1:8" x14ac:dyDescent="0.25">
      <c r="A55" s="6">
        <v>54</v>
      </c>
      <c r="B55" s="7">
        <v>1850</v>
      </c>
      <c r="C55" s="8">
        <v>10</v>
      </c>
      <c r="D55" s="8">
        <v>5</v>
      </c>
      <c r="E55" s="8">
        <v>25</v>
      </c>
      <c r="F55" s="8">
        <v>2</v>
      </c>
      <c r="G55" s="8">
        <v>1</v>
      </c>
      <c r="H55" s="6" t="s">
        <v>29</v>
      </c>
    </row>
    <row r="56" spans="1:8" x14ac:dyDescent="0.25">
      <c r="A56" s="6">
        <v>55</v>
      </c>
      <c r="B56" s="7">
        <v>1950</v>
      </c>
      <c r="C56" s="8">
        <v>11</v>
      </c>
      <c r="D56" s="8">
        <v>3</v>
      </c>
      <c r="E56" s="8">
        <v>26</v>
      </c>
      <c r="F56" s="8">
        <v>2</v>
      </c>
      <c r="G56" s="8">
        <v>1</v>
      </c>
      <c r="H56" s="6" t="s">
        <v>29</v>
      </c>
    </row>
    <row r="57" spans="1:8" x14ac:dyDescent="0.25">
      <c r="A57" s="6">
        <v>56</v>
      </c>
      <c r="B57" s="7">
        <v>2100</v>
      </c>
      <c r="C57" s="8">
        <v>12</v>
      </c>
      <c r="D57" s="8">
        <v>8</v>
      </c>
      <c r="E57" s="8">
        <v>28</v>
      </c>
      <c r="F57" s="8">
        <v>4</v>
      </c>
      <c r="G57" s="8">
        <v>1</v>
      </c>
      <c r="H57" s="6" t="s">
        <v>29</v>
      </c>
    </row>
  </sheetData>
  <autoFilter ref="A1:H57" xr:uid="{5608B009-75D8-4277-85DD-F0084276BEB0}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6619-0F94-4CD9-BA36-9C7307D2444E}">
  <dimension ref="C5:L12"/>
  <sheetViews>
    <sheetView zoomScale="170" zoomScaleNormal="170" zoomScaleSheetLayoutView="110" workbookViewId="0">
      <selection activeCell="F15" sqref="F15"/>
    </sheetView>
  </sheetViews>
  <sheetFormatPr baseColWidth="10" defaultRowHeight="15" x14ac:dyDescent="0.25"/>
  <cols>
    <col min="7" max="7" width="15.85546875" customWidth="1"/>
    <col min="8" max="8" width="13.7109375" customWidth="1"/>
    <col min="9" max="12" width="11.42578125" style="2"/>
  </cols>
  <sheetData>
    <row r="5" spans="3:12" x14ac:dyDescent="0.25">
      <c r="C5" s="4" t="s">
        <v>13</v>
      </c>
      <c r="H5" s="4"/>
      <c r="I5" s="5" t="s">
        <v>24</v>
      </c>
      <c r="J5" s="5" t="s">
        <v>25</v>
      </c>
      <c r="K5" s="5" t="s">
        <v>26</v>
      </c>
      <c r="L5" s="5" t="s">
        <v>27</v>
      </c>
    </row>
    <row r="6" spans="3:12" x14ac:dyDescent="0.25">
      <c r="C6" s="16" t="s">
        <v>14</v>
      </c>
      <c r="D6" s="16"/>
      <c r="E6" t="s">
        <v>15</v>
      </c>
      <c r="F6" t="s">
        <v>18</v>
      </c>
      <c r="H6" t="s">
        <v>5</v>
      </c>
      <c r="I6" s="5">
        <v>180</v>
      </c>
      <c r="J6" s="2">
        <v>70</v>
      </c>
      <c r="K6" s="2">
        <v>60</v>
      </c>
      <c r="L6" s="2">
        <v>50</v>
      </c>
    </row>
    <row r="7" spans="3:12" x14ac:dyDescent="0.25">
      <c r="E7" t="s">
        <v>16</v>
      </c>
      <c r="F7" t="s">
        <v>19</v>
      </c>
      <c r="H7" t="s">
        <v>5</v>
      </c>
      <c r="I7" s="5">
        <v>70</v>
      </c>
      <c r="J7" s="2">
        <v>30</v>
      </c>
      <c r="K7" s="2">
        <v>20</v>
      </c>
      <c r="L7" s="2">
        <v>20</v>
      </c>
    </row>
    <row r="8" spans="3:12" x14ac:dyDescent="0.25">
      <c r="E8" t="s">
        <v>17</v>
      </c>
      <c r="F8" t="s">
        <v>20</v>
      </c>
      <c r="H8" t="s">
        <v>5</v>
      </c>
      <c r="I8" s="5">
        <v>30</v>
      </c>
      <c r="J8" s="2">
        <v>15</v>
      </c>
      <c r="K8" s="2">
        <v>8</v>
      </c>
      <c r="L8" s="2">
        <v>7</v>
      </c>
    </row>
    <row r="9" spans="3:12" x14ac:dyDescent="0.25">
      <c r="E9" s="16" t="s">
        <v>21</v>
      </c>
      <c r="F9" s="16" t="s">
        <v>22</v>
      </c>
      <c r="G9" s="16"/>
      <c r="H9" t="s">
        <v>5</v>
      </c>
      <c r="I9" s="5">
        <v>15</v>
      </c>
      <c r="J9" s="2">
        <v>15</v>
      </c>
    </row>
    <row r="10" spans="3:12" x14ac:dyDescent="0.25">
      <c r="E10" s="16" t="s">
        <v>23</v>
      </c>
      <c r="F10" s="16"/>
      <c r="G10" s="16"/>
      <c r="H10" t="s">
        <v>5</v>
      </c>
      <c r="I10" s="5">
        <v>25</v>
      </c>
      <c r="J10" s="2">
        <v>25</v>
      </c>
    </row>
    <row r="11" spans="3:12" x14ac:dyDescent="0.25">
      <c r="I11" s="5">
        <f>SUM(I6:I10)</f>
        <v>320</v>
      </c>
      <c r="J11" s="2">
        <f t="shared" ref="J11:L11" si="0">SUM(J6:J10)</f>
        <v>155</v>
      </c>
      <c r="K11" s="2">
        <f t="shared" si="0"/>
        <v>88</v>
      </c>
      <c r="L11" s="2">
        <f t="shared" si="0"/>
        <v>77</v>
      </c>
    </row>
    <row r="12" spans="3:12" x14ac:dyDescent="0.25">
      <c r="C12" s="4" t="s">
        <v>28</v>
      </c>
    </row>
  </sheetData>
  <phoneticPr fontId="8" type="noConversion"/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5C07-F658-417A-A99F-B54EE940C0B2}">
  <dimension ref="A1:G63"/>
  <sheetViews>
    <sheetView zoomScale="130" zoomScaleNormal="130" workbookViewId="0">
      <selection activeCell="B62" sqref="B62:B63"/>
    </sheetView>
  </sheetViews>
  <sheetFormatPr baseColWidth="10" defaultRowHeight="15" x14ac:dyDescent="0.25"/>
  <cols>
    <col min="1" max="1" width="24.140625" style="10" customWidth="1"/>
    <col min="2" max="2" width="19.5703125" style="10" customWidth="1"/>
    <col min="3" max="3" width="14.28515625" style="10" bestFit="1" customWidth="1"/>
    <col min="4" max="4" width="16.42578125" style="10" customWidth="1"/>
    <col min="5" max="5" width="11.42578125" style="10"/>
    <col min="6" max="6" width="16.140625" style="10" customWidth="1"/>
    <col min="7" max="7" width="16" style="11" customWidth="1"/>
  </cols>
  <sheetData>
    <row r="1" spans="1:7" x14ac:dyDescent="0.25">
      <c r="A1" s="9" t="s">
        <v>0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</row>
    <row r="2" spans="1:7" x14ac:dyDescent="0.25">
      <c r="A2" s="6">
        <v>26</v>
      </c>
      <c r="B2" s="13">
        <v>1150</v>
      </c>
      <c r="C2" s="14">
        <v>9</v>
      </c>
      <c r="D2" s="8">
        <v>4</v>
      </c>
      <c r="E2" s="8">
        <v>22</v>
      </c>
      <c r="F2" s="8">
        <v>1</v>
      </c>
      <c r="G2" s="8">
        <v>1</v>
      </c>
    </row>
    <row r="3" spans="1:7" x14ac:dyDescent="0.25">
      <c r="A3" s="6">
        <v>2</v>
      </c>
      <c r="B3" s="13">
        <v>1200</v>
      </c>
      <c r="C3" s="14">
        <v>8</v>
      </c>
      <c r="D3" s="8">
        <v>3</v>
      </c>
      <c r="E3" s="8">
        <v>21</v>
      </c>
      <c r="F3" s="8">
        <v>3</v>
      </c>
      <c r="G3" s="8">
        <v>1</v>
      </c>
    </row>
    <row r="4" spans="1:7" x14ac:dyDescent="0.25">
      <c r="A4" s="6">
        <v>8</v>
      </c>
      <c r="B4" s="13">
        <v>1200</v>
      </c>
      <c r="C4" s="14">
        <v>9</v>
      </c>
      <c r="D4" s="8">
        <v>3</v>
      </c>
      <c r="E4" s="8">
        <v>23</v>
      </c>
      <c r="F4" s="8">
        <v>5</v>
      </c>
      <c r="G4" s="8">
        <v>1</v>
      </c>
    </row>
    <row r="5" spans="1:7" x14ac:dyDescent="0.25">
      <c r="A5" s="6">
        <v>25</v>
      </c>
      <c r="B5" s="13">
        <v>1200</v>
      </c>
      <c r="C5" s="14">
        <v>9</v>
      </c>
      <c r="D5" s="8">
        <v>4</v>
      </c>
      <c r="E5" s="8">
        <v>21</v>
      </c>
      <c r="F5" s="8">
        <v>3</v>
      </c>
      <c r="G5" s="8">
        <v>1</v>
      </c>
    </row>
    <row r="6" spans="1:7" x14ac:dyDescent="0.25">
      <c r="A6" s="6">
        <v>32</v>
      </c>
      <c r="B6" s="13">
        <v>1200</v>
      </c>
      <c r="C6" s="15">
        <v>11</v>
      </c>
      <c r="D6" s="8">
        <v>5</v>
      </c>
      <c r="E6" s="8">
        <v>22</v>
      </c>
      <c r="F6" s="12">
        <v>4</v>
      </c>
      <c r="G6" s="8">
        <v>1</v>
      </c>
    </row>
    <row r="7" spans="1:7" x14ac:dyDescent="0.25">
      <c r="A7" s="6">
        <v>13</v>
      </c>
      <c r="B7" s="13">
        <v>1320</v>
      </c>
      <c r="C7" s="14">
        <v>7</v>
      </c>
      <c r="D7" s="8">
        <v>4</v>
      </c>
      <c r="E7" s="8">
        <v>24</v>
      </c>
      <c r="F7" s="8">
        <v>5</v>
      </c>
      <c r="G7" s="8">
        <v>1</v>
      </c>
    </row>
    <row r="8" spans="1:7" x14ac:dyDescent="0.25">
      <c r="A8" s="6">
        <v>4</v>
      </c>
      <c r="B8" s="13">
        <v>1350</v>
      </c>
      <c r="C8" s="14">
        <v>6</v>
      </c>
      <c r="D8" s="8">
        <v>3</v>
      </c>
      <c r="E8" s="8">
        <v>23</v>
      </c>
      <c r="F8" s="8">
        <v>1</v>
      </c>
      <c r="G8" s="8">
        <v>1</v>
      </c>
    </row>
    <row r="9" spans="1:7" x14ac:dyDescent="0.25">
      <c r="A9" s="6">
        <v>26</v>
      </c>
      <c r="B9" s="13">
        <v>1350</v>
      </c>
      <c r="C9" s="14">
        <v>11</v>
      </c>
      <c r="D9" s="8">
        <v>3</v>
      </c>
      <c r="E9" s="8">
        <v>27</v>
      </c>
      <c r="F9" s="8">
        <v>5</v>
      </c>
      <c r="G9" s="8">
        <v>1</v>
      </c>
    </row>
    <row r="10" spans="1:7" x14ac:dyDescent="0.25">
      <c r="A10" s="6">
        <v>21</v>
      </c>
      <c r="B10" s="13">
        <v>1400</v>
      </c>
      <c r="C10" s="14">
        <v>10</v>
      </c>
      <c r="D10" s="8">
        <v>3</v>
      </c>
      <c r="E10" s="8">
        <v>25</v>
      </c>
      <c r="F10" s="8">
        <v>4</v>
      </c>
      <c r="G10" s="8">
        <v>1</v>
      </c>
    </row>
    <row r="11" spans="1:7" x14ac:dyDescent="0.25">
      <c r="A11" s="6">
        <v>22</v>
      </c>
      <c r="B11" s="13">
        <v>1400</v>
      </c>
      <c r="C11" s="14">
        <v>11</v>
      </c>
      <c r="D11" s="8">
        <v>3</v>
      </c>
      <c r="E11" s="8">
        <v>26</v>
      </c>
      <c r="F11" s="8">
        <v>4</v>
      </c>
      <c r="G11" s="8">
        <v>1</v>
      </c>
    </row>
    <row r="12" spans="1:7" x14ac:dyDescent="0.25">
      <c r="A12" s="6">
        <v>27</v>
      </c>
      <c r="B12" s="13">
        <v>1400</v>
      </c>
      <c r="C12" s="14">
        <v>11</v>
      </c>
      <c r="D12" s="8">
        <v>3</v>
      </c>
      <c r="E12" s="8">
        <v>28</v>
      </c>
      <c r="F12" s="8">
        <v>6</v>
      </c>
      <c r="G12" s="8">
        <v>1</v>
      </c>
    </row>
    <row r="13" spans="1:7" x14ac:dyDescent="0.25">
      <c r="A13" s="6">
        <v>23</v>
      </c>
      <c r="B13" s="13">
        <v>1450</v>
      </c>
      <c r="C13" s="14">
        <v>11</v>
      </c>
      <c r="D13" s="8">
        <v>3</v>
      </c>
      <c r="E13" s="8">
        <v>26</v>
      </c>
      <c r="F13" s="8">
        <v>4</v>
      </c>
      <c r="G13" s="8">
        <v>1</v>
      </c>
    </row>
    <row r="14" spans="1:7" x14ac:dyDescent="0.25">
      <c r="A14" s="6">
        <v>14</v>
      </c>
      <c r="B14" s="13">
        <v>1458</v>
      </c>
      <c r="C14" s="14">
        <v>6</v>
      </c>
      <c r="D14" s="8">
        <v>3</v>
      </c>
      <c r="E14" s="8">
        <v>22</v>
      </c>
      <c r="F14" s="8">
        <v>4</v>
      </c>
      <c r="G14" s="8">
        <v>1</v>
      </c>
    </row>
    <row r="15" spans="1:7" x14ac:dyDescent="0.25">
      <c r="A15" s="6">
        <v>3</v>
      </c>
      <c r="B15" s="13">
        <v>1500</v>
      </c>
      <c r="C15" s="14">
        <v>9</v>
      </c>
      <c r="D15" s="8">
        <v>3</v>
      </c>
      <c r="E15" s="8">
        <v>23</v>
      </c>
      <c r="F15" s="8">
        <v>2</v>
      </c>
      <c r="G15" s="8">
        <v>1</v>
      </c>
    </row>
    <row r="16" spans="1:7" x14ac:dyDescent="0.25">
      <c r="A16" s="6">
        <v>23</v>
      </c>
      <c r="B16" s="13">
        <v>1500</v>
      </c>
      <c r="C16" s="14">
        <v>11</v>
      </c>
      <c r="D16" s="8">
        <v>4</v>
      </c>
      <c r="E16" s="8">
        <v>25</v>
      </c>
      <c r="F16" s="8">
        <v>6</v>
      </c>
      <c r="G16" s="8">
        <v>1</v>
      </c>
    </row>
    <row r="17" spans="1:7" x14ac:dyDescent="0.25">
      <c r="A17" s="6">
        <v>24</v>
      </c>
      <c r="B17" s="13">
        <v>1500</v>
      </c>
      <c r="C17" s="14">
        <v>11</v>
      </c>
      <c r="D17" s="8">
        <v>4</v>
      </c>
      <c r="E17" s="8">
        <v>26</v>
      </c>
      <c r="F17" s="8">
        <v>6</v>
      </c>
      <c r="G17" s="8">
        <v>1</v>
      </c>
    </row>
    <row r="18" spans="1:7" x14ac:dyDescent="0.25">
      <c r="A18" s="6">
        <v>35</v>
      </c>
      <c r="B18" s="13">
        <v>1500</v>
      </c>
      <c r="C18" s="14">
        <v>11</v>
      </c>
      <c r="D18" s="8">
        <v>4</v>
      </c>
      <c r="E18" s="8">
        <v>26</v>
      </c>
      <c r="F18" s="8">
        <v>3</v>
      </c>
      <c r="G18" s="8">
        <v>1</v>
      </c>
    </row>
    <row r="19" spans="1:7" x14ac:dyDescent="0.25">
      <c r="A19" s="6">
        <v>39</v>
      </c>
      <c r="B19" s="13">
        <v>1500</v>
      </c>
      <c r="C19" s="14">
        <v>9</v>
      </c>
      <c r="D19" s="8">
        <v>3</v>
      </c>
      <c r="E19" s="8">
        <v>24</v>
      </c>
      <c r="F19" s="8">
        <v>3</v>
      </c>
      <c r="G19" s="8">
        <v>1</v>
      </c>
    </row>
    <row r="20" spans="1:7" x14ac:dyDescent="0.25">
      <c r="A20" s="6">
        <v>49</v>
      </c>
      <c r="B20" s="13">
        <v>1500</v>
      </c>
      <c r="C20" s="14">
        <v>11</v>
      </c>
      <c r="D20" s="8">
        <v>3</v>
      </c>
      <c r="E20" s="8">
        <v>29</v>
      </c>
      <c r="F20" s="8">
        <v>8</v>
      </c>
      <c r="G20" s="8">
        <v>1</v>
      </c>
    </row>
    <row r="21" spans="1:7" x14ac:dyDescent="0.25">
      <c r="A21" s="6">
        <v>24</v>
      </c>
      <c r="B21" s="13">
        <v>1550</v>
      </c>
      <c r="C21" s="14">
        <v>11</v>
      </c>
      <c r="D21" s="8">
        <v>3</v>
      </c>
      <c r="E21" s="8">
        <v>25</v>
      </c>
      <c r="F21" s="8">
        <v>5</v>
      </c>
      <c r="G21" s="8">
        <v>1</v>
      </c>
    </row>
    <row r="22" spans="1:7" x14ac:dyDescent="0.25">
      <c r="A22" s="6">
        <v>25</v>
      </c>
      <c r="B22" s="13">
        <v>1550</v>
      </c>
      <c r="C22" s="14">
        <v>11</v>
      </c>
      <c r="D22" s="8">
        <v>3</v>
      </c>
      <c r="E22" s="8">
        <v>26</v>
      </c>
      <c r="F22" s="8">
        <v>5</v>
      </c>
      <c r="G22" s="8">
        <v>1</v>
      </c>
    </row>
    <row r="23" spans="1:7" x14ac:dyDescent="0.25">
      <c r="A23" s="6">
        <v>6</v>
      </c>
      <c r="B23" s="13">
        <v>1600</v>
      </c>
      <c r="C23" s="14">
        <v>10</v>
      </c>
      <c r="D23" s="8">
        <v>4</v>
      </c>
      <c r="E23" s="8">
        <v>26</v>
      </c>
      <c r="F23" s="8">
        <v>5</v>
      </c>
      <c r="G23" s="8">
        <v>1</v>
      </c>
    </row>
    <row r="24" spans="1:7" x14ac:dyDescent="0.25">
      <c r="A24" s="6">
        <v>10</v>
      </c>
      <c r="B24" s="13">
        <v>1600</v>
      </c>
      <c r="C24" s="14">
        <v>10</v>
      </c>
      <c r="D24" s="8">
        <v>4</v>
      </c>
      <c r="E24" s="8">
        <v>28</v>
      </c>
      <c r="F24" s="8">
        <v>2</v>
      </c>
      <c r="G24" s="8">
        <v>1</v>
      </c>
    </row>
    <row r="25" spans="1:7" x14ac:dyDescent="0.25">
      <c r="A25" s="6">
        <v>15</v>
      </c>
      <c r="B25" s="13">
        <v>1600</v>
      </c>
      <c r="C25" s="14">
        <v>10</v>
      </c>
      <c r="D25" s="8">
        <v>2</v>
      </c>
      <c r="E25" s="8">
        <v>26</v>
      </c>
      <c r="F25" s="8">
        <v>8</v>
      </c>
      <c r="G25" s="8">
        <v>1</v>
      </c>
    </row>
    <row r="26" spans="1:7" x14ac:dyDescent="0.25">
      <c r="A26" s="6">
        <v>16</v>
      </c>
      <c r="B26" s="13">
        <v>1600</v>
      </c>
      <c r="C26" s="14">
        <v>9</v>
      </c>
      <c r="D26" s="8">
        <v>2</v>
      </c>
      <c r="E26" s="8">
        <v>29</v>
      </c>
      <c r="F26" s="8">
        <v>9</v>
      </c>
      <c r="G26" s="8">
        <v>1</v>
      </c>
    </row>
    <row r="27" spans="1:7" x14ac:dyDescent="0.25">
      <c r="A27" s="6">
        <v>29</v>
      </c>
      <c r="B27" s="13">
        <v>1600</v>
      </c>
      <c r="C27" s="14">
        <v>10</v>
      </c>
      <c r="D27" s="8">
        <v>4</v>
      </c>
      <c r="E27" s="8">
        <v>29</v>
      </c>
      <c r="F27" s="8">
        <v>5</v>
      </c>
      <c r="G27" s="8">
        <v>1</v>
      </c>
    </row>
    <row r="28" spans="1:7" x14ac:dyDescent="0.25">
      <c r="A28" s="6">
        <v>30</v>
      </c>
      <c r="B28" s="13">
        <v>1600</v>
      </c>
      <c r="C28" s="14">
        <v>12</v>
      </c>
      <c r="D28" s="8">
        <v>5</v>
      </c>
      <c r="E28" s="8">
        <v>32</v>
      </c>
      <c r="F28" s="8">
        <v>8</v>
      </c>
      <c r="G28" s="8">
        <v>1</v>
      </c>
    </row>
    <row r="29" spans="1:7" x14ac:dyDescent="0.25">
      <c r="A29" s="6">
        <v>36</v>
      </c>
      <c r="B29" s="13">
        <v>1600</v>
      </c>
      <c r="C29" s="14">
        <v>12</v>
      </c>
      <c r="D29" s="8">
        <v>5</v>
      </c>
      <c r="E29" s="8">
        <v>32</v>
      </c>
      <c r="F29" s="8">
        <v>4</v>
      </c>
      <c r="G29" s="8">
        <v>1</v>
      </c>
    </row>
    <row r="30" spans="1:7" x14ac:dyDescent="0.25">
      <c r="A30" s="6">
        <v>43</v>
      </c>
      <c r="B30" s="13">
        <v>1600</v>
      </c>
      <c r="C30" s="12">
        <v>11</v>
      </c>
      <c r="D30" s="8">
        <v>5</v>
      </c>
      <c r="E30" s="8">
        <v>30</v>
      </c>
      <c r="F30" s="8">
        <v>4</v>
      </c>
      <c r="G30" s="8">
        <v>1</v>
      </c>
    </row>
    <row r="31" spans="1:7" x14ac:dyDescent="0.25">
      <c r="A31" s="6">
        <v>11</v>
      </c>
      <c r="B31" s="13">
        <v>1650</v>
      </c>
      <c r="C31" s="14">
        <v>8</v>
      </c>
      <c r="D31" s="8">
        <v>3</v>
      </c>
      <c r="E31" s="8">
        <v>30</v>
      </c>
      <c r="F31" s="8">
        <v>1</v>
      </c>
      <c r="G31" s="8">
        <v>1</v>
      </c>
    </row>
    <row r="32" spans="1:7" x14ac:dyDescent="0.25">
      <c r="A32" s="6">
        <v>12</v>
      </c>
      <c r="B32" s="13">
        <v>1650</v>
      </c>
      <c r="C32" s="14">
        <v>9</v>
      </c>
      <c r="D32" s="8">
        <v>4</v>
      </c>
      <c r="E32" s="8">
        <v>28</v>
      </c>
      <c r="F32" s="8">
        <v>3</v>
      </c>
      <c r="G32" s="8">
        <v>1</v>
      </c>
    </row>
    <row r="33" spans="1:7" x14ac:dyDescent="0.25">
      <c r="A33" s="6">
        <v>21</v>
      </c>
      <c r="B33" s="13">
        <v>1650</v>
      </c>
      <c r="C33" s="14">
        <v>9</v>
      </c>
      <c r="D33" s="8">
        <v>4</v>
      </c>
      <c r="E33" s="8">
        <v>29</v>
      </c>
      <c r="F33" s="8">
        <v>3</v>
      </c>
      <c r="G33" s="8">
        <v>1</v>
      </c>
    </row>
    <row r="34" spans="1:7" x14ac:dyDescent="0.25">
      <c r="A34" s="6">
        <v>22</v>
      </c>
      <c r="B34" s="13">
        <v>1650</v>
      </c>
      <c r="C34" s="14">
        <v>9</v>
      </c>
      <c r="D34" s="8">
        <v>4</v>
      </c>
      <c r="E34" s="8">
        <v>30</v>
      </c>
      <c r="F34" s="8">
        <v>5</v>
      </c>
      <c r="G34" s="8">
        <v>1</v>
      </c>
    </row>
    <row r="35" spans="1:7" x14ac:dyDescent="0.25">
      <c r="A35" s="6">
        <v>47</v>
      </c>
      <c r="B35" s="13">
        <v>1650</v>
      </c>
      <c r="C35" s="14">
        <v>10</v>
      </c>
      <c r="D35" s="8">
        <v>3</v>
      </c>
      <c r="E35" s="8">
        <v>27</v>
      </c>
      <c r="F35" s="8">
        <v>6</v>
      </c>
      <c r="G35" s="8">
        <v>1</v>
      </c>
    </row>
    <row r="36" spans="1:7" x14ac:dyDescent="0.25">
      <c r="A36" s="6">
        <v>48</v>
      </c>
      <c r="B36" s="13">
        <v>1650</v>
      </c>
      <c r="C36" s="14">
        <v>9</v>
      </c>
      <c r="D36" s="8">
        <v>2</v>
      </c>
      <c r="E36" s="8">
        <v>30</v>
      </c>
      <c r="F36" s="8">
        <v>5</v>
      </c>
      <c r="G36" s="8">
        <v>1</v>
      </c>
    </row>
    <row r="37" spans="1:7" x14ac:dyDescent="0.25">
      <c r="A37" s="6">
        <v>19</v>
      </c>
      <c r="B37" s="13">
        <v>1700</v>
      </c>
      <c r="C37" s="12">
        <v>10</v>
      </c>
      <c r="D37" s="8">
        <v>9</v>
      </c>
      <c r="E37" s="8">
        <v>33</v>
      </c>
      <c r="F37" s="8">
        <v>8</v>
      </c>
      <c r="G37" s="8">
        <v>1</v>
      </c>
    </row>
    <row r="38" spans="1:7" x14ac:dyDescent="0.25">
      <c r="A38" s="6">
        <v>20</v>
      </c>
      <c r="B38" s="13">
        <v>1700</v>
      </c>
      <c r="C38" s="14">
        <v>10</v>
      </c>
      <c r="D38" s="8">
        <v>5</v>
      </c>
      <c r="E38" s="8">
        <v>32</v>
      </c>
      <c r="F38" s="8">
        <v>8</v>
      </c>
      <c r="G38" s="8">
        <v>1</v>
      </c>
    </row>
    <row r="39" spans="1:7" x14ac:dyDescent="0.25">
      <c r="A39" s="6">
        <v>37</v>
      </c>
      <c r="B39" s="13">
        <v>1700</v>
      </c>
      <c r="C39" s="14">
        <v>11</v>
      </c>
      <c r="D39" s="8">
        <v>5</v>
      </c>
      <c r="E39" s="8">
        <v>31</v>
      </c>
      <c r="F39" s="8">
        <v>4</v>
      </c>
      <c r="G39" s="8">
        <v>1</v>
      </c>
    </row>
    <row r="40" spans="1:7" x14ac:dyDescent="0.25">
      <c r="A40" s="6">
        <v>45</v>
      </c>
      <c r="B40" s="13">
        <v>1700</v>
      </c>
      <c r="C40" s="14">
        <v>11</v>
      </c>
      <c r="D40" s="8">
        <v>5</v>
      </c>
      <c r="E40" s="8">
        <v>34</v>
      </c>
      <c r="F40" s="8">
        <v>6</v>
      </c>
      <c r="G40" s="8">
        <v>1</v>
      </c>
    </row>
    <row r="41" spans="1:7" x14ac:dyDescent="0.25">
      <c r="A41" s="6">
        <v>46</v>
      </c>
      <c r="B41" s="13">
        <v>1700</v>
      </c>
      <c r="C41" s="14">
        <v>10</v>
      </c>
      <c r="D41" s="8">
        <v>5</v>
      </c>
      <c r="E41" s="8">
        <v>32</v>
      </c>
      <c r="F41" s="8">
        <v>5</v>
      </c>
      <c r="G41" s="8">
        <v>1</v>
      </c>
    </row>
    <row r="42" spans="1:7" x14ac:dyDescent="0.25">
      <c r="A42" s="6">
        <v>38</v>
      </c>
      <c r="B42" s="13">
        <v>1750</v>
      </c>
      <c r="C42" s="14">
        <v>10</v>
      </c>
      <c r="D42" s="8">
        <v>5</v>
      </c>
      <c r="E42" s="8">
        <v>30</v>
      </c>
      <c r="F42" s="8">
        <v>3</v>
      </c>
      <c r="G42" s="8">
        <v>1</v>
      </c>
    </row>
    <row r="43" spans="1:7" x14ac:dyDescent="0.25">
      <c r="A43" s="6">
        <v>5</v>
      </c>
      <c r="B43" s="13">
        <v>1750</v>
      </c>
      <c r="C43" s="14">
        <v>12</v>
      </c>
      <c r="D43" s="8">
        <v>8</v>
      </c>
      <c r="E43" s="8">
        <v>33</v>
      </c>
      <c r="F43" s="8">
        <v>6</v>
      </c>
      <c r="G43" s="8">
        <v>1</v>
      </c>
    </row>
    <row r="44" spans="1:7" x14ac:dyDescent="0.25">
      <c r="A44" s="6">
        <v>17</v>
      </c>
      <c r="B44" s="13">
        <v>1750</v>
      </c>
      <c r="C44" s="14">
        <v>12</v>
      </c>
      <c r="D44" s="8">
        <v>4</v>
      </c>
      <c r="E44" s="8">
        <v>33</v>
      </c>
      <c r="F44" s="8">
        <v>6</v>
      </c>
      <c r="G44" s="8">
        <v>1</v>
      </c>
    </row>
    <row r="45" spans="1:7" x14ac:dyDescent="0.25">
      <c r="A45" s="6">
        <v>18</v>
      </c>
      <c r="B45" s="13">
        <v>1750</v>
      </c>
      <c r="C45" s="14">
        <v>10</v>
      </c>
      <c r="D45" s="8">
        <v>4</v>
      </c>
      <c r="E45" s="8">
        <v>32</v>
      </c>
      <c r="F45" s="8">
        <v>7</v>
      </c>
      <c r="G45" s="8">
        <v>1</v>
      </c>
    </row>
    <row r="46" spans="1:7" x14ac:dyDescent="0.25">
      <c r="A46" s="6">
        <v>44</v>
      </c>
      <c r="B46" s="13">
        <v>1750</v>
      </c>
      <c r="C46" s="14">
        <v>11</v>
      </c>
      <c r="D46" s="8">
        <v>4</v>
      </c>
      <c r="E46" s="8">
        <v>31</v>
      </c>
      <c r="F46" s="8">
        <v>5</v>
      </c>
      <c r="G46" s="8">
        <v>1</v>
      </c>
    </row>
    <row r="47" spans="1:7" x14ac:dyDescent="0.25">
      <c r="A47" s="6">
        <v>41</v>
      </c>
      <c r="B47" s="13">
        <v>1750</v>
      </c>
      <c r="C47" s="14">
        <v>10</v>
      </c>
      <c r="D47" s="8">
        <v>5</v>
      </c>
      <c r="E47" s="8">
        <v>30</v>
      </c>
      <c r="F47" s="8">
        <v>2</v>
      </c>
      <c r="G47" s="8">
        <v>1</v>
      </c>
    </row>
    <row r="48" spans="1:7" x14ac:dyDescent="0.25">
      <c r="A48" s="6">
        <v>1</v>
      </c>
      <c r="B48" s="13">
        <v>1750</v>
      </c>
      <c r="C48" s="14">
        <v>11</v>
      </c>
      <c r="D48" s="8">
        <v>5</v>
      </c>
      <c r="E48" s="8">
        <v>29</v>
      </c>
      <c r="F48" s="8">
        <v>5</v>
      </c>
      <c r="G48" s="8">
        <v>1</v>
      </c>
    </row>
    <row r="49" spans="1:7" x14ac:dyDescent="0.25">
      <c r="A49" s="6">
        <v>7</v>
      </c>
      <c r="B49" s="13">
        <v>1750</v>
      </c>
      <c r="C49" s="14">
        <v>11</v>
      </c>
      <c r="D49" s="12">
        <v>4</v>
      </c>
      <c r="E49" s="8">
        <v>35</v>
      </c>
      <c r="F49" s="8">
        <v>9</v>
      </c>
      <c r="G49" s="8">
        <v>1</v>
      </c>
    </row>
    <row r="50" spans="1:7" x14ac:dyDescent="0.25">
      <c r="A50" s="6">
        <v>9</v>
      </c>
      <c r="B50" s="13">
        <v>1750</v>
      </c>
      <c r="C50" s="14">
        <v>11</v>
      </c>
      <c r="D50" s="8">
        <v>6</v>
      </c>
      <c r="E50" s="8">
        <v>36</v>
      </c>
      <c r="F50" s="8">
        <v>4</v>
      </c>
      <c r="G50" s="8">
        <v>1</v>
      </c>
    </row>
    <row r="51" spans="1:7" x14ac:dyDescent="0.25">
      <c r="A51" s="6">
        <v>27</v>
      </c>
      <c r="B51" s="13">
        <v>1800</v>
      </c>
      <c r="C51" s="14">
        <v>14</v>
      </c>
      <c r="D51" s="8">
        <v>6</v>
      </c>
      <c r="E51" s="8">
        <v>34</v>
      </c>
      <c r="F51" s="8">
        <v>4</v>
      </c>
      <c r="G51" s="8">
        <v>1</v>
      </c>
    </row>
    <row r="52" spans="1:7" x14ac:dyDescent="0.25">
      <c r="A52" s="6">
        <v>28</v>
      </c>
      <c r="B52" s="13">
        <v>1850</v>
      </c>
      <c r="C52" s="14">
        <v>12</v>
      </c>
      <c r="D52" s="8">
        <v>5</v>
      </c>
      <c r="E52" s="8">
        <v>33</v>
      </c>
      <c r="F52" s="8">
        <v>6</v>
      </c>
      <c r="G52" s="8">
        <v>1</v>
      </c>
    </row>
    <row r="53" spans="1:7" x14ac:dyDescent="0.25">
      <c r="A53" s="6">
        <v>31</v>
      </c>
      <c r="B53" s="13">
        <v>1900</v>
      </c>
      <c r="C53" s="14">
        <v>12</v>
      </c>
      <c r="D53" s="12">
        <v>5</v>
      </c>
      <c r="E53" s="8">
        <v>36</v>
      </c>
      <c r="F53" s="8">
        <v>3</v>
      </c>
      <c r="G53" s="8">
        <v>1</v>
      </c>
    </row>
    <row r="54" spans="1:7" x14ac:dyDescent="0.25">
      <c r="A54" s="6">
        <v>33</v>
      </c>
      <c r="B54" s="13">
        <v>2000</v>
      </c>
      <c r="C54" s="14">
        <v>11</v>
      </c>
      <c r="D54" s="8">
        <v>8</v>
      </c>
      <c r="E54" s="8">
        <v>32</v>
      </c>
      <c r="F54" s="8">
        <v>5</v>
      </c>
      <c r="G54" s="8">
        <v>1</v>
      </c>
    </row>
    <row r="55" spans="1:7" x14ac:dyDescent="0.25">
      <c r="A55" s="6">
        <v>34</v>
      </c>
      <c r="B55" s="13">
        <v>2000</v>
      </c>
      <c r="C55" s="14">
        <v>12</v>
      </c>
      <c r="D55" s="8">
        <v>6</v>
      </c>
      <c r="E55" s="8">
        <v>32</v>
      </c>
      <c r="F55" s="8">
        <v>7</v>
      </c>
      <c r="G55" s="8">
        <v>1</v>
      </c>
    </row>
    <row r="56" spans="1:7" x14ac:dyDescent="0.25">
      <c r="A56" s="6">
        <v>40</v>
      </c>
      <c r="B56" s="13">
        <v>2000</v>
      </c>
      <c r="C56" s="14">
        <v>12</v>
      </c>
      <c r="D56" s="8">
        <v>8</v>
      </c>
      <c r="E56" s="8">
        <v>31</v>
      </c>
      <c r="F56" s="8">
        <v>6</v>
      </c>
      <c r="G56" s="8">
        <v>1</v>
      </c>
    </row>
    <row r="57" spans="1:7" x14ac:dyDescent="0.25">
      <c r="A57" s="6">
        <v>42</v>
      </c>
      <c r="B57" s="13">
        <v>2100</v>
      </c>
      <c r="C57" s="14">
        <v>11</v>
      </c>
      <c r="D57" s="8">
        <v>4</v>
      </c>
      <c r="E57" s="8">
        <v>30</v>
      </c>
      <c r="F57" s="8">
        <v>6</v>
      </c>
      <c r="G57" s="8">
        <v>1</v>
      </c>
    </row>
    <row r="58" spans="1:7" x14ac:dyDescent="0.25">
      <c r="B58" s="25">
        <f>AVERAGE(B2:B57)</f>
        <v>1603.1785714285713</v>
      </c>
    </row>
    <row r="59" spans="1:7" x14ac:dyDescent="0.25">
      <c r="B59" s="25">
        <f>_xlfn.STDEV.S(B2:B57)</f>
        <v>211.61707330526403</v>
      </c>
    </row>
    <row r="60" spans="1:7" x14ac:dyDescent="0.25">
      <c r="A60" s="10" t="s">
        <v>44</v>
      </c>
      <c r="B60" s="24">
        <f>B59/B58</f>
        <v>0.13199844176852665</v>
      </c>
    </row>
    <row r="62" spans="1:7" x14ac:dyDescent="0.25">
      <c r="A62" t="s">
        <v>45</v>
      </c>
      <c r="B62" s="22">
        <f>CORREL(B2:B57,C2:C57)</f>
        <v>0.48323626356688837</v>
      </c>
    </row>
    <row r="63" spans="1:7" x14ac:dyDescent="0.25">
      <c r="A63" t="s">
        <v>46</v>
      </c>
      <c r="B63" s="22">
        <f>CORREL(B2:B57,D2:D57)</f>
        <v>0.52662603457726054</v>
      </c>
    </row>
  </sheetData>
  <sortState xmlns:xlrd2="http://schemas.microsoft.com/office/spreadsheetml/2017/richdata2" ref="A2:G57">
    <sortCondition ref="B2:B5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2488-9EB3-43CA-83B0-1E5E3796EAC0}">
  <dimension ref="A1:G34"/>
  <sheetViews>
    <sheetView zoomScale="120" zoomScaleNormal="120" workbookViewId="0">
      <selection activeCell="A35" sqref="A35"/>
    </sheetView>
  </sheetViews>
  <sheetFormatPr baseColWidth="10" defaultRowHeight="15" x14ac:dyDescent="0.25"/>
  <sheetData>
    <row r="1" spans="1:7" x14ac:dyDescent="0.25">
      <c r="A1" s="9" t="s">
        <v>0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</row>
    <row r="2" spans="1:7" x14ac:dyDescent="0.25">
      <c r="A2" s="6">
        <v>1</v>
      </c>
      <c r="B2" s="7">
        <v>3500</v>
      </c>
      <c r="C2" s="8">
        <v>15</v>
      </c>
      <c r="D2" s="8">
        <v>8</v>
      </c>
      <c r="E2" s="8">
        <v>27</v>
      </c>
      <c r="F2" s="8">
        <v>4</v>
      </c>
      <c r="G2" s="8">
        <v>2</v>
      </c>
    </row>
    <row r="3" spans="1:7" x14ac:dyDescent="0.25">
      <c r="A3" s="6">
        <v>2</v>
      </c>
      <c r="B3" s="7">
        <v>2200</v>
      </c>
      <c r="C3" s="8">
        <v>13</v>
      </c>
      <c r="D3" s="8">
        <v>5</v>
      </c>
      <c r="E3" s="8">
        <v>27</v>
      </c>
      <c r="F3" s="8">
        <v>6</v>
      </c>
      <c r="G3" s="8">
        <v>2</v>
      </c>
    </row>
    <row r="4" spans="1:7" x14ac:dyDescent="0.25">
      <c r="A4" s="6">
        <v>3</v>
      </c>
      <c r="B4" s="7">
        <v>3000</v>
      </c>
      <c r="C4" s="8">
        <v>14</v>
      </c>
      <c r="D4" s="8">
        <v>8</v>
      </c>
      <c r="E4" s="8">
        <v>28</v>
      </c>
      <c r="F4" s="8">
        <v>5</v>
      </c>
      <c r="G4" s="8">
        <v>2</v>
      </c>
    </row>
    <row r="5" spans="1:7" x14ac:dyDescent="0.25">
      <c r="A5" s="6">
        <v>4</v>
      </c>
      <c r="B5" s="7">
        <v>3000</v>
      </c>
      <c r="C5" s="8">
        <v>16</v>
      </c>
      <c r="D5" s="8">
        <v>7</v>
      </c>
      <c r="E5" s="8">
        <v>25</v>
      </c>
      <c r="F5" s="8">
        <v>6</v>
      </c>
      <c r="G5" s="8">
        <v>2</v>
      </c>
    </row>
    <row r="6" spans="1:7" x14ac:dyDescent="0.25">
      <c r="A6" s="6">
        <v>5</v>
      </c>
      <c r="B6" s="7">
        <v>3200</v>
      </c>
      <c r="C6" s="8">
        <v>14</v>
      </c>
      <c r="D6" s="8">
        <v>8</v>
      </c>
      <c r="E6" s="8">
        <v>29</v>
      </c>
      <c r="F6" s="8">
        <v>4</v>
      </c>
      <c r="G6" s="8">
        <v>2</v>
      </c>
    </row>
    <row r="7" spans="1:7" x14ac:dyDescent="0.25">
      <c r="A7" s="6">
        <v>6</v>
      </c>
      <c r="B7" s="7">
        <v>3200</v>
      </c>
      <c r="C7" s="8">
        <v>14</v>
      </c>
      <c r="D7" s="8">
        <v>5</v>
      </c>
      <c r="E7" s="8">
        <v>29</v>
      </c>
      <c r="F7" s="8">
        <v>4</v>
      </c>
      <c r="G7" s="8">
        <v>2</v>
      </c>
    </row>
    <row r="8" spans="1:7" x14ac:dyDescent="0.25">
      <c r="A8" s="6">
        <v>7</v>
      </c>
      <c r="B8" s="7">
        <v>3000</v>
      </c>
      <c r="C8" s="8">
        <v>15</v>
      </c>
      <c r="D8" s="8">
        <v>9</v>
      </c>
      <c r="E8" s="8">
        <v>28</v>
      </c>
      <c r="F8" s="8">
        <v>6</v>
      </c>
      <c r="G8" s="8">
        <v>2</v>
      </c>
    </row>
    <row r="9" spans="1:7" x14ac:dyDescent="0.25">
      <c r="A9" s="6">
        <v>8</v>
      </c>
      <c r="B9" s="7">
        <v>3000</v>
      </c>
      <c r="C9" s="8">
        <v>13</v>
      </c>
      <c r="D9" s="8">
        <v>6</v>
      </c>
      <c r="E9" s="8">
        <v>28</v>
      </c>
      <c r="F9" s="8">
        <v>6</v>
      </c>
      <c r="G9" s="8">
        <v>2</v>
      </c>
    </row>
    <row r="10" spans="1:7" x14ac:dyDescent="0.25">
      <c r="A10" s="6">
        <v>9</v>
      </c>
      <c r="B10" s="7">
        <v>3000</v>
      </c>
      <c r="C10" s="8">
        <v>15</v>
      </c>
      <c r="D10" s="8">
        <v>6</v>
      </c>
      <c r="E10" s="8">
        <v>30</v>
      </c>
      <c r="F10" s="8">
        <v>8</v>
      </c>
      <c r="G10" s="8">
        <v>2</v>
      </c>
    </row>
    <row r="11" spans="1:7" x14ac:dyDescent="0.25">
      <c r="A11" s="6">
        <v>10</v>
      </c>
      <c r="B11" s="7">
        <v>3000</v>
      </c>
      <c r="C11" s="8">
        <v>13</v>
      </c>
      <c r="D11" s="8">
        <v>4</v>
      </c>
      <c r="E11" s="8">
        <v>30</v>
      </c>
      <c r="F11" s="8">
        <v>8</v>
      </c>
      <c r="G11" s="8">
        <v>2</v>
      </c>
    </row>
    <row r="12" spans="1:7" x14ac:dyDescent="0.25">
      <c r="A12" s="6">
        <v>11</v>
      </c>
      <c r="B12" s="7">
        <v>3000</v>
      </c>
      <c r="C12" s="8">
        <v>14</v>
      </c>
      <c r="D12" s="8">
        <v>8</v>
      </c>
      <c r="E12" s="8">
        <v>26</v>
      </c>
      <c r="F12" s="8">
        <v>6</v>
      </c>
      <c r="G12" s="8">
        <v>2</v>
      </c>
    </row>
    <row r="13" spans="1:7" x14ac:dyDescent="0.25">
      <c r="A13" s="6">
        <v>12</v>
      </c>
      <c r="B13" s="7">
        <v>2500</v>
      </c>
      <c r="C13" s="8">
        <v>13</v>
      </c>
      <c r="D13" s="8">
        <v>5</v>
      </c>
      <c r="E13" s="8">
        <v>29</v>
      </c>
      <c r="F13" s="8">
        <v>6</v>
      </c>
      <c r="G13" s="8">
        <v>2</v>
      </c>
    </row>
    <row r="14" spans="1:7" x14ac:dyDescent="0.25">
      <c r="A14" s="6">
        <v>13</v>
      </c>
      <c r="B14" s="7">
        <v>3200</v>
      </c>
      <c r="C14" s="8">
        <v>15</v>
      </c>
      <c r="D14" s="8">
        <v>6</v>
      </c>
      <c r="E14" s="8">
        <v>30</v>
      </c>
      <c r="F14" s="8">
        <v>9</v>
      </c>
      <c r="G14" s="8">
        <v>2</v>
      </c>
    </row>
    <row r="15" spans="1:7" x14ac:dyDescent="0.25">
      <c r="A15" s="6">
        <v>14</v>
      </c>
      <c r="B15" s="7">
        <v>3200</v>
      </c>
      <c r="C15" s="8">
        <v>15</v>
      </c>
      <c r="D15" s="8">
        <v>4</v>
      </c>
      <c r="E15" s="8">
        <v>30</v>
      </c>
      <c r="F15" s="8">
        <v>7</v>
      </c>
      <c r="G15" s="8">
        <v>2</v>
      </c>
    </row>
    <row r="16" spans="1:7" x14ac:dyDescent="0.25">
      <c r="A16" s="6">
        <v>15</v>
      </c>
      <c r="B16" s="7">
        <v>3400</v>
      </c>
      <c r="C16" s="8">
        <v>10</v>
      </c>
      <c r="D16" s="8">
        <v>6</v>
      </c>
      <c r="E16" s="8">
        <v>29</v>
      </c>
      <c r="F16" s="8">
        <v>10</v>
      </c>
      <c r="G16" s="8">
        <v>2</v>
      </c>
    </row>
    <row r="17" spans="1:7" x14ac:dyDescent="0.25">
      <c r="A17" s="6">
        <v>16</v>
      </c>
      <c r="B17" s="7">
        <v>3400</v>
      </c>
      <c r="C17" s="8">
        <v>10</v>
      </c>
      <c r="D17" s="8">
        <v>6</v>
      </c>
      <c r="E17" s="8">
        <v>29</v>
      </c>
      <c r="F17" s="8">
        <v>6</v>
      </c>
      <c r="G17" s="8">
        <v>2</v>
      </c>
    </row>
    <row r="18" spans="1:7" x14ac:dyDescent="0.25">
      <c r="A18" s="6">
        <v>17</v>
      </c>
      <c r="B18" s="7">
        <v>3400</v>
      </c>
      <c r="C18" s="8">
        <v>10</v>
      </c>
      <c r="D18" s="8">
        <v>6</v>
      </c>
      <c r="E18" s="8">
        <v>30</v>
      </c>
      <c r="F18" s="8">
        <v>8</v>
      </c>
      <c r="G18" s="8">
        <v>2</v>
      </c>
    </row>
    <row r="19" spans="1:7" x14ac:dyDescent="0.25">
      <c r="A19" s="6">
        <v>18</v>
      </c>
      <c r="B19" s="7">
        <v>3400</v>
      </c>
      <c r="C19" s="8">
        <v>16</v>
      </c>
      <c r="D19" s="8">
        <v>7</v>
      </c>
      <c r="E19" s="8">
        <v>36</v>
      </c>
      <c r="F19" s="8">
        <v>10</v>
      </c>
      <c r="G19" s="8">
        <v>2</v>
      </c>
    </row>
    <row r="20" spans="1:7" x14ac:dyDescent="0.25">
      <c r="A20" s="6">
        <v>19</v>
      </c>
      <c r="B20" s="7">
        <v>3400</v>
      </c>
      <c r="C20" s="8">
        <v>16</v>
      </c>
      <c r="D20" s="8">
        <v>5</v>
      </c>
      <c r="E20" s="8">
        <v>33</v>
      </c>
      <c r="F20" s="8">
        <v>9</v>
      </c>
      <c r="G20" s="8">
        <v>2</v>
      </c>
    </row>
    <row r="21" spans="1:7" x14ac:dyDescent="0.25">
      <c r="A21" s="6">
        <v>20</v>
      </c>
      <c r="B21" s="7">
        <v>2200</v>
      </c>
      <c r="C21" s="8">
        <v>13</v>
      </c>
      <c r="D21" s="8">
        <v>6</v>
      </c>
      <c r="E21" s="8">
        <v>29</v>
      </c>
      <c r="F21" s="8">
        <v>4</v>
      </c>
      <c r="G21" s="8">
        <v>2</v>
      </c>
    </row>
    <row r="22" spans="1:7" x14ac:dyDescent="0.25">
      <c r="A22" s="6">
        <v>21</v>
      </c>
      <c r="B22" s="7">
        <v>2200</v>
      </c>
      <c r="C22" s="8">
        <v>13</v>
      </c>
      <c r="D22" s="8">
        <v>6</v>
      </c>
      <c r="E22" s="8">
        <v>30</v>
      </c>
      <c r="F22" s="8">
        <v>4</v>
      </c>
      <c r="G22" s="8">
        <v>2</v>
      </c>
    </row>
    <row r="23" spans="1:7" x14ac:dyDescent="0.25">
      <c r="A23" s="6">
        <v>22</v>
      </c>
      <c r="B23" s="7">
        <v>3200</v>
      </c>
      <c r="C23" s="8">
        <v>11</v>
      </c>
      <c r="D23" s="8">
        <v>5</v>
      </c>
      <c r="E23" s="8">
        <v>24</v>
      </c>
      <c r="F23" s="8">
        <f>+E23-18</f>
        <v>6</v>
      </c>
      <c r="G23" s="8">
        <v>2</v>
      </c>
    </row>
    <row r="24" spans="1:7" x14ac:dyDescent="0.25">
      <c r="A24" s="6">
        <v>23</v>
      </c>
      <c r="B24" s="7">
        <v>3400</v>
      </c>
      <c r="C24" s="8">
        <v>15</v>
      </c>
      <c r="D24" s="8">
        <v>8</v>
      </c>
      <c r="E24" s="8">
        <v>36</v>
      </c>
      <c r="F24" s="8">
        <v>12</v>
      </c>
      <c r="G24" s="8">
        <v>2</v>
      </c>
    </row>
    <row r="25" spans="1:7" x14ac:dyDescent="0.25">
      <c r="A25" s="6">
        <v>24</v>
      </c>
      <c r="B25" s="7">
        <v>2500</v>
      </c>
      <c r="C25" s="8">
        <v>10</v>
      </c>
      <c r="D25" s="8">
        <v>4</v>
      </c>
      <c r="E25" s="8">
        <v>25</v>
      </c>
      <c r="F25" s="8">
        <v>5</v>
      </c>
      <c r="G25" s="8">
        <v>2</v>
      </c>
    </row>
    <row r="26" spans="1:7" x14ac:dyDescent="0.25">
      <c r="A26" s="6">
        <v>25</v>
      </c>
      <c r="B26" s="7">
        <v>2500</v>
      </c>
      <c r="C26" s="8">
        <v>13</v>
      </c>
      <c r="D26" s="8">
        <v>5</v>
      </c>
      <c r="E26" s="8">
        <v>29</v>
      </c>
      <c r="F26" s="8">
        <v>8</v>
      </c>
      <c r="G26" s="8">
        <v>2</v>
      </c>
    </row>
    <row r="27" spans="1:7" x14ac:dyDescent="0.25">
      <c r="A27" s="6">
        <v>26</v>
      </c>
      <c r="B27" s="7">
        <v>3200</v>
      </c>
      <c r="C27" s="8">
        <v>10</v>
      </c>
      <c r="D27" s="8">
        <v>6</v>
      </c>
      <c r="E27" s="8">
        <v>30</v>
      </c>
      <c r="F27" s="8">
        <v>9</v>
      </c>
      <c r="G27" s="8">
        <v>2</v>
      </c>
    </row>
    <row r="28" spans="1:7" x14ac:dyDescent="0.25">
      <c r="A28" s="6">
        <v>27</v>
      </c>
      <c r="B28" s="7">
        <v>3000</v>
      </c>
      <c r="C28" s="8">
        <v>12</v>
      </c>
      <c r="D28" s="8">
        <v>4</v>
      </c>
      <c r="E28" s="8">
        <v>29</v>
      </c>
      <c r="F28" s="8">
        <v>6</v>
      </c>
      <c r="G28" s="8">
        <v>2</v>
      </c>
    </row>
    <row r="29" spans="1:7" x14ac:dyDescent="0.25">
      <c r="A29" s="6">
        <v>28</v>
      </c>
      <c r="B29" s="7">
        <v>2500</v>
      </c>
      <c r="C29" s="8">
        <v>11</v>
      </c>
      <c r="D29" s="8">
        <v>7</v>
      </c>
      <c r="E29" s="8">
        <v>28</v>
      </c>
      <c r="F29" s="8">
        <v>3</v>
      </c>
      <c r="G29" s="8">
        <v>2</v>
      </c>
    </row>
    <row r="30" spans="1:7" x14ac:dyDescent="0.25">
      <c r="A30" s="6">
        <v>29</v>
      </c>
      <c r="B30" s="7">
        <v>2500</v>
      </c>
      <c r="C30" s="8">
        <v>11</v>
      </c>
      <c r="D30" s="8">
        <v>6</v>
      </c>
      <c r="E30" s="8">
        <v>27</v>
      </c>
      <c r="F30" s="8">
        <v>3</v>
      </c>
      <c r="G30" s="8">
        <v>2</v>
      </c>
    </row>
    <row r="31" spans="1:7" x14ac:dyDescent="0.25">
      <c r="A31" s="6">
        <v>30</v>
      </c>
      <c r="B31" s="7">
        <v>2500</v>
      </c>
      <c r="C31" s="8">
        <v>12</v>
      </c>
      <c r="D31" s="8">
        <v>5</v>
      </c>
      <c r="E31" s="8">
        <v>25</v>
      </c>
      <c r="F31" s="8">
        <v>2</v>
      </c>
      <c r="G31" s="8">
        <v>2</v>
      </c>
    </row>
    <row r="32" spans="1:7" x14ac:dyDescent="0.25">
      <c r="B32" s="25">
        <f>AVERAGE(B2:B31)</f>
        <v>2956.6666666666665</v>
      </c>
    </row>
    <row r="33" spans="1:2" x14ac:dyDescent="0.25">
      <c r="B33" s="25">
        <f>_xlfn.STDEV.S(B2:B31)</f>
        <v>407.41686973801922</v>
      </c>
    </row>
    <row r="34" spans="1:2" x14ac:dyDescent="0.25">
      <c r="A34" t="s">
        <v>44</v>
      </c>
      <c r="B34" s="24">
        <f>B33/B32</f>
        <v>0.13779601005795464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Empresa_Descripción</vt:lpstr>
      <vt:lpstr>1ra_Muestra_empleados</vt:lpstr>
      <vt:lpstr>2da Muestra_56_empleados</vt:lpstr>
      <vt:lpstr>3raMuestra_Diseño Muestral</vt:lpstr>
      <vt:lpstr>3ra_muestra_Data_ope</vt:lpstr>
      <vt:lpstr>3ra muestra_Data_tec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Yanac Durango</dc:creator>
  <cp:lastModifiedBy>Nilton Yanac Durango</cp:lastModifiedBy>
  <dcterms:created xsi:type="dcterms:W3CDTF">2022-05-02T22:10:50Z</dcterms:created>
  <dcterms:modified xsi:type="dcterms:W3CDTF">2026-01-08T23:12:49Z</dcterms:modified>
</cp:coreProperties>
</file>