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2808784261f2460/DMC/DIP DS E18/DMC_DIP_DS18_S01/"/>
    </mc:Choice>
  </mc:AlternateContent>
  <xr:revisionPtr revIDLastSave="187" documentId="8_{C2A71CB8-39A5-44BE-A48A-FAB4B1BFF3DD}" xr6:coauthVersionLast="47" xr6:coauthVersionMax="47" xr10:uidLastSave="{4D610FF5-BE05-49C7-9197-CB7CCF66B418}"/>
  <bookViews>
    <workbookView xWindow="20370" yWindow="-120" windowWidth="29040" windowHeight="15840" activeTab="1" xr2:uid="{51C1A7D0-6779-412F-972C-EE4782AAA639}"/>
  </bookViews>
  <sheets>
    <sheet name="Descripción" sheetId="7" r:id="rId1"/>
    <sheet name="1ra Muestra de empleados" sheetId="1" r:id="rId2"/>
    <sheet name="2da Muestra_56_empleados" sheetId="14" r:id="rId3"/>
    <sheet name="Diseño muestral" sheetId="11" r:id="rId4"/>
    <sheet name="Hoja1" sheetId="15" r:id="rId5"/>
    <sheet name="3ra_muestra_Data_ope" sheetId="12" state="hidden" r:id="rId6"/>
    <sheet name="3ra muestra_Data_tec" sheetId="13" state="hidden" r:id="rId7"/>
  </sheets>
  <definedNames>
    <definedName name="_xlnm._FilterDatabase" localSheetId="2" hidden="1">'2da Muestra_56_empleados'!$A$1:$N$65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17" i="15" l="1"/>
  <c r="E9" i="15"/>
  <c r="F9" i="15"/>
  <c r="F6" i="15"/>
  <c r="F7" i="15"/>
  <c r="F8" i="15"/>
  <c r="F5" i="15"/>
  <c r="D9" i="15"/>
  <c r="K7" i="14"/>
  <c r="N7" i="14"/>
  <c r="B33" i="1" l="1"/>
  <c r="B35" i="1"/>
  <c r="B34" i="1"/>
  <c r="B58" i="14" l="1"/>
  <c r="B58" i="12"/>
  <c r="I11" i="11" l="1"/>
  <c r="C59" i="14"/>
  <c r="C58" i="14"/>
  <c r="F25" i="14"/>
  <c r="F26" i="14"/>
  <c r="F27" i="14"/>
  <c r="F28" i="14"/>
  <c r="F29" i="14"/>
  <c r="F30" i="14"/>
  <c r="F31" i="14"/>
  <c r="F32" i="14"/>
  <c r="B59" i="14"/>
  <c r="B60" i="14"/>
  <c r="B61" i="14"/>
  <c r="B62" i="14"/>
  <c r="B63" i="14"/>
  <c r="B64" i="14"/>
  <c r="J11" i="11" l="1"/>
  <c r="K11" i="11"/>
  <c r="L11" i="11"/>
  <c r="F23" i="13"/>
  <c r="B36" i="1" l="1"/>
</calcChain>
</file>

<file path=xl/sharedStrings.xml><?xml version="1.0" encoding="utf-8"?>
<sst xmlns="http://schemas.openxmlformats.org/spreadsheetml/2006/main" count="170" uniqueCount="85">
  <si>
    <t>ID</t>
  </si>
  <si>
    <t>Dicha área está buscando identificar la relación que existe entre el salario actual de su personal y otras características como la antigüedad de la persona en la empresa, la experiencia laboral en el área específica, entre otras.</t>
  </si>
  <si>
    <t>Con los hallazgos, la gerencia general busca desarrollar una política de sueldos para sus nuevos colaboradores y desarrolar junto al área de RRHH una política de salarios según el puesto a contratar y según méritorcracia.</t>
  </si>
  <si>
    <t>Caso práctico.-</t>
  </si>
  <si>
    <t>MEDIA</t>
  </si>
  <si>
    <t>MEDIANA</t>
  </si>
  <si>
    <t>MODA</t>
  </si>
  <si>
    <t>N</t>
  </si>
  <si>
    <t>Y= Salario mensual</t>
  </si>
  <si>
    <t>X1: Años de estudios</t>
  </si>
  <si>
    <t>X2: Experiencia laboral específica (años)</t>
  </si>
  <si>
    <t>X3: Edad</t>
  </si>
  <si>
    <t>X4: Antigüedad</t>
  </si>
  <si>
    <r>
      <t xml:space="preserve">El área de RRHH de la empresa XYZ ha seleccionado aleatoriamente a 30 personas del </t>
    </r>
    <r>
      <rPr>
        <sz val="11"/>
        <color rgb="FFFF0000"/>
        <rFont val="Calibri"/>
        <family val="2"/>
        <scheme val="minor"/>
      </rPr>
      <t>área de producción (se encuentran personal operario, personal técnico, jefe de área, y supervisores)</t>
    </r>
  </si>
  <si>
    <t>X5: Cargo</t>
  </si>
  <si>
    <t>La cantidad de trabajadores del área de producción es de 280 personas, incluyendo a los operarios, supervisores, jefes y sub gerentes. La empresa cuenta con 320 empleados en total.</t>
  </si>
  <si>
    <t>N=</t>
  </si>
  <si>
    <t>Salario</t>
  </si>
  <si>
    <t>X1</t>
  </si>
  <si>
    <t>X2</t>
  </si>
  <si>
    <t>X3</t>
  </si>
  <si>
    <t>X4</t>
  </si>
  <si>
    <t>X5</t>
  </si>
  <si>
    <t>DISEÑO MUESTRAL</t>
  </si>
  <si>
    <t>Muestreo estratficado:</t>
  </si>
  <si>
    <t>Estrato 1 =</t>
  </si>
  <si>
    <t>Estrato 2 =</t>
  </si>
  <si>
    <t>Estrato 3 =</t>
  </si>
  <si>
    <t>Operarios</t>
  </si>
  <si>
    <t>Técnicos</t>
  </si>
  <si>
    <t>Jefes y Supervisores</t>
  </si>
  <si>
    <t>Estrato 4=</t>
  </si>
  <si>
    <t>Plana gerencial, sub gerentes.</t>
  </si>
  <si>
    <t>Otros = personal administrativo no decisor</t>
  </si>
  <si>
    <t>Total</t>
  </si>
  <si>
    <t>Turno 01</t>
  </si>
  <si>
    <t>Turno 02</t>
  </si>
  <si>
    <t>Turno 03</t>
  </si>
  <si>
    <t>TAMAÑO MUESTRAL</t>
  </si>
  <si>
    <t>COEF. VARIACIÓN</t>
  </si>
  <si>
    <t>VALOR_MAX=</t>
  </si>
  <si>
    <t>VALOR_MIN=</t>
  </si>
  <si>
    <t>RANGO</t>
  </si>
  <si>
    <t>Operario</t>
  </si>
  <si>
    <t>Técnico</t>
  </si>
  <si>
    <t>n_pob finitas=</t>
  </si>
  <si>
    <t>n pob_infinitas=</t>
  </si>
  <si>
    <t>Error=</t>
  </si>
  <si>
    <t>Prob_éxito =</t>
  </si>
  <si>
    <t>Z_tabla=</t>
  </si>
  <si>
    <t>Infinito</t>
  </si>
  <si>
    <t>CALCULADORA MUESTRAL: POBLACIÓN FINITA</t>
  </si>
  <si>
    <t>CALCULADORA MUESTRAL: POBLACIÓN INFINITA</t>
  </si>
  <si>
    <t>X5: Cargo_RECODIFICADO</t>
  </si>
  <si>
    <t>NC95%</t>
  </si>
  <si>
    <t>NC</t>
  </si>
  <si>
    <t>Z</t>
  </si>
  <si>
    <t>LIMA MET</t>
  </si>
  <si>
    <t>AREQUIPA</t>
  </si>
  <si>
    <t>TRUJILLO</t>
  </si>
  <si>
    <t>LORETO</t>
  </si>
  <si>
    <t xml:space="preserve"> </t>
  </si>
  <si>
    <t>POB. TOTAL</t>
  </si>
  <si>
    <t>URBANO</t>
  </si>
  <si>
    <t>RURAL</t>
  </si>
  <si>
    <t>n_total=</t>
  </si>
  <si>
    <t>n_Lima</t>
  </si>
  <si>
    <t>n_Arequipa</t>
  </si>
  <si>
    <t>n_Trujillo</t>
  </si>
  <si>
    <t>n_Loreto</t>
  </si>
  <si>
    <t>n_total_sig_x_region</t>
  </si>
  <si>
    <t>3% error_para total</t>
  </si>
  <si>
    <t>3%_error_ para Lima</t>
  </si>
  <si>
    <t>3%_error_ para Trujillo</t>
  </si>
  <si>
    <t>3%_error_ para Loreto</t>
  </si>
  <si>
    <t>3%_error_ para AQP</t>
  </si>
  <si>
    <t>POBLACIÓN</t>
  </si>
  <si>
    <t>MUESTRA</t>
  </si>
  <si>
    <t>4% ERROR</t>
  </si>
  <si>
    <t>8% ERROR</t>
  </si>
  <si>
    <t>14% ERROR</t>
  </si>
  <si>
    <t>17% ERROR</t>
  </si>
  <si>
    <t>VOTOS VÁLIDOS</t>
  </si>
  <si>
    <t>VOTOS NO VÁLIDOS</t>
  </si>
  <si>
    <t>NO SABE/NO RESPONDE/NO DECIDE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</si>
</sst>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&quot;S/&quot;\ #,##0.00"/>
    <numFmt numFmtId="165" formatCode="_-* #,##0_-;\-* #,##0_-;_-* &quot;-&quot;??_-;_-@_-"/>
    <numFmt numFmtId="166" formatCode="&quot;S/&quot;\ #,##0"/>
    <numFmt numFmtId="167" formatCode="0.0%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14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6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22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7030A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63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/>
    </xf>
    <xf numFmtId="0" fontId="4" fillId="0" borderId="0" xfId="0" applyFont="1"/>
    <xf numFmtId="0" fontId="5" fillId="0" borderId="0" xfId="0" applyFont="1"/>
    <xf numFmtId="0" fontId="5" fillId="0" borderId="0" xfId="0" applyFont="1" applyAlignment="1">
      <alignment horizontal="center"/>
    </xf>
    <xf numFmtId="165" fontId="5" fillId="0" borderId="0" xfId="2" applyNumberFormat="1" applyFont="1" applyAlignment="1">
      <alignment horizontal="center"/>
    </xf>
    <xf numFmtId="165" fontId="0" fillId="0" borderId="0" xfId="2" applyNumberFormat="1" applyFont="1"/>
    <xf numFmtId="165" fontId="5" fillId="0" borderId="0" xfId="2" applyNumberFormat="1" applyFont="1"/>
    <xf numFmtId="0" fontId="5" fillId="0" borderId="0" xfId="0" applyFont="1" applyAlignment="1">
      <alignment horizontal="left"/>
    </xf>
    <xf numFmtId="166" fontId="2" fillId="3" borderId="0" xfId="0" applyNumberFormat="1" applyFont="1" applyFill="1"/>
    <xf numFmtId="165" fontId="5" fillId="3" borderId="0" xfId="2" applyNumberFormat="1" applyFont="1" applyFill="1"/>
    <xf numFmtId="0" fontId="0" fillId="0" borderId="0" xfId="0" applyAlignment="1">
      <alignment horizontal="left"/>
    </xf>
    <xf numFmtId="0" fontId="11" fillId="0" borderId="1" xfId="0" applyFont="1" applyBorder="1"/>
    <xf numFmtId="164" fontId="11" fillId="0" borderId="1" xfId="0" applyNumberFormat="1" applyFont="1" applyBorder="1"/>
    <xf numFmtId="0" fontId="11" fillId="0" borderId="1" xfId="0" applyFont="1" applyBorder="1" applyAlignment="1">
      <alignment horizontal="center"/>
    </xf>
    <xf numFmtId="0" fontId="6" fillId="6" borderId="1" xfId="0" applyFont="1" applyFill="1" applyBorder="1" applyAlignment="1">
      <alignment horizontal="center" vertical="center" wrapText="1"/>
    </xf>
    <xf numFmtId="0" fontId="11" fillId="0" borderId="0" xfId="0" applyFont="1"/>
    <xf numFmtId="0" fontId="11" fillId="0" borderId="0" xfId="0" applyFont="1" applyAlignment="1">
      <alignment horizontal="center"/>
    </xf>
    <xf numFmtId="0" fontId="11" fillId="3" borderId="1" xfId="0" applyFont="1" applyFill="1" applyBorder="1" applyAlignment="1">
      <alignment horizontal="center"/>
    </xf>
    <xf numFmtId="164" fontId="11" fillId="7" borderId="1" xfId="0" applyNumberFormat="1" applyFont="1" applyFill="1" applyBorder="1"/>
    <xf numFmtId="0" fontId="11" fillId="7" borderId="1" xfId="0" applyFont="1" applyFill="1" applyBorder="1" applyAlignment="1">
      <alignment horizontal="center"/>
    </xf>
    <xf numFmtId="0" fontId="7" fillId="8" borderId="1" xfId="0" applyFont="1" applyFill="1" applyBorder="1" applyAlignment="1">
      <alignment horizontal="center"/>
    </xf>
    <xf numFmtId="9" fontId="15" fillId="0" borderId="0" xfId="1" applyFont="1"/>
    <xf numFmtId="0" fontId="6" fillId="0" borderId="0" xfId="0" applyFont="1" applyAlignment="1">
      <alignment horizontal="left"/>
    </xf>
    <xf numFmtId="9" fontId="15" fillId="4" borderId="0" xfId="1" applyFont="1" applyFill="1"/>
    <xf numFmtId="0" fontId="6" fillId="4" borderId="0" xfId="0" applyFont="1" applyFill="1" applyAlignment="1">
      <alignment horizontal="left"/>
    </xf>
    <xf numFmtId="0" fontId="6" fillId="9" borderId="0" xfId="0" applyFont="1" applyFill="1" applyAlignment="1">
      <alignment horizontal="left"/>
    </xf>
    <xf numFmtId="164" fontId="11" fillId="0" borderId="0" xfId="0" applyNumberFormat="1" applyFont="1"/>
    <xf numFmtId="165" fontId="6" fillId="3" borderId="0" xfId="2" applyNumberFormat="1" applyFont="1" applyFill="1"/>
    <xf numFmtId="166" fontId="10" fillId="3" borderId="0" xfId="0" applyNumberFormat="1" applyFont="1" applyFill="1"/>
    <xf numFmtId="164" fontId="11" fillId="3" borderId="1" xfId="0" applyNumberFormat="1" applyFont="1" applyFill="1" applyBorder="1"/>
    <xf numFmtId="165" fontId="16" fillId="5" borderId="0" xfId="2" applyNumberFormat="1" applyFont="1" applyFill="1"/>
    <xf numFmtId="43" fontId="5" fillId="5" borderId="0" xfId="2" applyFont="1" applyFill="1"/>
    <xf numFmtId="1" fontId="9" fillId="3" borderId="0" xfId="0" applyNumberFormat="1" applyFont="1" applyFill="1"/>
    <xf numFmtId="0" fontId="5" fillId="3" borderId="0" xfId="0" applyFont="1" applyFill="1"/>
    <xf numFmtId="1" fontId="0" fillId="0" borderId="0" xfId="0" applyNumberFormat="1"/>
    <xf numFmtId="9" fontId="0" fillId="0" borderId="0" xfId="0" applyNumberFormat="1"/>
    <xf numFmtId="2" fontId="0" fillId="0" borderId="0" xfId="0" applyNumberFormat="1"/>
    <xf numFmtId="0" fontId="14" fillId="10" borderId="0" xfId="0" applyFont="1" applyFill="1"/>
    <xf numFmtId="164" fontId="11" fillId="9" borderId="1" xfId="0" applyNumberFormat="1" applyFont="1" applyFill="1" applyBorder="1"/>
    <xf numFmtId="0" fontId="8" fillId="3" borderId="0" xfId="0" applyFont="1" applyFill="1"/>
    <xf numFmtId="0" fontId="8" fillId="0" borderId="0" xfId="0" applyFont="1"/>
    <xf numFmtId="0" fontId="3" fillId="10" borderId="2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167" fontId="13" fillId="4" borderId="0" xfId="1" applyNumberFormat="1" applyFont="1" applyFill="1"/>
    <xf numFmtId="0" fontId="0" fillId="3" borderId="0" xfId="0" applyFill="1"/>
    <xf numFmtId="0" fontId="7" fillId="0" borderId="1" xfId="0" applyFont="1" applyBorder="1" applyAlignment="1">
      <alignment horizontal="center"/>
    </xf>
    <xf numFmtId="9" fontId="7" fillId="0" borderId="1" xfId="0" applyNumberFormat="1" applyFont="1" applyBorder="1" applyAlignment="1">
      <alignment horizontal="center"/>
    </xf>
    <xf numFmtId="9" fontId="7" fillId="3" borderId="1" xfId="0" applyNumberFormat="1" applyFont="1" applyFill="1" applyBorder="1" applyAlignment="1">
      <alignment horizontal="center"/>
    </xf>
    <xf numFmtId="0" fontId="7" fillId="3" borderId="1" xfId="0" applyFont="1" applyFill="1" applyBorder="1" applyAlignment="1">
      <alignment horizontal="center"/>
    </xf>
    <xf numFmtId="9" fontId="0" fillId="0" borderId="0" xfId="1" applyFont="1"/>
    <xf numFmtId="165" fontId="8" fillId="3" borderId="0" xfId="2" applyNumberFormat="1" applyFont="1" applyFill="1"/>
    <xf numFmtId="43" fontId="0" fillId="0" borderId="0" xfId="2" applyFont="1"/>
    <xf numFmtId="165" fontId="0" fillId="0" borderId="0" xfId="0" applyNumberFormat="1"/>
    <xf numFmtId="0" fontId="0" fillId="3" borderId="1" xfId="0" applyFill="1" applyBorder="1"/>
    <xf numFmtId="165" fontId="0" fillId="3" borderId="0" xfId="0" applyNumberFormat="1" applyFill="1"/>
    <xf numFmtId="10" fontId="0" fillId="0" borderId="0" xfId="0" applyNumberFormat="1"/>
    <xf numFmtId="0" fontId="0" fillId="0" borderId="0" xfId="0" applyAlignment="1">
      <alignment horizontal="center"/>
    </xf>
    <xf numFmtId="0" fontId="0" fillId="3" borderId="1" xfId="0" applyFill="1" applyBorder="1" applyAlignment="1">
      <alignment horizontal="center"/>
    </xf>
    <xf numFmtId="0" fontId="7" fillId="0" borderId="0" xfId="0" applyFont="1"/>
    <xf numFmtId="0" fontId="17" fillId="0" borderId="0" xfId="0" applyFont="1" applyAlignment="1">
      <alignment horizontal="center"/>
    </xf>
  </cellXfs>
  <cellStyles count="3">
    <cellStyle name="Millares" xfId="2" builtinId="3"/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295520</xdr:colOff>
      <xdr:row>7</xdr:row>
      <xdr:rowOff>43692</xdr:rowOff>
    </xdr:from>
    <xdr:ext cx="6035675" cy="3797095"/>
    <xdr:pic>
      <xdr:nvPicPr>
        <xdr:cNvPr id="2" name="Imagen 1">
          <a:extLst>
            <a:ext uri="{FF2B5EF4-FFF2-40B4-BE49-F238E27FC236}">
              <a16:creationId xmlns:a16="http://schemas.microsoft.com/office/drawing/2014/main" id="{22E1A397-4226-468E-934F-FB93321913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186616" y="2337019"/>
          <a:ext cx="6035675" cy="3797095"/>
        </a:xfrm>
        <a:prstGeom prst="rect">
          <a:avLst/>
        </a:prstGeom>
      </xdr:spPr>
    </xdr:pic>
    <xdr:clientData/>
  </xdr:one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92A5A9-4C49-4985-B2F1-2B4E0C42BBB0}">
  <dimension ref="B3:B8"/>
  <sheetViews>
    <sheetView zoomScale="130" zoomScaleNormal="130" zoomScaleSheetLayoutView="100" workbookViewId="0">
      <selection activeCell="G10" sqref="G10"/>
    </sheetView>
  </sheetViews>
  <sheetFormatPr baseColWidth="10" defaultRowHeight="15" x14ac:dyDescent="0.25"/>
  <cols>
    <col min="1" max="1" width="6.85546875" customWidth="1"/>
    <col min="2" max="2" width="16.85546875" customWidth="1"/>
  </cols>
  <sheetData>
    <row r="3" spans="2:2" ht="23.25" x14ac:dyDescent="0.35">
      <c r="B3" s="4" t="s">
        <v>3</v>
      </c>
    </row>
    <row r="5" spans="2:2" x14ac:dyDescent="0.25">
      <c r="B5" t="s">
        <v>13</v>
      </c>
    </row>
    <row r="6" spans="2:2" x14ac:dyDescent="0.25">
      <c r="B6" t="s">
        <v>1</v>
      </c>
    </row>
    <row r="7" spans="2:2" x14ac:dyDescent="0.25">
      <c r="B7" t="s">
        <v>2</v>
      </c>
    </row>
    <row r="8" spans="2:2" x14ac:dyDescent="0.25">
      <c r="B8" t="s">
        <v>15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2855A7-DBB7-4CFA-B615-AB4E7D4D3FBA}">
  <dimension ref="A2:F41"/>
  <sheetViews>
    <sheetView tabSelected="1" zoomScale="80" zoomScaleNormal="80" zoomScaleSheetLayoutView="120" workbookViewId="0">
      <selection activeCell="E6" sqref="E6"/>
    </sheetView>
  </sheetViews>
  <sheetFormatPr baseColWidth="10" defaultRowHeight="15" x14ac:dyDescent="0.25"/>
  <cols>
    <col min="1" max="1" width="17.85546875" customWidth="1"/>
    <col min="2" max="2" width="23.42578125" customWidth="1"/>
    <col min="3" max="3" width="21.85546875" style="3" customWidth="1"/>
    <col min="4" max="4" width="17.85546875" style="3" customWidth="1"/>
    <col min="5" max="5" width="15.7109375" style="3" customWidth="1"/>
    <col min="6" max="6" width="14.140625" style="3" customWidth="1"/>
  </cols>
  <sheetData>
    <row r="2" spans="1:6" s="2" customFormat="1" ht="45" x14ac:dyDescent="0.25">
      <c r="A2" s="1" t="s">
        <v>0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</row>
    <row r="3" spans="1:6" x14ac:dyDescent="0.25">
      <c r="A3" s="14">
        <v>15</v>
      </c>
      <c r="B3" s="15">
        <v>1000</v>
      </c>
      <c r="C3" s="16">
        <v>9</v>
      </c>
      <c r="D3" s="16">
        <v>5</v>
      </c>
      <c r="E3" s="16">
        <v>28</v>
      </c>
      <c r="F3" s="16">
        <v>5</v>
      </c>
    </row>
    <row r="4" spans="1:6" x14ac:dyDescent="0.25">
      <c r="A4" s="14">
        <v>8</v>
      </c>
      <c r="B4" s="15">
        <v>1050</v>
      </c>
      <c r="C4" s="16">
        <v>6</v>
      </c>
      <c r="D4" s="16">
        <v>3</v>
      </c>
      <c r="E4" s="16">
        <v>23</v>
      </c>
      <c r="F4" s="16">
        <v>6</v>
      </c>
    </row>
    <row r="5" spans="1:6" x14ac:dyDescent="0.25">
      <c r="A5" s="14">
        <v>2</v>
      </c>
      <c r="B5" s="15">
        <v>1200</v>
      </c>
      <c r="C5" s="16">
        <v>8</v>
      </c>
      <c r="D5" s="16">
        <v>6</v>
      </c>
      <c r="E5" s="16">
        <v>36</v>
      </c>
      <c r="F5" s="16">
        <v>3</v>
      </c>
    </row>
    <row r="6" spans="1:6" x14ac:dyDescent="0.25">
      <c r="A6" s="14">
        <v>25</v>
      </c>
      <c r="B6" s="15">
        <v>1320</v>
      </c>
      <c r="C6" s="16">
        <v>7</v>
      </c>
      <c r="D6" s="16">
        <v>4</v>
      </c>
      <c r="E6" s="16">
        <v>25</v>
      </c>
      <c r="F6" s="16">
        <v>4</v>
      </c>
    </row>
    <row r="7" spans="1:6" x14ac:dyDescent="0.25">
      <c r="A7" s="14">
        <v>26</v>
      </c>
      <c r="B7" s="15">
        <v>1458</v>
      </c>
      <c r="C7" s="16">
        <v>6</v>
      </c>
      <c r="D7" s="16">
        <v>3</v>
      </c>
      <c r="E7" s="16">
        <v>22</v>
      </c>
      <c r="F7" s="16">
        <v>7</v>
      </c>
    </row>
    <row r="8" spans="1:6" x14ac:dyDescent="0.25">
      <c r="A8" s="14">
        <v>7</v>
      </c>
      <c r="B8" s="15">
        <v>1500</v>
      </c>
      <c r="C8" s="16">
        <v>9</v>
      </c>
      <c r="D8" s="16">
        <v>5</v>
      </c>
      <c r="E8" s="16">
        <v>23</v>
      </c>
      <c r="F8" s="16">
        <v>5</v>
      </c>
    </row>
    <row r="9" spans="1:6" x14ac:dyDescent="0.25">
      <c r="A9" s="14">
        <v>12</v>
      </c>
      <c r="B9" s="15">
        <v>1600</v>
      </c>
      <c r="C9" s="16">
        <v>10</v>
      </c>
      <c r="D9" s="16">
        <v>4</v>
      </c>
      <c r="E9" s="16">
        <v>25</v>
      </c>
      <c r="F9" s="16">
        <v>2</v>
      </c>
    </row>
    <row r="10" spans="1:6" x14ac:dyDescent="0.25">
      <c r="A10" s="14">
        <v>27</v>
      </c>
      <c r="B10" s="15">
        <v>1600</v>
      </c>
      <c r="C10" s="16">
        <v>10</v>
      </c>
      <c r="D10" s="16">
        <v>2</v>
      </c>
      <c r="E10" s="16">
        <v>26</v>
      </c>
      <c r="F10" s="16">
        <v>3</v>
      </c>
    </row>
    <row r="11" spans="1:6" x14ac:dyDescent="0.25">
      <c r="A11" s="14">
        <v>21</v>
      </c>
      <c r="B11" s="15">
        <v>1650</v>
      </c>
      <c r="C11" s="16">
        <v>9</v>
      </c>
      <c r="D11" s="16">
        <v>4</v>
      </c>
      <c r="E11" s="16">
        <v>21</v>
      </c>
      <c r="F11" s="16">
        <v>6</v>
      </c>
    </row>
    <row r="12" spans="1:6" x14ac:dyDescent="0.25">
      <c r="A12" s="14">
        <v>14</v>
      </c>
      <c r="B12" s="15">
        <v>2000</v>
      </c>
      <c r="C12" s="16">
        <v>11</v>
      </c>
      <c r="D12" s="16">
        <v>6</v>
      </c>
      <c r="E12" s="16">
        <v>40</v>
      </c>
      <c r="F12" s="16">
        <v>4</v>
      </c>
    </row>
    <row r="13" spans="1:6" x14ac:dyDescent="0.25">
      <c r="A13" s="14">
        <v>9</v>
      </c>
      <c r="B13" s="15">
        <v>2020</v>
      </c>
      <c r="C13" s="16">
        <v>12</v>
      </c>
      <c r="D13" s="16">
        <v>8</v>
      </c>
      <c r="E13" s="16">
        <v>28</v>
      </c>
      <c r="F13" s="16">
        <v>5</v>
      </c>
    </row>
    <row r="14" spans="1:6" x14ac:dyDescent="0.25">
      <c r="A14" s="14">
        <v>30</v>
      </c>
      <c r="B14" s="15">
        <v>2200</v>
      </c>
      <c r="C14" s="16">
        <v>12</v>
      </c>
      <c r="D14" s="16">
        <v>9</v>
      </c>
      <c r="E14" s="16">
        <v>26</v>
      </c>
      <c r="F14" s="16">
        <v>2</v>
      </c>
    </row>
    <row r="15" spans="1:6" x14ac:dyDescent="0.25">
      <c r="A15" s="14">
        <v>29</v>
      </c>
      <c r="B15" s="15">
        <v>2300</v>
      </c>
      <c r="C15" s="16">
        <v>12</v>
      </c>
      <c r="D15" s="16">
        <v>4</v>
      </c>
      <c r="E15" s="16">
        <v>24</v>
      </c>
      <c r="F15" s="16">
        <v>3</v>
      </c>
    </row>
    <row r="16" spans="1:6" x14ac:dyDescent="0.25">
      <c r="A16" s="14">
        <v>1</v>
      </c>
      <c r="B16" s="15">
        <v>2500</v>
      </c>
      <c r="C16" s="16">
        <v>11</v>
      </c>
      <c r="D16" s="16">
        <v>5</v>
      </c>
      <c r="E16" s="16">
        <v>26</v>
      </c>
      <c r="F16" s="16">
        <v>5</v>
      </c>
    </row>
    <row r="17" spans="1:6" x14ac:dyDescent="0.25">
      <c r="A17" s="14">
        <v>4</v>
      </c>
      <c r="B17" s="15">
        <v>2590</v>
      </c>
      <c r="C17" s="16">
        <v>13</v>
      </c>
      <c r="D17" s="16">
        <v>5</v>
      </c>
      <c r="E17" s="16">
        <v>27</v>
      </c>
      <c r="F17" s="16">
        <v>4</v>
      </c>
    </row>
    <row r="18" spans="1:6" x14ac:dyDescent="0.25">
      <c r="A18" s="14">
        <v>13</v>
      </c>
      <c r="B18" s="15">
        <v>3000</v>
      </c>
      <c r="C18" s="16">
        <v>15</v>
      </c>
      <c r="D18" s="16">
        <v>6</v>
      </c>
      <c r="E18" s="16">
        <v>30</v>
      </c>
      <c r="F18" s="16">
        <v>6</v>
      </c>
    </row>
    <row r="19" spans="1:6" x14ac:dyDescent="0.25">
      <c r="A19" s="14">
        <v>16</v>
      </c>
      <c r="B19" s="15">
        <v>3000</v>
      </c>
      <c r="C19" s="16">
        <v>14</v>
      </c>
      <c r="D19" s="16">
        <v>8</v>
      </c>
      <c r="E19" s="16">
        <v>26</v>
      </c>
      <c r="F19" s="16">
        <v>2</v>
      </c>
    </row>
    <row r="20" spans="1:6" x14ac:dyDescent="0.25">
      <c r="A20" s="14">
        <v>23</v>
      </c>
      <c r="B20" s="15">
        <v>3010.6896551724139</v>
      </c>
      <c r="C20" s="16">
        <v>13</v>
      </c>
      <c r="D20" s="16">
        <v>6</v>
      </c>
      <c r="E20" s="16">
        <v>23</v>
      </c>
      <c r="F20" s="16">
        <v>3</v>
      </c>
    </row>
    <row r="21" spans="1:6" x14ac:dyDescent="0.25">
      <c r="A21" s="14">
        <v>28</v>
      </c>
      <c r="B21" s="15">
        <v>3210</v>
      </c>
      <c r="C21" s="16">
        <v>11</v>
      </c>
      <c r="D21" s="16">
        <v>5</v>
      </c>
      <c r="E21" s="16">
        <v>24</v>
      </c>
      <c r="F21" s="16">
        <v>4</v>
      </c>
    </row>
    <row r="22" spans="1:6" x14ac:dyDescent="0.25">
      <c r="A22" s="14">
        <v>20</v>
      </c>
      <c r="B22" s="15">
        <v>3400</v>
      </c>
      <c r="C22" s="16">
        <v>10</v>
      </c>
      <c r="D22" s="16">
        <v>6</v>
      </c>
      <c r="E22" s="16">
        <v>29</v>
      </c>
      <c r="F22" s="16">
        <v>2</v>
      </c>
    </row>
    <row r="23" spans="1:6" x14ac:dyDescent="0.25">
      <c r="A23" s="14">
        <v>3</v>
      </c>
      <c r="B23" s="15">
        <v>3500</v>
      </c>
      <c r="C23" s="16">
        <v>15</v>
      </c>
      <c r="D23" s="16">
        <v>8</v>
      </c>
      <c r="E23" s="16">
        <v>27</v>
      </c>
      <c r="F23" s="16">
        <v>6</v>
      </c>
    </row>
    <row r="24" spans="1:6" x14ac:dyDescent="0.25">
      <c r="A24" s="14">
        <v>5</v>
      </c>
      <c r="B24" s="15">
        <v>3500</v>
      </c>
      <c r="C24" s="16">
        <v>14</v>
      </c>
      <c r="D24" s="16">
        <v>8</v>
      </c>
      <c r="E24" s="16">
        <v>28</v>
      </c>
      <c r="F24" s="16">
        <v>1</v>
      </c>
    </row>
    <row r="25" spans="1:6" x14ac:dyDescent="0.25">
      <c r="A25" s="14">
        <v>10</v>
      </c>
      <c r="B25" s="15">
        <v>3698</v>
      </c>
      <c r="C25" s="16">
        <v>14</v>
      </c>
      <c r="D25" s="16">
        <v>8</v>
      </c>
      <c r="E25" s="16">
        <v>29</v>
      </c>
      <c r="F25" s="16">
        <v>2</v>
      </c>
    </row>
    <row r="26" spans="1:6" x14ac:dyDescent="0.25">
      <c r="A26" s="14">
        <v>17</v>
      </c>
      <c r="B26" s="15">
        <v>4000</v>
      </c>
      <c r="C26" s="16">
        <v>15</v>
      </c>
      <c r="D26" s="16">
        <v>6</v>
      </c>
      <c r="E26" s="16">
        <v>30</v>
      </c>
      <c r="F26" s="16">
        <v>3</v>
      </c>
    </row>
    <row r="27" spans="1:6" x14ac:dyDescent="0.25">
      <c r="A27" s="14">
        <v>22</v>
      </c>
      <c r="B27" s="15">
        <v>4560</v>
      </c>
      <c r="C27" s="16">
        <v>16</v>
      </c>
      <c r="D27" s="16">
        <v>7</v>
      </c>
      <c r="E27" s="16">
        <v>36</v>
      </c>
      <c r="F27" s="16">
        <v>4</v>
      </c>
    </row>
    <row r="28" spans="1:6" x14ac:dyDescent="0.25">
      <c r="A28" s="14">
        <v>6</v>
      </c>
      <c r="B28" s="15">
        <v>4600</v>
      </c>
      <c r="C28" s="16">
        <v>12</v>
      </c>
      <c r="D28" s="16">
        <v>7</v>
      </c>
      <c r="E28" s="16">
        <v>25</v>
      </c>
      <c r="F28" s="16">
        <v>3</v>
      </c>
    </row>
    <row r="29" spans="1:6" x14ac:dyDescent="0.25">
      <c r="A29" s="14">
        <v>11</v>
      </c>
      <c r="B29" s="15">
        <v>4600</v>
      </c>
      <c r="C29" s="16">
        <v>15</v>
      </c>
      <c r="D29" s="16">
        <v>9</v>
      </c>
      <c r="E29" s="16">
        <v>28</v>
      </c>
      <c r="F29" s="16">
        <v>5</v>
      </c>
    </row>
    <row r="30" spans="1:6" x14ac:dyDescent="0.25">
      <c r="A30" s="14">
        <v>19</v>
      </c>
      <c r="B30" s="15">
        <v>6000</v>
      </c>
      <c r="C30" s="16">
        <v>12</v>
      </c>
      <c r="D30" s="16">
        <v>11</v>
      </c>
      <c r="E30" s="16">
        <v>35</v>
      </c>
      <c r="F30" s="16">
        <v>6</v>
      </c>
    </row>
    <row r="31" spans="1:6" x14ac:dyDescent="0.25">
      <c r="A31" s="14">
        <v>24</v>
      </c>
      <c r="B31" s="15">
        <v>6254</v>
      </c>
      <c r="C31" s="16">
        <v>17</v>
      </c>
      <c r="D31" s="16">
        <v>8</v>
      </c>
      <c r="E31" s="16">
        <v>35</v>
      </c>
      <c r="F31" s="16">
        <v>4</v>
      </c>
    </row>
    <row r="32" spans="1:6" x14ac:dyDescent="0.25">
      <c r="A32" s="14">
        <v>18</v>
      </c>
      <c r="B32" s="15">
        <v>8000</v>
      </c>
      <c r="C32" s="16">
        <v>16</v>
      </c>
      <c r="D32" s="16">
        <v>12</v>
      </c>
      <c r="E32" s="16">
        <v>32</v>
      </c>
      <c r="F32" s="16">
        <v>2</v>
      </c>
    </row>
    <row r="33" spans="1:6" ht="22.5" customHeight="1" x14ac:dyDescent="0.3">
      <c r="A33" s="10" t="s">
        <v>4</v>
      </c>
      <c r="B33" s="31">
        <f>AVERAGE(B3:B32)</f>
        <v>3010.6896551724135</v>
      </c>
      <c r="C33" s="7"/>
      <c r="D33" s="7"/>
      <c r="E33" s="7"/>
      <c r="F33" s="7"/>
    </row>
    <row r="34" spans="1:6" ht="20.25" customHeight="1" x14ac:dyDescent="0.3">
      <c r="A34" s="10" t="s">
        <v>5</v>
      </c>
      <c r="B34" s="11">
        <f>MEDIAN(B3:B32)</f>
        <v>2795</v>
      </c>
      <c r="D34" s="13"/>
    </row>
    <row r="35" spans="1:6" ht="21.75" customHeight="1" x14ac:dyDescent="0.3">
      <c r="A35" s="10" t="s">
        <v>6</v>
      </c>
      <c r="B35" s="11">
        <f>MODE(B3:B32)</f>
        <v>1600</v>
      </c>
    </row>
    <row r="36" spans="1:6" x14ac:dyDescent="0.25">
      <c r="A36" s="10" t="s">
        <v>7</v>
      </c>
      <c r="B36" s="12">
        <f>COUNT(B3:B32)</f>
        <v>30</v>
      </c>
    </row>
    <row r="40" spans="1:6" x14ac:dyDescent="0.25">
      <c r="A40" s="8"/>
      <c r="B40" s="8"/>
    </row>
    <row r="41" spans="1:6" x14ac:dyDescent="0.25">
      <c r="A41" s="8"/>
      <c r="B41" s="9"/>
    </row>
  </sheetData>
  <sortState xmlns:xlrd2="http://schemas.microsoft.com/office/spreadsheetml/2017/richdata2" ref="A3:F32">
    <sortCondition ref="B3:B32"/>
  </sortState>
  <pageMargins left="0.7" right="0.7" top="0.75" bottom="0.75" header="0.3" footer="0.3"/>
  <pageSetup orientation="portrait" horizontalDpi="4294967293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2AD7C5-8213-4DBE-9B11-BEF6E8AD3329}">
  <dimension ref="A1:Q71"/>
  <sheetViews>
    <sheetView topLeftCell="F1" zoomScale="180" zoomScaleNormal="180" workbookViewId="0">
      <selection activeCell="N6" sqref="N6"/>
    </sheetView>
  </sheetViews>
  <sheetFormatPr baseColWidth="10" defaultRowHeight="15" x14ac:dyDescent="0.25"/>
  <cols>
    <col min="1" max="1" width="23.28515625" style="18" customWidth="1"/>
    <col min="2" max="2" width="19.85546875" style="18" customWidth="1"/>
    <col min="3" max="6" width="11.42578125" style="18" customWidth="1"/>
    <col min="7" max="7" width="16" style="19" customWidth="1"/>
    <col min="8" max="8" width="13.42578125" style="18" customWidth="1"/>
    <col min="10" max="10" width="23.28515625" customWidth="1"/>
    <col min="11" max="11" width="14.42578125" customWidth="1"/>
    <col min="13" max="13" width="26.85546875" customWidth="1"/>
    <col min="14" max="14" width="19.85546875" customWidth="1"/>
  </cols>
  <sheetData>
    <row r="1" spans="1:17" ht="75" x14ac:dyDescent="0.25">
      <c r="A1" s="45" t="s">
        <v>0</v>
      </c>
      <c r="B1" s="45" t="s">
        <v>8</v>
      </c>
      <c r="C1" s="45" t="s">
        <v>9</v>
      </c>
      <c r="D1" s="45" t="s">
        <v>10</v>
      </c>
      <c r="E1" s="45" t="s">
        <v>11</v>
      </c>
      <c r="F1" s="45" t="s">
        <v>12</v>
      </c>
      <c r="G1" s="45" t="s">
        <v>53</v>
      </c>
      <c r="H1" s="45" t="s">
        <v>14</v>
      </c>
      <c r="J1" s="44" t="s">
        <v>52</v>
      </c>
      <c r="M1" s="44" t="s">
        <v>51</v>
      </c>
    </row>
    <row r="2" spans="1:17" ht="18.75" x14ac:dyDescent="0.3">
      <c r="A2" s="14">
        <v>1</v>
      </c>
      <c r="B2" s="15">
        <v>2500</v>
      </c>
      <c r="C2" s="16">
        <v>11</v>
      </c>
      <c r="D2" s="16">
        <v>5</v>
      </c>
      <c r="E2" s="16">
        <v>26</v>
      </c>
      <c r="F2" s="16">
        <v>5</v>
      </c>
      <c r="G2" s="16">
        <v>1</v>
      </c>
      <c r="H2" s="14" t="s">
        <v>43</v>
      </c>
      <c r="J2" s="43" t="s">
        <v>16</v>
      </c>
      <c r="K2" s="42" t="s">
        <v>50</v>
      </c>
      <c r="M2" s="43" t="s">
        <v>16</v>
      </c>
      <c r="N2" s="53">
        <v>70</v>
      </c>
      <c r="P2" s="48" t="s">
        <v>55</v>
      </c>
      <c r="Q2" s="48" t="s">
        <v>56</v>
      </c>
    </row>
    <row r="3" spans="1:17" x14ac:dyDescent="0.25">
      <c r="A3" s="14">
        <v>2</v>
      </c>
      <c r="B3" s="15">
        <v>1200</v>
      </c>
      <c r="C3" s="16">
        <v>8</v>
      </c>
      <c r="D3" s="16">
        <v>6</v>
      </c>
      <c r="E3" s="16">
        <v>36</v>
      </c>
      <c r="F3" s="16">
        <v>6</v>
      </c>
      <c r="G3" s="16">
        <v>1</v>
      </c>
      <c r="H3" s="14" t="s">
        <v>43</v>
      </c>
      <c r="J3" t="s">
        <v>49</v>
      </c>
      <c r="K3">
        <v>1.96</v>
      </c>
      <c r="L3" t="s">
        <v>54</v>
      </c>
      <c r="M3" t="s">
        <v>49</v>
      </c>
      <c r="N3">
        <v>1.645</v>
      </c>
      <c r="P3" s="49">
        <v>0.9</v>
      </c>
      <c r="Q3" s="48">
        <v>1.645</v>
      </c>
    </row>
    <row r="4" spans="1:17" x14ac:dyDescent="0.25">
      <c r="A4" s="14">
        <v>3</v>
      </c>
      <c r="B4" s="41">
        <v>2284.3846153846152</v>
      </c>
      <c r="C4" s="16">
        <v>15</v>
      </c>
      <c r="D4" s="16">
        <v>8</v>
      </c>
      <c r="E4" s="16">
        <v>27</v>
      </c>
      <c r="F4" s="16">
        <v>4</v>
      </c>
      <c r="G4" s="16">
        <v>2</v>
      </c>
      <c r="H4" s="14" t="s">
        <v>44</v>
      </c>
      <c r="J4" s="40" t="s">
        <v>48</v>
      </c>
      <c r="K4" s="39">
        <v>0.5</v>
      </c>
      <c r="M4" s="40" t="s">
        <v>48</v>
      </c>
      <c r="N4" s="39">
        <v>0.5</v>
      </c>
      <c r="P4" s="50">
        <v>0.95</v>
      </c>
      <c r="Q4" s="51">
        <v>1.9650000000000001</v>
      </c>
    </row>
    <row r="5" spans="1:17" x14ac:dyDescent="0.25">
      <c r="A5" s="14">
        <v>4</v>
      </c>
      <c r="B5" s="15">
        <v>2500</v>
      </c>
      <c r="C5" s="16">
        <v>13</v>
      </c>
      <c r="D5" s="16">
        <v>5</v>
      </c>
      <c r="E5" s="16">
        <v>27</v>
      </c>
      <c r="F5" s="16">
        <v>6</v>
      </c>
      <c r="G5" s="16">
        <v>2</v>
      </c>
      <c r="H5" s="14" t="s">
        <v>44</v>
      </c>
      <c r="J5" t="s">
        <v>47</v>
      </c>
      <c r="K5" s="52">
        <v>0.05</v>
      </c>
      <c r="M5" t="s">
        <v>47</v>
      </c>
      <c r="N5" s="38">
        <v>0.11</v>
      </c>
      <c r="P5" s="49">
        <v>0.99</v>
      </c>
      <c r="Q5" s="48">
        <v>2.4550000000000001</v>
      </c>
    </row>
    <row r="6" spans="1:17" x14ac:dyDescent="0.25">
      <c r="A6" s="14">
        <v>5</v>
      </c>
      <c r="B6" s="15">
        <v>3000</v>
      </c>
      <c r="C6" s="16">
        <v>14</v>
      </c>
      <c r="D6" s="16">
        <v>8</v>
      </c>
      <c r="E6" s="16">
        <v>28</v>
      </c>
      <c r="F6" s="16">
        <v>5</v>
      </c>
      <c r="G6" s="16">
        <v>2</v>
      </c>
      <c r="H6" s="14" t="s">
        <v>44</v>
      </c>
      <c r="K6" s="37"/>
    </row>
    <row r="7" spans="1:17" ht="26.25" x14ac:dyDescent="0.4">
      <c r="A7" s="14">
        <v>6</v>
      </c>
      <c r="B7" s="15">
        <v>3000</v>
      </c>
      <c r="C7" s="16">
        <v>16</v>
      </c>
      <c r="D7" s="16">
        <v>7</v>
      </c>
      <c r="E7" s="16">
        <v>25</v>
      </c>
      <c r="F7" s="16">
        <v>6</v>
      </c>
      <c r="G7" s="16">
        <v>2</v>
      </c>
      <c r="H7" s="14" t="s">
        <v>44</v>
      </c>
      <c r="J7" s="36" t="s">
        <v>46</v>
      </c>
      <c r="K7" s="35">
        <f>+(K3*K3*(K4*(1-K4)))/(K5*K5)</f>
        <v>384.15999999999991</v>
      </c>
      <c r="L7" s="5"/>
      <c r="M7" s="34" t="s">
        <v>45</v>
      </c>
      <c r="N7" s="33">
        <f>+(N3*N3*(N4*(1-N4)*N2))/(N5*N5*(N2-1)+(N3*N3*N4*(1-N4)))</f>
        <v>31.332037630517942</v>
      </c>
    </row>
    <row r="8" spans="1:17" x14ac:dyDescent="0.25">
      <c r="A8" s="14">
        <v>7</v>
      </c>
      <c r="B8" s="15">
        <v>1500</v>
      </c>
      <c r="C8" s="16">
        <v>9</v>
      </c>
      <c r="D8" s="16">
        <v>5</v>
      </c>
      <c r="E8" s="16">
        <v>23</v>
      </c>
      <c r="F8" s="16">
        <v>2</v>
      </c>
      <c r="G8" s="16">
        <v>1</v>
      </c>
      <c r="H8" s="14" t="s">
        <v>43</v>
      </c>
    </row>
    <row r="9" spans="1:17" x14ac:dyDescent="0.25">
      <c r="A9" s="14">
        <v>8</v>
      </c>
      <c r="B9" s="15">
        <v>1350</v>
      </c>
      <c r="C9" s="16">
        <v>6</v>
      </c>
      <c r="D9" s="16">
        <v>3</v>
      </c>
      <c r="E9" s="16">
        <v>23</v>
      </c>
      <c r="F9" s="16">
        <v>1</v>
      </c>
      <c r="G9" s="16">
        <v>1</v>
      </c>
      <c r="H9" s="14" t="s">
        <v>43</v>
      </c>
      <c r="K9" s="8"/>
    </row>
    <row r="10" spans="1:17" x14ac:dyDescent="0.25">
      <c r="A10" s="14">
        <v>9</v>
      </c>
      <c r="B10" s="15">
        <v>2020</v>
      </c>
      <c r="C10" s="16">
        <v>12</v>
      </c>
      <c r="D10" s="16">
        <v>8</v>
      </c>
      <c r="E10" s="16">
        <v>28</v>
      </c>
      <c r="F10" s="16">
        <v>6</v>
      </c>
      <c r="G10" s="16">
        <v>1</v>
      </c>
      <c r="H10" s="14" t="s">
        <v>43</v>
      </c>
    </row>
    <row r="11" spans="1:17" x14ac:dyDescent="0.25">
      <c r="A11" s="14">
        <v>10</v>
      </c>
      <c r="B11" s="15">
        <v>3200</v>
      </c>
      <c r="C11" s="16">
        <v>14</v>
      </c>
      <c r="D11" s="16">
        <v>8</v>
      </c>
      <c r="E11" s="16">
        <v>29</v>
      </c>
      <c r="F11" s="16">
        <v>4</v>
      </c>
      <c r="G11" s="16">
        <v>2</v>
      </c>
      <c r="H11" s="14" t="s">
        <v>44</v>
      </c>
    </row>
    <row r="12" spans="1:17" x14ac:dyDescent="0.25">
      <c r="A12" s="14">
        <v>11</v>
      </c>
      <c r="B12" s="15">
        <v>3000</v>
      </c>
      <c r="C12" s="16">
        <v>15</v>
      </c>
      <c r="D12" s="16">
        <v>9</v>
      </c>
      <c r="E12" s="16">
        <v>28</v>
      </c>
      <c r="F12" s="16">
        <v>6</v>
      </c>
      <c r="G12" s="16">
        <v>2</v>
      </c>
      <c r="H12" s="14" t="s">
        <v>44</v>
      </c>
    </row>
    <row r="13" spans="1:17" x14ac:dyDescent="0.25">
      <c r="A13" s="14">
        <v>12</v>
      </c>
      <c r="B13" s="32">
        <v>2284.3846153846157</v>
      </c>
      <c r="C13" s="16">
        <v>10</v>
      </c>
      <c r="D13" s="16">
        <v>4</v>
      </c>
      <c r="E13" s="16">
        <v>25</v>
      </c>
      <c r="F13" s="16">
        <v>5</v>
      </c>
      <c r="G13" s="16">
        <v>1</v>
      </c>
      <c r="H13" s="14" t="s">
        <v>43</v>
      </c>
    </row>
    <row r="14" spans="1:17" x14ac:dyDescent="0.25">
      <c r="A14" s="14">
        <v>13</v>
      </c>
      <c r="B14" s="15">
        <v>3000</v>
      </c>
      <c r="C14" s="16">
        <v>15</v>
      </c>
      <c r="D14" s="16">
        <v>6</v>
      </c>
      <c r="E14" s="16">
        <v>30</v>
      </c>
      <c r="F14" s="16">
        <v>8</v>
      </c>
      <c r="G14" s="16">
        <v>2</v>
      </c>
      <c r="H14" s="14" t="s">
        <v>44</v>
      </c>
    </row>
    <row r="15" spans="1:17" x14ac:dyDescent="0.25">
      <c r="A15" s="14">
        <v>14</v>
      </c>
      <c r="B15" s="15">
        <v>2000</v>
      </c>
      <c r="C15" s="16">
        <v>11</v>
      </c>
      <c r="D15" s="16">
        <v>6</v>
      </c>
      <c r="E15" s="16">
        <v>40</v>
      </c>
      <c r="F15" s="16">
        <v>9</v>
      </c>
      <c r="G15" s="16">
        <v>1</v>
      </c>
      <c r="H15" s="14" t="s">
        <v>43</v>
      </c>
    </row>
    <row r="16" spans="1:17" x14ac:dyDescent="0.25">
      <c r="A16" s="14">
        <v>15</v>
      </c>
      <c r="B16" s="32">
        <v>2284.3846153846152</v>
      </c>
      <c r="C16" s="16">
        <v>9</v>
      </c>
      <c r="D16" s="16">
        <v>5</v>
      </c>
      <c r="E16" s="16">
        <v>28</v>
      </c>
      <c r="F16" s="16">
        <v>5</v>
      </c>
      <c r="G16" s="16">
        <v>1</v>
      </c>
      <c r="H16" s="14" t="s">
        <v>43</v>
      </c>
    </row>
    <row r="17" spans="1:8" x14ac:dyDescent="0.25">
      <c r="A17" s="14">
        <v>16</v>
      </c>
      <c r="B17" s="15">
        <v>3000</v>
      </c>
      <c r="C17" s="16">
        <v>14</v>
      </c>
      <c r="D17" s="16">
        <v>8</v>
      </c>
      <c r="E17" s="16">
        <v>26</v>
      </c>
      <c r="F17" s="16">
        <v>6</v>
      </c>
      <c r="G17" s="16">
        <v>2</v>
      </c>
      <c r="H17" s="14" t="s">
        <v>44</v>
      </c>
    </row>
    <row r="18" spans="1:8" x14ac:dyDescent="0.25">
      <c r="A18" s="14">
        <v>17</v>
      </c>
      <c r="B18" s="15">
        <v>3200</v>
      </c>
      <c r="C18" s="16">
        <v>15</v>
      </c>
      <c r="D18" s="16">
        <v>6</v>
      </c>
      <c r="E18" s="16">
        <v>30</v>
      </c>
      <c r="F18" s="16">
        <v>9</v>
      </c>
      <c r="G18" s="16">
        <v>2</v>
      </c>
      <c r="H18" s="14" t="s">
        <v>44</v>
      </c>
    </row>
    <row r="19" spans="1:8" x14ac:dyDescent="0.25">
      <c r="A19" s="14">
        <v>18</v>
      </c>
      <c r="B19" s="15">
        <v>2000</v>
      </c>
      <c r="C19" s="16">
        <v>11</v>
      </c>
      <c r="D19" s="16">
        <v>6</v>
      </c>
      <c r="E19" s="16">
        <v>40</v>
      </c>
      <c r="F19" s="16">
        <v>4</v>
      </c>
      <c r="G19" s="16">
        <v>1</v>
      </c>
      <c r="H19" s="14" t="s">
        <v>43</v>
      </c>
    </row>
    <row r="20" spans="1:8" x14ac:dyDescent="0.25">
      <c r="A20" s="14">
        <v>19</v>
      </c>
      <c r="B20" s="15">
        <v>1600</v>
      </c>
      <c r="C20" s="16">
        <v>10</v>
      </c>
      <c r="D20" s="16">
        <v>4</v>
      </c>
      <c r="E20" s="16">
        <v>25</v>
      </c>
      <c r="F20" s="16">
        <v>2</v>
      </c>
      <c r="G20" s="16">
        <v>1</v>
      </c>
      <c r="H20" s="14" t="s">
        <v>43</v>
      </c>
    </row>
    <row r="21" spans="1:8" x14ac:dyDescent="0.25">
      <c r="A21" s="14">
        <v>20</v>
      </c>
      <c r="B21" s="15">
        <v>3400</v>
      </c>
      <c r="C21" s="16">
        <v>10</v>
      </c>
      <c r="D21" s="16">
        <v>6</v>
      </c>
      <c r="E21" s="16">
        <v>29</v>
      </c>
      <c r="F21" s="16">
        <v>10</v>
      </c>
      <c r="G21" s="16">
        <v>2</v>
      </c>
      <c r="H21" s="14" t="s">
        <v>44</v>
      </c>
    </row>
    <row r="22" spans="1:8" x14ac:dyDescent="0.25">
      <c r="A22" s="14">
        <v>21</v>
      </c>
      <c r="B22" s="15">
        <v>1650</v>
      </c>
      <c r="C22" s="16">
        <v>8</v>
      </c>
      <c r="D22" s="16">
        <v>3</v>
      </c>
      <c r="E22" s="16">
        <v>21</v>
      </c>
      <c r="F22" s="16">
        <v>1</v>
      </c>
      <c r="G22" s="16">
        <v>1</v>
      </c>
      <c r="H22" s="14" t="s">
        <v>43</v>
      </c>
    </row>
    <row r="23" spans="1:8" x14ac:dyDescent="0.25">
      <c r="A23" s="14">
        <v>22</v>
      </c>
      <c r="B23" s="15">
        <v>3800</v>
      </c>
      <c r="C23" s="16">
        <v>16</v>
      </c>
      <c r="D23" s="16">
        <v>7</v>
      </c>
      <c r="E23" s="16">
        <v>36</v>
      </c>
      <c r="F23" s="16">
        <v>10</v>
      </c>
      <c r="G23" s="16">
        <v>2</v>
      </c>
      <c r="H23" s="14" t="s">
        <v>44</v>
      </c>
    </row>
    <row r="24" spans="1:8" x14ac:dyDescent="0.25">
      <c r="A24" s="14">
        <v>23</v>
      </c>
      <c r="B24" s="15">
        <v>2500</v>
      </c>
      <c r="C24" s="16">
        <v>13</v>
      </c>
      <c r="D24" s="16">
        <v>6</v>
      </c>
      <c r="E24" s="16">
        <v>29</v>
      </c>
      <c r="F24" s="16">
        <v>4</v>
      </c>
      <c r="G24" s="16">
        <v>2</v>
      </c>
      <c r="H24" s="14" t="s">
        <v>44</v>
      </c>
    </row>
    <row r="25" spans="1:8" x14ac:dyDescent="0.25">
      <c r="A25" s="14">
        <v>24</v>
      </c>
      <c r="B25" s="15">
        <v>1650</v>
      </c>
      <c r="C25" s="16">
        <v>9</v>
      </c>
      <c r="D25" s="16">
        <v>4</v>
      </c>
      <c r="E25" s="16">
        <v>21</v>
      </c>
      <c r="F25" s="16">
        <f t="shared" ref="F25:F32" si="0">+E25-18</f>
        <v>3</v>
      </c>
      <c r="G25" s="16">
        <v>1</v>
      </c>
      <c r="H25" s="14" t="s">
        <v>43</v>
      </c>
    </row>
    <row r="26" spans="1:8" x14ac:dyDescent="0.25">
      <c r="A26" s="14">
        <v>25</v>
      </c>
      <c r="B26" s="15">
        <v>1320</v>
      </c>
      <c r="C26" s="16">
        <v>7</v>
      </c>
      <c r="D26" s="16">
        <v>4</v>
      </c>
      <c r="E26" s="16">
        <v>25</v>
      </c>
      <c r="F26" s="16">
        <f t="shared" si="0"/>
        <v>7</v>
      </c>
      <c r="G26" s="16">
        <v>1</v>
      </c>
      <c r="H26" s="14" t="s">
        <v>43</v>
      </c>
    </row>
    <row r="27" spans="1:8" x14ac:dyDescent="0.25">
      <c r="A27" s="14">
        <v>26</v>
      </c>
      <c r="B27" s="15">
        <v>1458</v>
      </c>
      <c r="C27" s="16">
        <v>6</v>
      </c>
      <c r="D27" s="16">
        <v>3</v>
      </c>
      <c r="E27" s="16">
        <v>22</v>
      </c>
      <c r="F27" s="16">
        <f t="shared" si="0"/>
        <v>4</v>
      </c>
      <c r="G27" s="16">
        <v>1</v>
      </c>
      <c r="H27" s="14" t="s">
        <v>43</v>
      </c>
    </row>
    <row r="28" spans="1:8" x14ac:dyDescent="0.25">
      <c r="A28" s="14">
        <v>27</v>
      </c>
      <c r="B28" s="15">
        <v>1600</v>
      </c>
      <c r="C28" s="16">
        <v>10</v>
      </c>
      <c r="D28" s="16">
        <v>2</v>
      </c>
      <c r="E28" s="16">
        <v>26</v>
      </c>
      <c r="F28" s="16">
        <f t="shared" si="0"/>
        <v>8</v>
      </c>
      <c r="G28" s="16">
        <v>1</v>
      </c>
      <c r="H28" s="14" t="s">
        <v>43</v>
      </c>
    </row>
    <row r="29" spans="1:8" x14ac:dyDescent="0.25">
      <c r="A29" s="14">
        <v>28</v>
      </c>
      <c r="B29" s="15">
        <v>3200</v>
      </c>
      <c r="C29" s="16">
        <v>11</v>
      </c>
      <c r="D29" s="16">
        <v>5</v>
      </c>
      <c r="E29" s="16">
        <v>24</v>
      </c>
      <c r="F29" s="16">
        <f t="shared" si="0"/>
        <v>6</v>
      </c>
      <c r="G29" s="16">
        <v>2</v>
      </c>
      <c r="H29" s="14" t="s">
        <v>44</v>
      </c>
    </row>
    <row r="30" spans="1:8" x14ac:dyDescent="0.25">
      <c r="A30" s="14">
        <v>29</v>
      </c>
      <c r="B30" s="15">
        <v>2300</v>
      </c>
      <c r="C30" s="16">
        <v>12</v>
      </c>
      <c r="D30" s="16">
        <v>4</v>
      </c>
      <c r="E30" s="16">
        <v>24</v>
      </c>
      <c r="F30" s="16">
        <f t="shared" si="0"/>
        <v>6</v>
      </c>
      <c r="G30" s="16">
        <v>1</v>
      </c>
      <c r="H30" s="14" t="s">
        <v>43</v>
      </c>
    </row>
    <row r="31" spans="1:8" x14ac:dyDescent="0.25">
      <c r="A31" s="14">
        <v>30</v>
      </c>
      <c r="B31" s="15">
        <v>2200</v>
      </c>
      <c r="C31" s="16">
        <v>12</v>
      </c>
      <c r="D31" s="16">
        <v>9</v>
      </c>
      <c r="E31" s="16">
        <v>26</v>
      </c>
      <c r="F31" s="16">
        <f t="shared" si="0"/>
        <v>8</v>
      </c>
      <c r="G31" s="16">
        <v>1</v>
      </c>
      <c r="H31" s="14" t="s">
        <v>43</v>
      </c>
    </row>
    <row r="32" spans="1:8" x14ac:dyDescent="0.25">
      <c r="A32" s="14">
        <v>31</v>
      </c>
      <c r="B32" s="15">
        <v>1650</v>
      </c>
      <c r="C32" s="16">
        <v>9</v>
      </c>
      <c r="D32" s="16">
        <v>4</v>
      </c>
      <c r="E32" s="16">
        <v>21</v>
      </c>
      <c r="F32" s="16">
        <f t="shared" si="0"/>
        <v>3</v>
      </c>
      <c r="G32" s="16">
        <v>1</v>
      </c>
      <c r="H32" s="14" t="s">
        <v>43</v>
      </c>
    </row>
    <row r="33" spans="1:8" x14ac:dyDescent="0.25">
      <c r="A33" s="14">
        <v>32</v>
      </c>
      <c r="B33" s="15">
        <v>1500</v>
      </c>
      <c r="C33" s="16">
        <v>11</v>
      </c>
      <c r="D33" s="16">
        <v>7</v>
      </c>
      <c r="E33" s="16">
        <v>35</v>
      </c>
      <c r="F33" s="16">
        <v>10</v>
      </c>
      <c r="G33" s="16">
        <v>1</v>
      </c>
      <c r="H33" s="14" t="s">
        <v>43</v>
      </c>
    </row>
    <row r="34" spans="1:8" x14ac:dyDescent="0.25">
      <c r="A34" s="14">
        <v>33</v>
      </c>
      <c r="B34" s="32"/>
      <c r="C34" s="16">
        <v>9</v>
      </c>
      <c r="D34" s="16">
        <v>5</v>
      </c>
      <c r="E34" s="16">
        <v>29</v>
      </c>
      <c r="F34" s="16">
        <v>10</v>
      </c>
      <c r="G34" s="16">
        <v>1</v>
      </c>
      <c r="H34" s="14" t="s">
        <v>43</v>
      </c>
    </row>
    <row r="35" spans="1:8" x14ac:dyDescent="0.25">
      <c r="A35" s="14">
        <v>34</v>
      </c>
      <c r="B35" s="15">
        <v>2020</v>
      </c>
      <c r="C35" s="16">
        <v>14</v>
      </c>
      <c r="D35" s="16">
        <v>3</v>
      </c>
      <c r="E35" s="16">
        <v>21</v>
      </c>
      <c r="F35" s="16">
        <v>1</v>
      </c>
      <c r="G35" s="16">
        <v>1</v>
      </c>
      <c r="H35" s="14" t="s">
        <v>43</v>
      </c>
    </row>
    <row r="36" spans="1:8" x14ac:dyDescent="0.25">
      <c r="A36" s="14">
        <v>35</v>
      </c>
      <c r="B36" s="15">
        <v>3450</v>
      </c>
      <c r="C36" s="16">
        <v>15</v>
      </c>
      <c r="D36" s="16">
        <v>8</v>
      </c>
      <c r="E36" s="16">
        <v>36</v>
      </c>
      <c r="F36" s="16">
        <v>12</v>
      </c>
      <c r="G36" s="16">
        <v>2</v>
      </c>
      <c r="H36" s="14" t="s">
        <v>44</v>
      </c>
    </row>
    <row r="37" spans="1:8" x14ac:dyDescent="0.25">
      <c r="A37" s="14">
        <v>36</v>
      </c>
      <c r="B37" s="15">
        <v>2200</v>
      </c>
      <c r="C37" s="16">
        <v>10</v>
      </c>
      <c r="D37" s="16">
        <v>5</v>
      </c>
      <c r="E37" s="16">
        <v>27</v>
      </c>
      <c r="F37" s="16">
        <v>5</v>
      </c>
      <c r="G37" s="16">
        <v>1</v>
      </c>
      <c r="H37" s="14" t="s">
        <v>43</v>
      </c>
    </row>
    <row r="38" spans="1:8" x14ac:dyDescent="0.25">
      <c r="A38" s="14">
        <v>37</v>
      </c>
      <c r="B38" s="15">
        <v>1600</v>
      </c>
      <c r="C38" s="16">
        <v>12</v>
      </c>
      <c r="D38" s="16">
        <v>9</v>
      </c>
      <c r="E38" s="16">
        <v>35</v>
      </c>
      <c r="F38" s="16">
        <v>12</v>
      </c>
      <c r="G38" s="16">
        <v>1</v>
      </c>
      <c r="H38" s="14" t="s">
        <v>43</v>
      </c>
    </row>
    <row r="39" spans="1:8" x14ac:dyDescent="0.25">
      <c r="A39" s="14">
        <v>38</v>
      </c>
      <c r="B39" s="15">
        <v>3000</v>
      </c>
      <c r="C39" s="16">
        <v>10</v>
      </c>
      <c r="D39" s="16">
        <v>4</v>
      </c>
      <c r="E39" s="16">
        <v>25</v>
      </c>
      <c r="F39" s="16">
        <v>5</v>
      </c>
      <c r="G39" s="16">
        <v>2</v>
      </c>
      <c r="H39" s="14" t="s">
        <v>44</v>
      </c>
    </row>
    <row r="40" spans="1:8" x14ac:dyDescent="0.25">
      <c r="A40" s="14">
        <v>39</v>
      </c>
      <c r="B40" s="15">
        <v>2000</v>
      </c>
      <c r="C40" s="16">
        <v>9</v>
      </c>
      <c r="D40" s="16">
        <v>6</v>
      </c>
      <c r="E40" s="16">
        <v>22</v>
      </c>
      <c r="F40" s="16">
        <v>3</v>
      </c>
      <c r="G40" s="16">
        <v>1</v>
      </c>
      <c r="H40" s="14" t="s">
        <v>43</v>
      </c>
    </row>
    <row r="41" spans="1:8" x14ac:dyDescent="0.25">
      <c r="A41" s="14">
        <v>40</v>
      </c>
      <c r="B41" s="15">
        <v>1000</v>
      </c>
      <c r="C41" s="16">
        <v>16</v>
      </c>
      <c r="D41" s="16">
        <v>6</v>
      </c>
      <c r="E41" s="16">
        <v>35</v>
      </c>
      <c r="F41" s="16">
        <v>13</v>
      </c>
      <c r="G41" s="16">
        <v>1</v>
      </c>
      <c r="H41" s="14" t="s">
        <v>43</v>
      </c>
    </row>
    <row r="42" spans="1:8" x14ac:dyDescent="0.25">
      <c r="A42" s="14">
        <v>41</v>
      </c>
      <c r="B42" s="15">
        <v>3000</v>
      </c>
      <c r="C42" s="16">
        <v>13</v>
      </c>
      <c r="D42" s="16">
        <v>5</v>
      </c>
      <c r="E42" s="16">
        <v>29</v>
      </c>
      <c r="F42" s="16">
        <v>8</v>
      </c>
      <c r="G42" s="16">
        <v>2</v>
      </c>
      <c r="H42" s="14" t="s">
        <v>44</v>
      </c>
    </row>
    <row r="43" spans="1:8" x14ac:dyDescent="0.25">
      <c r="A43" s="14">
        <v>42</v>
      </c>
      <c r="B43" s="15">
        <v>2000</v>
      </c>
      <c r="C43" s="16">
        <v>11</v>
      </c>
      <c r="D43" s="16">
        <v>5</v>
      </c>
      <c r="E43" s="16">
        <v>25</v>
      </c>
      <c r="F43" s="16">
        <v>5</v>
      </c>
      <c r="G43" s="16">
        <v>1</v>
      </c>
      <c r="H43" s="14" t="s">
        <v>43</v>
      </c>
    </row>
    <row r="44" spans="1:8" x14ac:dyDescent="0.25">
      <c r="A44" s="14">
        <v>43</v>
      </c>
      <c r="B44" s="15">
        <v>2350</v>
      </c>
      <c r="C44" s="16">
        <v>12</v>
      </c>
      <c r="D44" s="16">
        <v>6</v>
      </c>
      <c r="E44" s="16">
        <v>28</v>
      </c>
      <c r="F44" s="16">
        <v>7</v>
      </c>
      <c r="G44" s="16">
        <v>1</v>
      </c>
      <c r="H44" s="14" t="s">
        <v>43</v>
      </c>
    </row>
    <row r="45" spans="1:8" x14ac:dyDescent="0.25">
      <c r="A45" s="14">
        <v>44</v>
      </c>
      <c r="B45" s="15">
        <v>2500</v>
      </c>
      <c r="C45" s="16">
        <v>11</v>
      </c>
      <c r="D45" s="16">
        <v>5</v>
      </c>
      <c r="E45" s="16">
        <v>26</v>
      </c>
      <c r="F45" s="16">
        <v>3</v>
      </c>
      <c r="G45" s="16">
        <v>1</v>
      </c>
      <c r="H45" s="14" t="s">
        <v>43</v>
      </c>
    </row>
    <row r="46" spans="1:8" x14ac:dyDescent="0.25">
      <c r="A46" s="14">
        <v>45</v>
      </c>
      <c r="B46" s="15">
        <v>3200</v>
      </c>
      <c r="C46" s="16">
        <v>10</v>
      </c>
      <c r="D46" s="16">
        <v>6</v>
      </c>
      <c r="E46" s="16">
        <v>30</v>
      </c>
      <c r="F46" s="16">
        <v>9</v>
      </c>
      <c r="G46" s="16">
        <v>2</v>
      </c>
      <c r="H46" s="14" t="s">
        <v>44</v>
      </c>
    </row>
    <row r="47" spans="1:8" x14ac:dyDescent="0.25">
      <c r="A47" s="14">
        <v>46</v>
      </c>
      <c r="B47" s="15">
        <v>3000</v>
      </c>
      <c r="C47" s="16">
        <v>9</v>
      </c>
      <c r="D47" s="16">
        <v>4</v>
      </c>
      <c r="E47" s="16">
        <v>29</v>
      </c>
      <c r="F47" s="16">
        <v>6</v>
      </c>
      <c r="G47" s="16">
        <v>2</v>
      </c>
      <c r="H47" s="14" t="s">
        <v>44</v>
      </c>
    </row>
    <row r="48" spans="1:8" x14ac:dyDescent="0.25">
      <c r="A48" s="14">
        <v>47</v>
      </c>
      <c r="B48" s="15">
        <v>2950</v>
      </c>
      <c r="C48" s="16">
        <v>10</v>
      </c>
      <c r="D48" s="16">
        <v>7</v>
      </c>
      <c r="E48" s="16">
        <v>28</v>
      </c>
      <c r="F48" s="16">
        <v>3</v>
      </c>
      <c r="G48" s="16">
        <v>2</v>
      </c>
      <c r="H48" s="14" t="s">
        <v>44</v>
      </c>
    </row>
    <row r="49" spans="1:8" x14ac:dyDescent="0.25">
      <c r="A49" s="14">
        <v>48</v>
      </c>
      <c r="B49" s="15">
        <v>2800</v>
      </c>
      <c r="C49" s="16">
        <v>11</v>
      </c>
      <c r="D49" s="16">
        <v>6</v>
      </c>
      <c r="E49" s="16">
        <v>27</v>
      </c>
      <c r="F49" s="16">
        <v>3</v>
      </c>
      <c r="G49" s="16">
        <v>2</v>
      </c>
      <c r="H49" s="14" t="s">
        <v>44</v>
      </c>
    </row>
    <row r="50" spans="1:8" x14ac:dyDescent="0.25">
      <c r="A50" s="14">
        <v>49</v>
      </c>
      <c r="B50" s="15">
        <v>2250</v>
      </c>
      <c r="C50" s="16">
        <v>12</v>
      </c>
      <c r="D50" s="16">
        <v>6</v>
      </c>
      <c r="E50" s="16">
        <v>26</v>
      </c>
      <c r="F50" s="16">
        <v>4</v>
      </c>
      <c r="G50" s="16">
        <v>1</v>
      </c>
      <c r="H50" s="14" t="s">
        <v>43</v>
      </c>
    </row>
    <row r="51" spans="1:8" x14ac:dyDescent="0.25">
      <c r="A51" s="14">
        <v>50</v>
      </c>
      <c r="B51" s="15">
        <v>2000</v>
      </c>
      <c r="C51" s="16">
        <v>11</v>
      </c>
      <c r="D51" s="16">
        <v>5</v>
      </c>
      <c r="E51" s="16">
        <v>27</v>
      </c>
      <c r="F51" s="16">
        <v>4</v>
      </c>
      <c r="G51" s="16">
        <v>1</v>
      </c>
      <c r="H51" s="14" t="s">
        <v>43</v>
      </c>
    </row>
    <row r="52" spans="1:8" x14ac:dyDescent="0.25">
      <c r="A52" s="14">
        <v>51</v>
      </c>
      <c r="B52" s="15">
        <v>1750</v>
      </c>
      <c r="C52" s="16">
        <v>10</v>
      </c>
      <c r="D52" s="16">
        <v>5</v>
      </c>
      <c r="E52" s="16">
        <v>25</v>
      </c>
      <c r="F52" s="16">
        <v>3</v>
      </c>
      <c r="G52" s="16">
        <v>1</v>
      </c>
      <c r="H52" s="14" t="s">
        <v>43</v>
      </c>
    </row>
    <row r="53" spans="1:8" x14ac:dyDescent="0.25">
      <c r="A53" s="14">
        <v>52</v>
      </c>
      <c r="B53" s="15">
        <v>1500</v>
      </c>
      <c r="C53" s="16">
        <v>9</v>
      </c>
      <c r="D53" s="16">
        <v>3</v>
      </c>
      <c r="E53" s="16">
        <v>24</v>
      </c>
      <c r="F53" s="16">
        <v>3</v>
      </c>
      <c r="G53" s="16">
        <v>1</v>
      </c>
      <c r="H53" s="14" t="s">
        <v>43</v>
      </c>
    </row>
    <row r="54" spans="1:8" x14ac:dyDescent="0.25">
      <c r="A54" s="14">
        <v>53</v>
      </c>
      <c r="B54" s="15">
        <v>2020</v>
      </c>
      <c r="C54" s="16">
        <v>12</v>
      </c>
      <c r="D54" s="16">
        <v>8</v>
      </c>
      <c r="E54" s="16">
        <v>26</v>
      </c>
      <c r="F54" s="16">
        <v>6</v>
      </c>
      <c r="G54" s="16">
        <v>1</v>
      </c>
      <c r="H54" s="14" t="s">
        <v>43</v>
      </c>
    </row>
    <row r="55" spans="1:8" x14ac:dyDescent="0.25">
      <c r="A55" s="14">
        <v>54</v>
      </c>
      <c r="B55" s="15">
        <v>1850</v>
      </c>
      <c r="C55" s="16">
        <v>10</v>
      </c>
      <c r="D55" s="16">
        <v>5</v>
      </c>
      <c r="E55" s="16">
        <v>25</v>
      </c>
      <c r="F55" s="16">
        <v>2</v>
      </c>
      <c r="G55" s="16">
        <v>1</v>
      </c>
      <c r="H55" s="14" t="s">
        <v>43</v>
      </c>
    </row>
    <row r="56" spans="1:8" x14ac:dyDescent="0.25">
      <c r="A56" s="14">
        <v>55</v>
      </c>
      <c r="B56" s="15">
        <v>1950</v>
      </c>
      <c r="C56" s="16">
        <v>11</v>
      </c>
      <c r="D56" s="16">
        <v>3</v>
      </c>
      <c r="E56" s="16">
        <v>26</v>
      </c>
      <c r="F56" s="16">
        <v>2</v>
      </c>
      <c r="G56" s="16">
        <v>1</v>
      </c>
      <c r="H56" s="14" t="s">
        <v>43</v>
      </c>
    </row>
    <row r="57" spans="1:8" x14ac:dyDescent="0.25">
      <c r="A57" s="14">
        <v>56</v>
      </c>
      <c r="B57" s="15">
        <v>2100</v>
      </c>
      <c r="C57" s="16">
        <v>12</v>
      </c>
      <c r="D57" s="16">
        <v>8</v>
      </c>
      <c r="E57" s="16">
        <v>28</v>
      </c>
      <c r="F57" s="16">
        <v>4</v>
      </c>
      <c r="G57" s="16">
        <v>1</v>
      </c>
      <c r="H57" s="14" t="s">
        <v>43</v>
      </c>
    </row>
    <row r="58" spans="1:8" ht="18.75" x14ac:dyDescent="0.3">
      <c r="A58" s="25" t="s">
        <v>4</v>
      </c>
      <c r="B58" s="31">
        <f>AVERAGE(B2:B57)</f>
        <v>2284.3846153846152</v>
      </c>
      <c r="C58" s="18">
        <f>AVERAGE(C2:C57)</f>
        <v>11.267857142857142</v>
      </c>
    </row>
    <row r="59" spans="1:8" ht="18.75" x14ac:dyDescent="0.3">
      <c r="A59" s="25" t="s">
        <v>5</v>
      </c>
      <c r="B59" s="31">
        <f>MEDIAN(B2:B57)</f>
        <v>2200</v>
      </c>
      <c r="C59" s="18">
        <f>_xlfn.STDEV.S(C2:C57)</f>
        <v>2.4605326210438228</v>
      </c>
    </row>
    <row r="60" spans="1:8" ht="18.75" x14ac:dyDescent="0.3">
      <c r="A60" s="25" t="s">
        <v>6</v>
      </c>
      <c r="B60" s="31">
        <f>MODE(B2:B57)</f>
        <v>3000</v>
      </c>
    </row>
    <row r="61" spans="1:8" x14ac:dyDescent="0.25">
      <c r="A61" s="25" t="s">
        <v>7</v>
      </c>
      <c r="B61" s="30">
        <f>+COUNT(B2:B57)</f>
        <v>55</v>
      </c>
    </row>
    <row r="62" spans="1:8" x14ac:dyDescent="0.25">
      <c r="A62" s="25" t="s">
        <v>42</v>
      </c>
      <c r="B62" s="29">
        <f>MAX(B2:B56)-MIN(B2:B56)</f>
        <v>2800</v>
      </c>
    </row>
    <row r="63" spans="1:8" x14ac:dyDescent="0.25">
      <c r="A63" s="25" t="s">
        <v>41</v>
      </c>
      <c r="B63" s="29">
        <f>MIN(B2:B57)</f>
        <v>1000</v>
      </c>
    </row>
    <row r="64" spans="1:8" x14ac:dyDescent="0.25">
      <c r="A64" s="25" t="s">
        <v>40</v>
      </c>
      <c r="B64" s="29">
        <f>MAX(B2:B57)</f>
        <v>3800</v>
      </c>
    </row>
    <row r="65" spans="1:2" x14ac:dyDescent="0.25">
      <c r="A65" s="28" t="s">
        <v>39</v>
      </c>
    </row>
    <row r="67" spans="1:2" ht="21" x14ac:dyDescent="0.35">
      <c r="A67" s="27"/>
      <c r="B67" s="46"/>
    </row>
    <row r="68" spans="1:2" ht="28.5" x14ac:dyDescent="0.45">
      <c r="A68" s="27"/>
      <c r="B68" s="26"/>
    </row>
    <row r="69" spans="1:2" ht="28.5" x14ac:dyDescent="0.45">
      <c r="A69" s="25"/>
      <c r="B69" s="24"/>
    </row>
    <row r="70" spans="1:2" ht="28.5" x14ac:dyDescent="0.45">
      <c r="A70" s="25"/>
      <c r="B70" s="24"/>
    </row>
    <row r="71" spans="1:2" ht="28.5" x14ac:dyDescent="0.45">
      <c r="A71" s="25"/>
      <c r="B71" s="24"/>
    </row>
  </sheetData>
  <autoFilter ref="A1:N65" xr:uid="{5608B009-75D8-4277-85DD-F0084276BEB0}"/>
  <pageMargins left="0.7" right="0.7" top="0.75" bottom="0.75" header="0.3" footer="0.3"/>
  <pageSetup orientation="portrait" horizontalDpi="4294967293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346619-0F94-4CD9-BA36-9C7307D2444E}">
  <dimension ref="C5:L12"/>
  <sheetViews>
    <sheetView zoomScale="160" zoomScaleNormal="160" zoomScaleSheetLayoutView="110" workbookViewId="0">
      <selection activeCell="I7" sqref="I7"/>
    </sheetView>
  </sheetViews>
  <sheetFormatPr baseColWidth="10" defaultRowHeight="15" x14ac:dyDescent="0.25"/>
  <cols>
    <col min="7" max="7" width="15.85546875" customWidth="1"/>
    <col min="8" max="8" width="13.7109375" customWidth="1"/>
    <col min="9" max="12" width="11.42578125" style="3"/>
  </cols>
  <sheetData>
    <row r="5" spans="3:12" x14ac:dyDescent="0.25">
      <c r="C5" s="5" t="s">
        <v>23</v>
      </c>
      <c r="H5" s="5"/>
      <c r="I5" s="6" t="s">
        <v>34</v>
      </c>
      <c r="J5" s="6" t="s">
        <v>35</v>
      </c>
      <c r="K5" s="6" t="s">
        <v>36</v>
      </c>
      <c r="L5" s="6" t="s">
        <v>37</v>
      </c>
    </row>
    <row r="6" spans="3:12" x14ac:dyDescent="0.25">
      <c r="C6" s="47" t="s">
        <v>24</v>
      </c>
      <c r="D6" s="47"/>
      <c r="E6" s="61" t="s">
        <v>25</v>
      </c>
      <c r="F6" s="61" t="s">
        <v>28</v>
      </c>
      <c r="H6" t="s">
        <v>16</v>
      </c>
      <c r="I6" s="62">
        <v>180</v>
      </c>
      <c r="J6" s="3">
        <v>70</v>
      </c>
      <c r="K6" s="3">
        <v>60</v>
      </c>
      <c r="L6" s="3">
        <v>50</v>
      </c>
    </row>
    <row r="7" spans="3:12" x14ac:dyDescent="0.25">
      <c r="E7" t="s">
        <v>26</v>
      </c>
      <c r="F7" t="s">
        <v>29</v>
      </c>
      <c r="H7" t="s">
        <v>16</v>
      </c>
      <c r="I7" s="6">
        <v>70</v>
      </c>
      <c r="J7" s="3">
        <v>30</v>
      </c>
      <c r="K7" s="3">
        <v>20</v>
      </c>
      <c r="L7" s="3">
        <v>20</v>
      </c>
    </row>
    <row r="8" spans="3:12" x14ac:dyDescent="0.25">
      <c r="E8" t="s">
        <v>27</v>
      </c>
      <c r="F8" t="s">
        <v>30</v>
      </c>
      <c r="H8" t="s">
        <v>16</v>
      </c>
      <c r="I8" s="6">
        <v>30</v>
      </c>
      <c r="J8" s="3">
        <v>15</v>
      </c>
      <c r="K8" s="3">
        <v>8</v>
      </c>
      <c r="L8" s="3">
        <v>7</v>
      </c>
    </row>
    <row r="9" spans="3:12" x14ac:dyDescent="0.25">
      <c r="E9" s="47" t="s">
        <v>31</v>
      </c>
      <c r="F9" s="47" t="s">
        <v>32</v>
      </c>
      <c r="G9" s="47"/>
      <c r="H9" t="s">
        <v>16</v>
      </c>
      <c r="I9" s="6">
        <v>15</v>
      </c>
      <c r="J9" s="3">
        <v>15</v>
      </c>
    </row>
    <row r="10" spans="3:12" x14ac:dyDescent="0.25">
      <c r="E10" s="47" t="s">
        <v>33</v>
      </c>
      <c r="F10" s="47"/>
      <c r="G10" s="47"/>
      <c r="H10" t="s">
        <v>16</v>
      </c>
      <c r="I10" s="6">
        <v>25</v>
      </c>
      <c r="J10" s="3">
        <v>25</v>
      </c>
    </row>
    <row r="11" spans="3:12" x14ac:dyDescent="0.25">
      <c r="I11" s="6">
        <f>SUM(I6:I10)</f>
        <v>320</v>
      </c>
      <c r="J11" s="3">
        <f t="shared" ref="J11:L11" si="0">SUM(J6:J10)</f>
        <v>155</v>
      </c>
      <c r="K11" s="3">
        <f t="shared" si="0"/>
        <v>88</v>
      </c>
      <c r="L11" s="3">
        <f t="shared" si="0"/>
        <v>77</v>
      </c>
    </row>
    <row r="12" spans="3:12" x14ac:dyDescent="0.25">
      <c r="C12" s="5" t="s">
        <v>38</v>
      </c>
    </row>
  </sheetData>
  <phoneticPr fontId="12" type="noConversion"/>
  <pageMargins left="0.7" right="0.7" top="0.75" bottom="0.75" header="0.3" footer="0.3"/>
  <pageSetup orientation="portrait" horizontalDpi="4294967293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FB0939-5876-4990-ABEF-6098183971D9}">
  <dimension ref="B3:J27"/>
  <sheetViews>
    <sheetView topLeftCell="A16" zoomScale="160" zoomScaleNormal="160" workbookViewId="0">
      <selection activeCell="E23" sqref="E23"/>
    </sheetView>
  </sheetViews>
  <sheetFormatPr baseColWidth="10" defaultRowHeight="15" x14ac:dyDescent="0.25"/>
  <cols>
    <col min="2" max="2" width="25" customWidth="1"/>
    <col min="3" max="3" width="18.140625" customWidth="1"/>
    <col min="4" max="4" width="22.5703125" customWidth="1"/>
    <col min="5" max="5" width="14.42578125" bestFit="1" customWidth="1"/>
    <col min="6" max="6" width="13.42578125" bestFit="1" customWidth="1"/>
  </cols>
  <sheetData>
    <row r="3" spans="2:10" x14ac:dyDescent="0.25">
      <c r="D3" s="59" t="s">
        <v>76</v>
      </c>
      <c r="E3" s="59"/>
      <c r="F3" s="59"/>
      <c r="G3" s="60" t="s">
        <v>77</v>
      </c>
      <c r="H3" s="60"/>
      <c r="I3" s="60"/>
    </row>
    <row r="4" spans="2:10" x14ac:dyDescent="0.25">
      <c r="D4" t="s">
        <v>62</v>
      </c>
      <c r="E4" t="s">
        <v>63</v>
      </c>
      <c r="F4" t="s">
        <v>64</v>
      </c>
      <c r="G4" t="s">
        <v>62</v>
      </c>
      <c r="H4" t="s">
        <v>63</v>
      </c>
      <c r="I4" t="s">
        <v>64</v>
      </c>
    </row>
    <row r="5" spans="2:10" x14ac:dyDescent="0.25">
      <c r="C5" t="s">
        <v>57</v>
      </c>
      <c r="D5" s="8">
        <v>11000000</v>
      </c>
      <c r="E5" s="54">
        <v>9000000</v>
      </c>
      <c r="F5" s="54">
        <f>+D5-E5</f>
        <v>2000000</v>
      </c>
      <c r="G5" s="56">
        <v>900</v>
      </c>
      <c r="H5" s="56">
        <v>800</v>
      </c>
      <c r="I5" s="56">
        <v>100</v>
      </c>
      <c r="J5" t="s">
        <v>78</v>
      </c>
    </row>
    <row r="6" spans="2:10" x14ac:dyDescent="0.25">
      <c r="C6" t="s">
        <v>58</v>
      </c>
      <c r="D6" s="8">
        <v>1000000</v>
      </c>
      <c r="E6" s="54">
        <v>700000</v>
      </c>
      <c r="F6" s="54">
        <f t="shared" ref="F6:F8" si="0">+D6-E6</f>
        <v>300000</v>
      </c>
      <c r="G6" s="56">
        <v>200</v>
      </c>
      <c r="H6" s="56">
        <v>140</v>
      </c>
      <c r="I6" s="56">
        <v>60</v>
      </c>
      <c r="J6" t="s">
        <v>79</v>
      </c>
    </row>
    <row r="7" spans="2:10" x14ac:dyDescent="0.25">
      <c r="C7" t="s">
        <v>59</v>
      </c>
      <c r="D7" s="8">
        <v>800000</v>
      </c>
      <c r="E7" s="54">
        <v>600000</v>
      </c>
      <c r="F7" s="54">
        <f t="shared" si="0"/>
        <v>200000</v>
      </c>
      <c r="G7" s="56">
        <v>100</v>
      </c>
      <c r="H7" s="56">
        <v>70</v>
      </c>
      <c r="I7" s="56">
        <v>30</v>
      </c>
      <c r="J7" t="s">
        <v>80</v>
      </c>
    </row>
    <row r="8" spans="2:10" x14ac:dyDescent="0.25">
      <c r="C8" t="s">
        <v>60</v>
      </c>
      <c r="D8" s="8">
        <v>600000</v>
      </c>
      <c r="E8" s="54">
        <v>300000</v>
      </c>
      <c r="F8" s="54">
        <f t="shared" si="0"/>
        <v>300000</v>
      </c>
      <c r="G8" s="56">
        <v>100</v>
      </c>
      <c r="H8" s="56">
        <v>50</v>
      </c>
      <c r="I8" s="56">
        <v>50</v>
      </c>
      <c r="J8" t="s">
        <v>80</v>
      </c>
    </row>
    <row r="9" spans="2:10" x14ac:dyDescent="0.25">
      <c r="D9" s="55">
        <f>SUM(D5:D8)</f>
        <v>13400000</v>
      </c>
      <c r="E9" s="54">
        <f>SUM(E5:E8)</f>
        <v>10600000</v>
      </c>
      <c r="F9" s="54">
        <f>SUM(F5:F8)</f>
        <v>2800000</v>
      </c>
      <c r="G9" s="56"/>
      <c r="H9" s="56"/>
      <c r="I9" s="56"/>
    </row>
    <row r="10" spans="2:10" x14ac:dyDescent="0.25">
      <c r="H10" t="s">
        <v>81</v>
      </c>
    </row>
    <row r="11" spans="2:10" x14ac:dyDescent="0.25">
      <c r="B11" t="s">
        <v>71</v>
      </c>
      <c r="C11" t="s">
        <v>65</v>
      </c>
      <c r="D11" s="57">
        <v>1200</v>
      </c>
    </row>
    <row r="13" spans="2:10" x14ac:dyDescent="0.25">
      <c r="B13" t="s">
        <v>72</v>
      </c>
      <c r="C13" t="s">
        <v>66</v>
      </c>
      <c r="D13">
        <v>1200</v>
      </c>
    </row>
    <row r="14" spans="2:10" x14ac:dyDescent="0.25">
      <c r="B14" t="s">
        <v>75</v>
      </c>
      <c r="C14" t="s">
        <v>67</v>
      </c>
      <c r="D14">
        <v>1200</v>
      </c>
    </row>
    <row r="15" spans="2:10" x14ac:dyDescent="0.25">
      <c r="B15" t="s">
        <v>73</v>
      </c>
      <c r="C15" t="s">
        <v>68</v>
      </c>
      <c r="D15">
        <v>1200</v>
      </c>
    </row>
    <row r="16" spans="2:10" x14ac:dyDescent="0.25">
      <c r="B16" t="s">
        <v>74</v>
      </c>
      <c r="C16" t="s">
        <v>69</v>
      </c>
      <c r="D16">
        <v>1200</v>
      </c>
    </row>
    <row r="17" spans="2:6" x14ac:dyDescent="0.25">
      <c r="B17" s="58">
        <v>2.1999999999999999E-2</v>
      </c>
      <c r="C17" t="s">
        <v>70</v>
      </c>
      <c r="D17">
        <f>SUM(D13:D16)</f>
        <v>4800</v>
      </c>
    </row>
    <row r="22" spans="2:6" x14ac:dyDescent="0.25">
      <c r="D22" t="s">
        <v>82</v>
      </c>
      <c r="E22" s="38">
        <v>0.66</v>
      </c>
    </row>
    <row r="23" spans="2:6" x14ac:dyDescent="0.25">
      <c r="D23" t="s">
        <v>83</v>
      </c>
      <c r="E23" s="38">
        <v>0.34</v>
      </c>
      <c r="F23" t="s">
        <v>84</v>
      </c>
    </row>
    <row r="27" spans="2:6" x14ac:dyDescent="0.25">
      <c r="E27" t="s">
        <v>61</v>
      </c>
    </row>
  </sheetData>
  <mergeCells count="2">
    <mergeCell ref="D3:F3"/>
    <mergeCell ref="G3:I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ED5C07-F658-417A-A99F-B54EE940C0B2}">
  <dimension ref="A1:G58"/>
  <sheetViews>
    <sheetView zoomScale="110" zoomScaleNormal="110" workbookViewId="0">
      <selection activeCell="B1" sqref="B1:B1048576"/>
    </sheetView>
  </sheetViews>
  <sheetFormatPr baseColWidth="10" defaultRowHeight="15" x14ac:dyDescent="0.25"/>
  <cols>
    <col min="1" max="1" width="13.5703125" style="18" customWidth="1"/>
    <col min="2" max="2" width="19.5703125" style="18" customWidth="1"/>
    <col min="3" max="3" width="14.28515625" style="18" bestFit="1" customWidth="1"/>
    <col min="4" max="4" width="16.42578125" style="18" customWidth="1"/>
    <col min="5" max="5" width="11.42578125" style="18"/>
    <col min="6" max="6" width="16.140625" style="18" customWidth="1"/>
    <col min="7" max="7" width="16" style="19" customWidth="1"/>
  </cols>
  <sheetData>
    <row r="1" spans="1:7" x14ac:dyDescent="0.25">
      <c r="A1" s="17" t="s">
        <v>0</v>
      </c>
      <c r="B1" s="17" t="s">
        <v>17</v>
      </c>
      <c r="C1" s="17" t="s">
        <v>18</v>
      </c>
      <c r="D1" s="17" t="s">
        <v>19</v>
      </c>
      <c r="E1" s="17" t="s">
        <v>20</v>
      </c>
      <c r="F1" s="17" t="s">
        <v>21</v>
      </c>
      <c r="G1" s="17" t="s">
        <v>22</v>
      </c>
    </row>
    <row r="2" spans="1:7" x14ac:dyDescent="0.25">
      <c r="A2" s="14">
        <v>26</v>
      </c>
      <c r="B2" s="21">
        <v>1150</v>
      </c>
      <c r="C2" s="22">
        <v>9</v>
      </c>
      <c r="D2" s="16">
        <v>4</v>
      </c>
      <c r="E2" s="16">
        <v>22</v>
      </c>
      <c r="F2" s="16">
        <v>1</v>
      </c>
      <c r="G2" s="16">
        <v>1</v>
      </c>
    </row>
    <row r="3" spans="1:7" x14ac:dyDescent="0.25">
      <c r="A3" s="14">
        <v>2</v>
      </c>
      <c r="B3" s="21">
        <v>1200</v>
      </c>
      <c r="C3" s="22">
        <v>8</v>
      </c>
      <c r="D3" s="16">
        <v>3</v>
      </c>
      <c r="E3" s="16">
        <v>21</v>
      </c>
      <c r="F3" s="16">
        <v>3</v>
      </c>
      <c r="G3" s="16">
        <v>1</v>
      </c>
    </row>
    <row r="4" spans="1:7" x14ac:dyDescent="0.25">
      <c r="A4" s="14">
        <v>8</v>
      </c>
      <c r="B4" s="21">
        <v>1200</v>
      </c>
      <c r="C4" s="22">
        <v>9</v>
      </c>
      <c r="D4" s="16">
        <v>3</v>
      </c>
      <c r="E4" s="16">
        <v>23</v>
      </c>
      <c r="F4" s="16">
        <v>5</v>
      </c>
      <c r="G4" s="16">
        <v>1</v>
      </c>
    </row>
    <row r="5" spans="1:7" x14ac:dyDescent="0.25">
      <c r="A5" s="14">
        <v>25</v>
      </c>
      <c r="B5" s="21">
        <v>1200</v>
      </c>
      <c r="C5" s="22">
        <v>9</v>
      </c>
      <c r="D5" s="16">
        <v>4</v>
      </c>
      <c r="E5" s="16">
        <v>21</v>
      </c>
      <c r="F5" s="16">
        <v>3</v>
      </c>
      <c r="G5" s="16">
        <v>1</v>
      </c>
    </row>
    <row r="6" spans="1:7" x14ac:dyDescent="0.25">
      <c r="A6" s="14">
        <v>32</v>
      </c>
      <c r="B6" s="21">
        <v>1200</v>
      </c>
      <c r="C6" s="23">
        <v>11</v>
      </c>
      <c r="D6" s="16">
        <v>5</v>
      </c>
      <c r="E6" s="16">
        <v>22</v>
      </c>
      <c r="F6" s="20">
        <v>4</v>
      </c>
      <c r="G6" s="16">
        <v>1</v>
      </c>
    </row>
    <row r="7" spans="1:7" x14ac:dyDescent="0.25">
      <c r="A7" s="14">
        <v>13</v>
      </c>
      <c r="B7" s="21">
        <v>1320</v>
      </c>
      <c r="C7" s="22">
        <v>7</v>
      </c>
      <c r="D7" s="16">
        <v>4</v>
      </c>
      <c r="E7" s="16">
        <v>24</v>
      </c>
      <c r="F7" s="16">
        <v>5</v>
      </c>
      <c r="G7" s="16">
        <v>1</v>
      </c>
    </row>
    <row r="8" spans="1:7" x14ac:dyDescent="0.25">
      <c r="A8" s="14">
        <v>4</v>
      </c>
      <c r="B8" s="21">
        <v>1350</v>
      </c>
      <c r="C8" s="22">
        <v>6</v>
      </c>
      <c r="D8" s="16">
        <v>3</v>
      </c>
      <c r="E8" s="16">
        <v>23</v>
      </c>
      <c r="F8" s="16">
        <v>1</v>
      </c>
      <c r="G8" s="16">
        <v>1</v>
      </c>
    </row>
    <row r="9" spans="1:7" x14ac:dyDescent="0.25">
      <c r="A9" s="14">
        <v>26</v>
      </c>
      <c r="B9" s="21">
        <v>1350</v>
      </c>
      <c r="C9" s="22">
        <v>11</v>
      </c>
      <c r="D9" s="16">
        <v>3</v>
      </c>
      <c r="E9" s="16">
        <v>27</v>
      </c>
      <c r="F9" s="16">
        <v>5</v>
      </c>
      <c r="G9" s="16">
        <v>1</v>
      </c>
    </row>
    <row r="10" spans="1:7" x14ac:dyDescent="0.25">
      <c r="A10" s="14">
        <v>21</v>
      </c>
      <c r="B10" s="21">
        <v>1400</v>
      </c>
      <c r="C10" s="22">
        <v>10</v>
      </c>
      <c r="D10" s="16">
        <v>3</v>
      </c>
      <c r="E10" s="16">
        <v>25</v>
      </c>
      <c r="F10" s="16">
        <v>4</v>
      </c>
      <c r="G10" s="16">
        <v>1</v>
      </c>
    </row>
    <row r="11" spans="1:7" x14ac:dyDescent="0.25">
      <c r="A11" s="14">
        <v>22</v>
      </c>
      <c r="B11" s="21">
        <v>1400</v>
      </c>
      <c r="C11" s="22">
        <v>11</v>
      </c>
      <c r="D11" s="16">
        <v>3</v>
      </c>
      <c r="E11" s="16">
        <v>26</v>
      </c>
      <c r="F11" s="16">
        <v>4</v>
      </c>
      <c r="G11" s="16">
        <v>1</v>
      </c>
    </row>
    <row r="12" spans="1:7" x14ac:dyDescent="0.25">
      <c r="A12" s="14">
        <v>27</v>
      </c>
      <c r="B12" s="21">
        <v>1400</v>
      </c>
      <c r="C12" s="22">
        <v>11</v>
      </c>
      <c r="D12" s="16">
        <v>3</v>
      </c>
      <c r="E12" s="16">
        <v>28</v>
      </c>
      <c r="F12" s="16">
        <v>6</v>
      </c>
      <c r="G12" s="16">
        <v>1</v>
      </c>
    </row>
    <row r="13" spans="1:7" x14ac:dyDescent="0.25">
      <c r="A13" s="14">
        <v>23</v>
      </c>
      <c r="B13" s="21">
        <v>1450</v>
      </c>
      <c r="C13" s="22">
        <v>11</v>
      </c>
      <c r="D13" s="16">
        <v>3</v>
      </c>
      <c r="E13" s="16">
        <v>26</v>
      </c>
      <c r="F13" s="16">
        <v>4</v>
      </c>
      <c r="G13" s="16">
        <v>1</v>
      </c>
    </row>
    <row r="14" spans="1:7" x14ac:dyDescent="0.25">
      <c r="A14" s="14">
        <v>14</v>
      </c>
      <c r="B14" s="21">
        <v>1458</v>
      </c>
      <c r="C14" s="22">
        <v>6</v>
      </c>
      <c r="D14" s="16">
        <v>3</v>
      </c>
      <c r="E14" s="16">
        <v>22</v>
      </c>
      <c r="F14" s="16">
        <v>4</v>
      </c>
      <c r="G14" s="16">
        <v>1</v>
      </c>
    </row>
    <row r="15" spans="1:7" x14ac:dyDescent="0.25">
      <c r="A15" s="14">
        <v>3</v>
      </c>
      <c r="B15" s="21">
        <v>1500</v>
      </c>
      <c r="C15" s="22">
        <v>9</v>
      </c>
      <c r="D15" s="16">
        <v>3</v>
      </c>
      <c r="E15" s="16">
        <v>23</v>
      </c>
      <c r="F15" s="16">
        <v>2</v>
      </c>
      <c r="G15" s="16">
        <v>1</v>
      </c>
    </row>
    <row r="16" spans="1:7" x14ac:dyDescent="0.25">
      <c r="A16" s="14">
        <v>23</v>
      </c>
      <c r="B16" s="21">
        <v>1500</v>
      </c>
      <c r="C16" s="22">
        <v>11</v>
      </c>
      <c r="D16" s="16">
        <v>4</v>
      </c>
      <c r="E16" s="16">
        <v>25</v>
      </c>
      <c r="F16" s="16">
        <v>6</v>
      </c>
      <c r="G16" s="16">
        <v>1</v>
      </c>
    </row>
    <row r="17" spans="1:7" x14ac:dyDescent="0.25">
      <c r="A17" s="14">
        <v>24</v>
      </c>
      <c r="B17" s="21">
        <v>1500</v>
      </c>
      <c r="C17" s="22">
        <v>11</v>
      </c>
      <c r="D17" s="16">
        <v>4</v>
      </c>
      <c r="E17" s="16">
        <v>26</v>
      </c>
      <c r="F17" s="16">
        <v>6</v>
      </c>
      <c r="G17" s="16">
        <v>1</v>
      </c>
    </row>
    <row r="18" spans="1:7" x14ac:dyDescent="0.25">
      <c r="A18" s="14">
        <v>35</v>
      </c>
      <c r="B18" s="21">
        <v>1500</v>
      </c>
      <c r="C18" s="22">
        <v>11</v>
      </c>
      <c r="D18" s="16">
        <v>4</v>
      </c>
      <c r="E18" s="16">
        <v>26</v>
      </c>
      <c r="F18" s="16">
        <v>3</v>
      </c>
      <c r="G18" s="16">
        <v>1</v>
      </c>
    </row>
    <row r="19" spans="1:7" x14ac:dyDescent="0.25">
      <c r="A19" s="14">
        <v>39</v>
      </c>
      <c r="B19" s="21">
        <v>1500</v>
      </c>
      <c r="C19" s="22">
        <v>9</v>
      </c>
      <c r="D19" s="16">
        <v>3</v>
      </c>
      <c r="E19" s="16">
        <v>24</v>
      </c>
      <c r="F19" s="16">
        <v>3</v>
      </c>
      <c r="G19" s="16">
        <v>1</v>
      </c>
    </row>
    <row r="20" spans="1:7" x14ac:dyDescent="0.25">
      <c r="A20" s="14">
        <v>49</v>
      </c>
      <c r="B20" s="21">
        <v>1500</v>
      </c>
      <c r="C20" s="22">
        <v>11</v>
      </c>
      <c r="D20" s="16">
        <v>3</v>
      </c>
      <c r="E20" s="16">
        <v>29</v>
      </c>
      <c r="F20" s="16">
        <v>8</v>
      </c>
      <c r="G20" s="16">
        <v>1</v>
      </c>
    </row>
    <row r="21" spans="1:7" x14ac:dyDescent="0.25">
      <c r="A21" s="14">
        <v>24</v>
      </c>
      <c r="B21" s="21">
        <v>1550</v>
      </c>
      <c r="C21" s="22">
        <v>11</v>
      </c>
      <c r="D21" s="16">
        <v>3</v>
      </c>
      <c r="E21" s="16">
        <v>25</v>
      </c>
      <c r="F21" s="16">
        <v>5</v>
      </c>
      <c r="G21" s="16">
        <v>1</v>
      </c>
    </row>
    <row r="22" spans="1:7" x14ac:dyDescent="0.25">
      <c r="A22" s="14">
        <v>25</v>
      </c>
      <c r="B22" s="21">
        <v>1550</v>
      </c>
      <c r="C22" s="22">
        <v>11</v>
      </c>
      <c r="D22" s="16">
        <v>3</v>
      </c>
      <c r="E22" s="16">
        <v>26</v>
      </c>
      <c r="F22" s="16">
        <v>5</v>
      </c>
      <c r="G22" s="16">
        <v>1</v>
      </c>
    </row>
    <row r="23" spans="1:7" x14ac:dyDescent="0.25">
      <c r="A23" s="14">
        <v>6</v>
      </c>
      <c r="B23" s="21">
        <v>1600</v>
      </c>
      <c r="C23" s="22">
        <v>10</v>
      </c>
      <c r="D23" s="16">
        <v>4</v>
      </c>
      <c r="E23" s="16">
        <v>26</v>
      </c>
      <c r="F23" s="16">
        <v>5</v>
      </c>
      <c r="G23" s="16">
        <v>1</v>
      </c>
    </row>
    <row r="24" spans="1:7" x14ac:dyDescent="0.25">
      <c r="A24" s="14">
        <v>10</v>
      </c>
      <c r="B24" s="21">
        <v>1600</v>
      </c>
      <c r="C24" s="22">
        <v>10</v>
      </c>
      <c r="D24" s="16">
        <v>4</v>
      </c>
      <c r="E24" s="16">
        <v>28</v>
      </c>
      <c r="F24" s="16">
        <v>2</v>
      </c>
      <c r="G24" s="16">
        <v>1</v>
      </c>
    </row>
    <row r="25" spans="1:7" x14ac:dyDescent="0.25">
      <c r="A25" s="14">
        <v>15</v>
      </c>
      <c r="B25" s="21">
        <v>1600</v>
      </c>
      <c r="C25" s="22">
        <v>10</v>
      </c>
      <c r="D25" s="16">
        <v>2</v>
      </c>
      <c r="E25" s="16">
        <v>26</v>
      </c>
      <c r="F25" s="16">
        <v>8</v>
      </c>
      <c r="G25" s="16">
        <v>1</v>
      </c>
    </row>
    <row r="26" spans="1:7" x14ac:dyDescent="0.25">
      <c r="A26" s="14">
        <v>16</v>
      </c>
      <c r="B26" s="21">
        <v>1600</v>
      </c>
      <c r="C26" s="22">
        <v>9</v>
      </c>
      <c r="D26" s="16">
        <v>2</v>
      </c>
      <c r="E26" s="16">
        <v>29</v>
      </c>
      <c r="F26" s="16">
        <v>9</v>
      </c>
      <c r="G26" s="16">
        <v>1</v>
      </c>
    </row>
    <row r="27" spans="1:7" x14ac:dyDescent="0.25">
      <c r="A27" s="14">
        <v>29</v>
      </c>
      <c r="B27" s="21">
        <v>1600</v>
      </c>
      <c r="C27" s="22">
        <v>10</v>
      </c>
      <c r="D27" s="16">
        <v>4</v>
      </c>
      <c r="E27" s="16">
        <v>29</v>
      </c>
      <c r="F27" s="16">
        <v>5</v>
      </c>
      <c r="G27" s="16">
        <v>1</v>
      </c>
    </row>
    <row r="28" spans="1:7" x14ac:dyDescent="0.25">
      <c r="A28" s="14">
        <v>30</v>
      </c>
      <c r="B28" s="21">
        <v>1600</v>
      </c>
      <c r="C28" s="22">
        <v>12</v>
      </c>
      <c r="D28" s="16">
        <v>5</v>
      </c>
      <c r="E28" s="16">
        <v>32</v>
      </c>
      <c r="F28" s="16">
        <v>8</v>
      </c>
      <c r="G28" s="16">
        <v>1</v>
      </c>
    </row>
    <row r="29" spans="1:7" x14ac:dyDescent="0.25">
      <c r="A29" s="14">
        <v>36</v>
      </c>
      <c r="B29" s="21">
        <v>1600</v>
      </c>
      <c r="C29" s="22">
        <v>12</v>
      </c>
      <c r="D29" s="16">
        <v>5</v>
      </c>
      <c r="E29" s="16">
        <v>32</v>
      </c>
      <c r="F29" s="16">
        <v>4</v>
      </c>
      <c r="G29" s="16">
        <v>1</v>
      </c>
    </row>
    <row r="30" spans="1:7" x14ac:dyDescent="0.25">
      <c r="A30" s="14">
        <v>43</v>
      </c>
      <c r="B30" s="21">
        <v>1600</v>
      </c>
      <c r="C30" s="20">
        <v>11</v>
      </c>
      <c r="D30" s="16">
        <v>5</v>
      </c>
      <c r="E30" s="16">
        <v>30</v>
      </c>
      <c r="F30" s="16">
        <v>4</v>
      </c>
      <c r="G30" s="16">
        <v>1</v>
      </c>
    </row>
    <row r="31" spans="1:7" x14ac:dyDescent="0.25">
      <c r="A31" s="14">
        <v>11</v>
      </c>
      <c r="B31" s="21">
        <v>1650</v>
      </c>
      <c r="C31" s="22">
        <v>8</v>
      </c>
      <c r="D31" s="16">
        <v>3</v>
      </c>
      <c r="E31" s="16">
        <v>30</v>
      </c>
      <c r="F31" s="16">
        <v>1</v>
      </c>
      <c r="G31" s="16">
        <v>1</v>
      </c>
    </row>
    <row r="32" spans="1:7" x14ac:dyDescent="0.25">
      <c r="A32" s="14">
        <v>12</v>
      </c>
      <c r="B32" s="21">
        <v>1650</v>
      </c>
      <c r="C32" s="22">
        <v>9</v>
      </c>
      <c r="D32" s="16">
        <v>4</v>
      </c>
      <c r="E32" s="16">
        <v>28</v>
      </c>
      <c r="F32" s="16">
        <v>3</v>
      </c>
      <c r="G32" s="16">
        <v>1</v>
      </c>
    </row>
    <row r="33" spans="1:7" x14ac:dyDescent="0.25">
      <c r="A33" s="14">
        <v>21</v>
      </c>
      <c r="B33" s="21">
        <v>1650</v>
      </c>
      <c r="C33" s="22">
        <v>9</v>
      </c>
      <c r="D33" s="16">
        <v>4</v>
      </c>
      <c r="E33" s="16">
        <v>29</v>
      </c>
      <c r="F33" s="16">
        <v>3</v>
      </c>
      <c r="G33" s="16">
        <v>1</v>
      </c>
    </row>
    <row r="34" spans="1:7" x14ac:dyDescent="0.25">
      <c r="A34" s="14">
        <v>22</v>
      </c>
      <c r="B34" s="21">
        <v>1650</v>
      </c>
      <c r="C34" s="22">
        <v>9</v>
      </c>
      <c r="D34" s="16">
        <v>4</v>
      </c>
      <c r="E34" s="16">
        <v>30</v>
      </c>
      <c r="F34" s="16">
        <v>5</v>
      </c>
      <c r="G34" s="16">
        <v>1</v>
      </c>
    </row>
    <row r="35" spans="1:7" x14ac:dyDescent="0.25">
      <c r="A35" s="14">
        <v>47</v>
      </c>
      <c r="B35" s="21">
        <v>1650</v>
      </c>
      <c r="C35" s="22">
        <v>10</v>
      </c>
      <c r="D35" s="16">
        <v>3</v>
      </c>
      <c r="E35" s="16">
        <v>27</v>
      </c>
      <c r="F35" s="16">
        <v>6</v>
      </c>
      <c r="G35" s="16">
        <v>1</v>
      </c>
    </row>
    <row r="36" spans="1:7" x14ac:dyDescent="0.25">
      <c r="A36" s="14">
        <v>48</v>
      </c>
      <c r="B36" s="21">
        <v>1650</v>
      </c>
      <c r="C36" s="22">
        <v>9</v>
      </c>
      <c r="D36" s="16">
        <v>2</v>
      </c>
      <c r="E36" s="16">
        <v>30</v>
      </c>
      <c r="F36" s="16">
        <v>5</v>
      </c>
      <c r="G36" s="16">
        <v>1</v>
      </c>
    </row>
    <row r="37" spans="1:7" x14ac:dyDescent="0.25">
      <c r="A37" s="14">
        <v>19</v>
      </c>
      <c r="B37" s="21">
        <v>1700</v>
      </c>
      <c r="C37" s="20">
        <v>10</v>
      </c>
      <c r="D37" s="16">
        <v>9</v>
      </c>
      <c r="E37" s="16">
        <v>33</v>
      </c>
      <c r="F37" s="16">
        <v>8</v>
      </c>
      <c r="G37" s="16">
        <v>1</v>
      </c>
    </row>
    <row r="38" spans="1:7" x14ac:dyDescent="0.25">
      <c r="A38" s="14">
        <v>20</v>
      </c>
      <c r="B38" s="21">
        <v>1700</v>
      </c>
      <c r="C38" s="22">
        <v>10</v>
      </c>
      <c r="D38" s="16">
        <v>5</v>
      </c>
      <c r="E38" s="16">
        <v>32</v>
      </c>
      <c r="F38" s="16">
        <v>8</v>
      </c>
      <c r="G38" s="16">
        <v>1</v>
      </c>
    </row>
    <row r="39" spans="1:7" x14ac:dyDescent="0.25">
      <c r="A39" s="14">
        <v>37</v>
      </c>
      <c r="B39" s="21">
        <v>1700</v>
      </c>
      <c r="C39" s="22">
        <v>11</v>
      </c>
      <c r="D39" s="16">
        <v>5</v>
      </c>
      <c r="E39" s="16">
        <v>31</v>
      </c>
      <c r="F39" s="16">
        <v>4</v>
      </c>
      <c r="G39" s="16">
        <v>1</v>
      </c>
    </row>
    <row r="40" spans="1:7" x14ac:dyDescent="0.25">
      <c r="A40" s="14">
        <v>45</v>
      </c>
      <c r="B40" s="21">
        <v>1700</v>
      </c>
      <c r="C40" s="22">
        <v>11</v>
      </c>
      <c r="D40" s="16">
        <v>5</v>
      </c>
      <c r="E40" s="16">
        <v>34</v>
      </c>
      <c r="F40" s="16">
        <v>6</v>
      </c>
      <c r="G40" s="16">
        <v>1</v>
      </c>
    </row>
    <row r="41" spans="1:7" x14ac:dyDescent="0.25">
      <c r="A41" s="14">
        <v>46</v>
      </c>
      <c r="B41" s="21">
        <v>1700</v>
      </c>
      <c r="C41" s="22">
        <v>10</v>
      </c>
      <c r="D41" s="16">
        <v>5</v>
      </c>
      <c r="E41" s="16">
        <v>32</v>
      </c>
      <c r="F41" s="16">
        <v>5</v>
      </c>
      <c r="G41" s="16">
        <v>1</v>
      </c>
    </row>
    <row r="42" spans="1:7" x14ac:dyDescent="0.25">
      <c r="A42" s="14">
        <v>38</v>
      </c>
      <c r="B42" s="21">
        <v>1750</v>
      </c>
      <c r="C42" s="22">
        <v>10</v>
      </c>
      <c r="D42" s="16">
        <v>5</v>
      </c>
      <c r="E42" s="16">
        <v>30</v>
      </c>
      <c r="F42" s="16">
        <v>3</v>
      </c>
      <c r="G42" s="16">
        <v>1</v>
      </c>
    </row>
    <row r="43" spans="1:7" x14ac:dyDescent="0.25">
      <c r="A43" s="14">
        <v>5</v>
      </c>
      <c r="B43" s="21">
        <v>1750</v>
      </c>
      <c r="C43" s="22">
        <v>12</v>
      </c>
      <c r="D43" s="16">
        <v>8</v>
      </c>
      <c r="E43" s="16">
        <v>33</v>
      </c>
      <c r="F43" s="16">
        <v>6</v>
      </c>
      <c r="G43" s="16">
        <v>1</v>
      </c>
    </row>
    <row r="44" spans="1:7" x14ac:dyDescent="0.25">
      <c r="A44" s="14">
        <v>17</v>
      </c>
      <c r="B44" s="21">
        <v>1750</v>
      </c>
      <c r="C44" s="22">
        <v>12</v>
      </c>
      <c r="D44" s="16">
        <v>4</v>
      </c>
      <c r="E44" s="16">
        <v>33</v>
      </c>
      <c r="F44" s="16">
        <v>6</v>
      </c>
      <c r="G44" s="16">
        <v>1</v>
      </c>
    </row>
    <row r="45" spans="1:7" x14ac:dyDescent="0.25">
      <c r="A45" s="14">
        <v>18</v>
      </c>
      <c r="B45" s="21">
        <v>1750</v>
      </c>
      <c r="C45" s="22">
        <v>10</v>
      </c>
      <c r="D45" s="16">
        <v>4</v>
      </c>
      <c r="E45" s="16">
        <v>32</v>
      </c>
      <c r="F45" s="16">
        <v>7</v>
      </c>
      <c r="G45" s="16">
        <v>1</v>
      </c>
    </row>
    <row r="46" spans="1:7" x14ac:dyDescent="0.25">
      <c r="A46" s="14">
        <v>44</v>
      </c>
      <c r="B46" s="21">
        <v>1750</v>
      </c>
      <c r="C46" s="22">
        <v>11</v>
      </c>
      <c r="D46" s="16">
        <v>4</v>
      </c>
      <c r="E46" s="16">
        <v>31</v>
      </c>
      <c r="F46" s="16">
        <v>5</v>
      </c>
      <c r="G46" s="16">
        <v>1</v>
      </c>
    </row>
    <row r="47" spans="1:7" x14ac:dyDescent="0.25">
      <c r="A47" s="14">
        <v>41</v>
      </c>
      <c r="B47" s="21">
        <v>1750</v>
      </c>
      <c r="C47" s="22">
        <v>10</v>
      </c>
      <c r="D47" s="16">
        <v>5</v>
      </c>
      <c r="E47" s="16">
        <v>30</v>
      </c>
      <c r="F47" s="16">
        <v>2</v>
      </c>
      <c r="G47" s="16">
        <v>1</v>
      </c>
    </row>
    <row r="48" spans="1:7" x14ac:dyDescent="0.25">
      <c r="A48" s="14">
        <v>1</v>
      </c>
      <c r="B48" s="21">
        <v>1750</v>
      </c>
      <c r="C48" s="22">
        <v>11</v>
      </c>
      <c r="D48" s="16">
        <v>5</v>
      </c>
      <c r="E48" s="16">
        <v>29</v>
      </c>
      <c r="F48" s="16">
        <v>5</v>
      </c>
      <c r="G48" s="16">
        <v>1</v>
      </c>
    </row>
    <row r="49" spans="1:7" x14ac:dyDescent="0.25">
      <c r="A49" s="14">
        <v>7</v>
      </c>
      <c r="B49" s="21">
        <v>1750</v>
      </c>
      <c r="C49" s="22">
        <v>11</v>
      </c>
      <c r="D49" s="20">
        <v>4</v>
      </c>
      <c r="E49" s="16">
        <v>35</v>
      </c>
      <c r="F49" s="16">
        <v>9</v>
      </c>
      <c r="G49" s="16">
        <v>1</v>
      </c>
    </row>
    <row r="50" spans="1:7" x14ac:dyDescent="0.25">
      <c r="A50" s="14">
        <v>9</v>
      </c>
      <c r="B50" s="21">
        <v>1750</v>
      </c>
      <c r="C50" s="22">
        <v>11</v>
      </c>
      <c r="D50" s="16">
        <v>6</v>
      </c>
      <c r="E50" s="16">
        <v>36</v>
      </c>
      <c r="F50" s="16">
        <v>4</v>
      </c>
      <c r="G50" s="16">
        <v>1</v>
      </c>
    </row>
    <row r="51" spans="1:7" x14ac:dyDescent="0.25">
      <c r="A51" s="14">
        <v>27</v>
      </c>
      <c r="B51" s="21">
        <v>1800</v>
      </c>
      <c r="C51" s="22">
        <v>14</v>
      </c>
      <c r="D51" s="16">
        <v>6</v>
      </c>
      <c r="E51" s="16">
        <v>34</v>
      </c>
      <c r="F51" s="16">
        <v>4</v>
      </c>
      <c r="G51" s="16">
        <v>1</v>
      </c>
    </row>
    <row r="52" spans="1:7" x14ac:dyDescent="0.25">
      <c r="A52" s="14">
        <v>28</v>
      </c>
      <c r="B52" s="21">
        <v>1850</v>
      </c>
      <c r="C52" s="22">
        <v>12</v>
      </c>
      <c r="D52" s="16">
        <v>5</v>
      </c>
      <c r="E52" s="16">
        <v>33</v>
      </c>
      <c r="F52" s="16">
        <v>6</v>
      </c>
      <c r="G52" s="16">
        <v>1</v>
      </c>
    </row>
    <row r="53" spans="1:7" x14ac:dyDescent="0.25">
      <c r="A53" s="14">
        <v>31</v>
      </c>
      <c r="B53" s="21">
        <v>1900</v>
      </c>
      <c r="C53" s="22">
        <v>12</v>
      </c>
      <c r="D53" s="20">
        <v>5</v>
      </c>
      <c r="E53" s="16">
        <v>36</v>
      </c>
      <c r="F53" s="16">
        <v>3</v>
      </c>
      <c r="G53" s="16">
        <v>1</v>
      </c>
    </row>
    <row r="54" spans="1:7" x14ac:dyDescent="0.25">
      <c r="A54" s="14">
        <v>33</v>
      </c>
      <c r="B54" s="21">
        <v>2000</v>
      </c>
      <c r="C54" s="22">
        <v>11</v>
      </c>
      <c r="D54" s="16">
        <v>8</v>
      </c>
      <c r="E54" s="16">
        <v>32</v>
      </c>
      <c r="F54" s="16">
        <v>5</v>
      </c>
      <c r="G54" s="16">
        <v>1</v>
      </c>
    </row>
    <row r="55" spans="1:7" x14ac:dyDescent="0.25">
      <c r="A55" s="14">
        <v>34</v>
      </c>
      <c r="B55" s="21">
        <v>2000</v>
      </c>
      <c r="C55" s="22">
        <v>12</v>
      </c>
      <c r="D55" s="16">
        <v>6</v>
      </c>
      <c r="E55" s="16">
        <v>32</v>
      </c>
      <c r="F55" s="16">
        <v>7</v>
      </c>
      <c r="G55" s="16">
        <v>1</v>
      </c>
    </row>
    <row r="56" spans="1:7" x14ac:dyDescent="0.25">
      <c r="A56" s="14">
        <v>40</v>
      </c>
      <c r="B56" s="21">
        <v>2000</v>
      </c>
      <c r="C56" s="22">
        <v>12</v>
      </c>
      <c r="D56" s="16">
        <v>8</v>
      </c>
      <c r="E56" s="16">
        <v>31</v>
      </c>
      <c r="F56" s="16">
        <v>6</v>
      </c>
      <c r="G56" s="16">
        <v>1</v>
      </c>
    </row>
    <row r="57" spans="1:7" x14ac:dyDescent="0.25">
      <c r="A57" s="14">
        <v>42</v>
      </c>
      <c r="B57" s="21">
        <v>2100</v>
      </c>
      <c r="C57" s="22">
        <v>11</v>
      </c>
      <c r="D57" s="16">
        <v>4</v>
      </c>
      <c r="E57" s="16">
        <v>30</v>
      </c>
      <c r="F57" s="16">
        <v>6</v>
      </c>
      <c r="G57" s="16">
        <v>1</v>
      </c>
    </row>
    <row r="58" spans="1:7" x14ac:dyDescent="0.25">
      <c r="B58" s="29">
        <f>AVERAGE(B2:B57)</f>
        <v>1603.1785714285713</v>
      </c>
    </row>
  </sheetData>
  <sortState xmlns:xlrd2="http://schemas.microsoft.com/office/spreadsheetml/2017/richdata2" ref="A2:G57">
    <sortCondition ref="B2:B57"/>
  </sortState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D2488-9EB3-43CA-83B0-1E5E3796EAC0}">
  <dimension ref="A1:G31"/>
  <sheetViews>
    <sheetView workbookViewId="0">
      <selection activeCell="B1" sqref="B1:B1048576"/>
    </sheetView>
  </sheetViews>
  <sheetFormatPr baseColWidth="10" defaultRowHeight="15" x14ac:dyDescent="0.25"/>
  <sheetData>
    <row r="1" spans="1:7" x14ac:dyDescent="0.25">
      <c r="A1" s="17" t="s">
        <v>0</v>
      </c>
      <c r="B1" s="17" t="s">
        <v>17</v>
      </c>
      <c r="C1" s="17" t="s">
        <v>18</v>
      </c>
      <c r="D1" s="17" t="s">
        <v>19</v>
      </c>
      <c r="E1" s="17" t="s">
        <v>20</v>
      </c>
      <c r="F1" s="17" t="s">
        <v>21</v>
      </c>
      <c r="G1" s="17" t="s">
        <v>22</v>
      </c>
    </row>
    <row r="2" spans="1:7" x14ac:dyDescent="0.25">
      <c r="A2" s="14">
        <v>1</v>
      </c>
      <c r="B2" s="15">
        <v>3500</v>
      </c>
      <c r="C2" s="16">
        <v>15</v>
      </c>
      <c r="D2" s="16">
        <v>8</v>
      </c>
      <c r="E2" s="16">
        <v>27</v>
      </c>
      <c r="F2" s="16">
        <v>4</v>
      </c>
      <c r="G2" s="16">
        <v>2</v>
      </c>
    </row>
    <row r="3" spans="1:7" x14ac:dyDescent="0.25">
      <c r="A3" s="14">
        <v>2</v>
      </c>
      <c r="B3" s="15">
        <v>2200</v>
      </c>
      <c r="C3" s="16">
        <v>13</v>
      </c>
      <c r="D3" s="16">
        <v>5</v>
      </c>
      <c r="E3" s="16">
        <v>27</v>
      </c>
      <c r="F3" s="16">
        <v>6</v>
      </c>
      <c r="G3" s="16">
        <v>2</v>
      </c>
    </row>
    <row r="4" spans="1:7" x14ac:dyDescent="0.25">
      <c r="A4" s="14">
        <v>3</v>
      </c>
      <c r="B4" s="15">
        <v>3000</v>
      </c>
      <c r="C4" s="16">
        <v>14</v>
      </c>
      <c r="D4" s="16">
        <v>8</v>
      </c>
      <c r="E4" s="16">
        <v>28</v>
      </c>
      <c r="F4" s="16">
        <v>5</v>
      </c>
      <c r="G4" s="16">
        <v>2</v>
      </c>
    </row>
    <row r="5" spans="1:7" x14ac:dyDescent="0.25">
      <c r="A5" s="14">
        <v>4</v>
      </c>
      <c r="B5" s="15">
        <v>3000</v>
      </c>
      <c r="C5" s="16">
        <v>16</v>
      </c>
      <c r="D5" s="16">
        <v>7</v>
      </c>
      <c r="E5" s="16">
        <v>25</v>
      </c>
      <c r="F5" s="16">
        <v>6</v>
      </c>
      <c r="G5" s="16">
        <v>2</v>
      </c>
    </row>
    <row r="6" spans="1:7" x14ac:dyDescent="0.25">
      <c r="A6" s="14">
        <v>5</v>
      </c>
      <c r="B6" s="15">
        <v>3200</v>
      </c>
      <c r="C6" s="16">
        <v>14</v>
      </c>
      <c r="D6" s="16">
        <v>8</v>
      </c>
      <c r="E6" s="16">
        <v>29</v>
      </c>
      <c r="F6" s="16">
        <v>4</v>
      </c>
      <c r="G6" s="16">
        <v>2</v>
      </c>
    </row>
    <row r="7" spans="1:7" x14ac:dyDescent="0.25">
      <c r="A7" s="14">
        <v>6</v>
      </c>
      <c r="B7" s="15">
        <v>3200</v>
      </c>
      <c r="C7" s="16">
        <v>14</v>
      </c>
      <c r="D7" s="16">
        <v>5</v>
      </c>
      <c r="E7" s="16">
        <v>29</v>
      </c>
      <c r="F7" s="16">
        <v>4</v>
      </c>
      <c r="G7" s="16">
        <v>2</v>
      </c>
    </row>
    <row r="8" spans="1:7" x14ac:dyDescent="0.25">
      <c r="A8" s="14">
        <v>7</v>
      </c>
      <c r="B8" s="15">
        <v>3000</v>
      </c>
      <c r="C8" s="16">
        <v>15</v>
      </c>
      <c r="D8" s="16">
        <v>9</v>
      </c>
      <c r="E8" s="16">
        <v>28</v>
      </c>
      <c r="F8" s="16">
        <v>6</v>
      </c>
      <c r="G8" s="16">
        <v>2</v>
      </c>
    </row>
    <row r="9" spans="1:7" x14ac:dyDescent="0.25">
      <c r="A9" s="14">
        <v>8</v>
      </c>
      <c r="B9" s="15">
        <v>3000</v>
      </c>
      <c r="C9" s="16">
        <v>13</v>
      </c>
      <c r="D9" s="16">
        <v>6</v>
      </c>
      <c r="E9" s="16">
        <v>28</v>
      </c>
      <c r="F9" s="16">
        <v>6</v>
      </c>
      <c r="G9" s="16">
        <v>2</v>
      </c>
    </row>
    <row r="10" spans="1:7" x14ac:dyDescent="0.25">
      <c r="A10" s="14">
        <v>9</v>
      </c>
      <c r="B10" s="15">
        <v>3000</v>
      </c>
      <c r="C10" s="16">
        <v>15</v>
      </c>
      <c r="D10" s="16">
        <v>6</v>
      </c>
      <c r="E10" s="16">
        <v>30</v>
      </c>
      <c r="F10" s="16">
        <v>8</v>
      </c>
      <c r="G10" s="16">
        <v>2</v>
      </c>
    </row>
    <row r="11" spans="1:7" x14ac:dyDescent="0.25">
      <c r="A11" s="14">
        <v>10</v>
      </c>
      <c r="B11" s="15">
        <v>3000</v>
      </c>
      <c r="C11" s="16">
        <v>13</v>
      </c>
      <c r="D11" s="16">
        <v>4</v>
      </c>
      <c r="E11" s="16">
        <v>30</v>
      </c>
      <c r="F11" s="16">
        <v>8</v>
      </c>
      <c r="G11" s="16">
        <v>2</v>
      </c>
    </row>
    <row r="12" spans="1:7" x14ac:dyDescent="0.25">
      <c r="A12" s="14">
        <v>11</v>
      </c>
      <c r="B12" s="15">
        <v>3000</v>
      </c>
      <c r="C12" s="16">
        <v>14</v>
      </c>
      <c r="D12" s="16">
        <v>8</v>
      </c>
      <c r="E12" s="16">
        <v>26</v>
      </c>
      <c r="F12" s="16">
        <v>6</v>
      </c>
      <c r="G12" s="16">
        <v>2</v>
      </c>
    </row>
    <row r="13" spans="1:7" x14ac:dyDescent="0.25">
      <c r="A13" s="14">
        <v>12</v>
      </c>
      <c r="B13" s="15">
        <v>2500</v>
      </c>
      <c r="C13" s="16">
        <v>13</v>
      </c>
      <c r="D13" s="16">
        <v>5</v>
      </c>
      <c r="E13" s="16">
        <v>29</v>
      </c>
      <c r="F13" s="16">
        <v>6</v>
      </c>
      <c r="G13" s="16">
        <v>2</v>
      </c>
    </row>
    <row r="14" spans="1:7" x14ac:dyDescent="0.25">
      <c r="A14" s="14">
        <v>13</v>
      </c>
      <c r="B14" s="15">
        <v>3200</v>
      </c>
      <c r="C14" s="16">
        <v>15</v>
      </c>
      <c r="D14" s="16">
        <v>6</v>
      </c>
      <c r="E14" s="16">
        <v>30</v>
      </c>
      <c r="F14" s="16">
        <v>9</v>
      </c>
      <c r="G14" s="16">
        <v>2</v>
      </c>
    </row>
    <row r="15" spans="1:7" x14ac:dyDescent="0.25">
      <c r="A15" s="14">
        <v>14</v>
      </c>
      <c r="B15" s="15">
        <v>3200</v>
      </c>
      <c r="C15" s="16">
        <v>15</v>
      </c>
      <c r="D15" s="16">
        <v>4</v>
      </c>
      <c r="E15" s="16">
        <v>30</v>
      </c>
      <c r="F15" s="16">
        <v>7</v>
      </c>
      <c r="G15" s="16">
        <v>2</v>
      </c>
    </row>
    <row r="16" spans="1:7" x14ac:dyDescent="0.25">
      <c r="A16" s="14">
        <v>15</v>
      </c>
      <c r="B16" s="15">
        <v>3400</v>
      </c>
      <c r="C16" s="16">
        <v>10</v>
      </c>
      <c r="D16" s="16">
        <v>6</v>
      </c>
      <c r="E16" s="16">
        <v>29</v>
      </c>
      <c r="F16" s="16">
        <v>10</v>
      </c>
      <c r="G16" s="16">
        <v>2</v>
      </c>
    </row>
    <row r="17" spans="1:7" x14ac:dyDescent="0.25">
      <c r="A17" s="14">
        <v>16</v>
      </c>
      <c r="B17" s="15">
        <v>3400</v>
      </c>
      <c r="C17" s="16">
        <v>10</v>
      </c>
      <c r="D17" s="16">
        <v>6</v>
      </c>
      <c r="E17" s="16">
        <v>29</v>
      </c>
      <c r="F17" s="16">
        <v>6</v>
      </c>
      <c r="G17" s="16">
        <v>2</v>
      </c>
    </row>
    <row r="18" spans="1:7" x14ac:dyDescent="0.25">
      <c r="A18" s="14">
        <v>17</v>
      </c>
      <c r="B18" s="15">
        <v>3400</v>
      </c>
      <c r="C18" s="16">
        <v>10</v>
      </c>
      <c r="D18" s="16">
        <v>6</v>
      </c>
      <c r="E18" s="16">
        <v>30</v>
      </c>
      <c r="F18" s="16">
        <v>8</v>
      </c>
      <c r="G18" s="16">
        <v>2</v>
      </c>
    </row>
    <row r="19" spans="1:7" x14ac:dyDescent="0.25">
      <c r="A19" s="14">
        <v>18</v>
      </c>
      <c r="B19" s="15">
        <v>3400</v>
      </c>
      <c r="C19" s="16">
        <v>16</v>
      </c>
      <c r="D19" s="16">
        <v>7</v>
      </c>
      <c r="E19" s="16">
        <v>36</v>
      </c>
      <c r="F19" s="16">
        <v>10</v>
      </c>
      <c r="G19" s="16">
        <v>2</v>
      </c>
    </row>
    <row r="20" spans="1:7" x14ac:dyDescent="0.25">
      <c r="A20" s="14">
        <v>19</v>
      </c>
      <c r="B20" s="15">
        <v>3400</v>
      </c>
      <c r="C20" s="16">
        <v>16</v>
      </c>
      <c r="D20" s="16">
        <v>5</v>
      </c>
      <c r="E20" s="16">
        <v>33</v>
      </c>
      <c r="F20" s="16">
        <v>9</v>
      </c>
      <c r="G20" s="16">
        <v>2</v>
      </c>
    </row>
    <row r="21" spans="1:7" x14ac:dyDescent="0.25">
      <c r="A21" s="14">
        <v>20</v>
      </c>
      <c r="B21" s="15">
        <v>2200</v>
      </c>
      <c r="C21" s="16">
        <v>13</v>
      </c>
      <c r="D21" s="16">
        <v>6</v>
      </c>
      <c r="E21" s="16">
        <v>29</v>
      </c>
      <c r="F21" s="16">
        <v>4</v>
      </c>
      <c r="G21" s="16">
        <v>2</v>
      </c>
    </row>
    <row r="22" spans="1:7" x14ac:dyDescent="0.25">
      <c r="A22" s="14">
        <v>21</v>
      </c>
      <c r="B22" s="15">
        <v>2200</v>
      </c>
      <c r="C22" s="16">
        <v>13</v>
      </c>
      <c r="D22" s="16">
        <v>6</v>
      </c>
      <c r="E22" s="16">
        <v>30</v>
      </c>
      <c r="F22" s="16">
        <v>4</v>
      </c>
      <c r="G22" s="16">
        <v>2</v>
      </c>
    </row>
    <row r="23" spans="1:7" x14ac:dyDescent="0.25">
      <c r="A23" s="14">
        <v>22</v>
      </c>
      <c r="B23" s="15">
        <v>3200</v>
      </c>
      <c r="C23" s="16">
        <v>11</v>
      </c>
      <c r="D23" s="16">
        <v>5</v>
      </c>
      <c r="E23" s="16">
        <v>24</v>
      </c>
      <c r="F23" s="16">
        <f>+E23-18</f>
        <v>6</v>
      </c>
      <c r="G23" s="16">
        <v>2</v>
      </c>
    </row>
    <row r="24" spans="1:7" x14ac:dyDescent="0.25">
      <c r="A24" s="14">
        <v>23</v>
      </c>
      <c r="B24" s="15">
        <v>3400</v>
      </c>
      <c r="C24" s="16">
        <v>15</v>
      </c>
      <c r="D24" s="16">
        <v>8</v>
      </c>
      <c r="E24" s="16">
        <v>36</v>
      </c>
      <c r="F24" s="16">
        <v>12</v>
      </c>
      <c r="G24" s="16">
        <v>2</v>
      </c>
    </row>
    <row r="25" spans="1:7" x14ac:dyDescent="0.25">
      <c r="A25" s="14">
        <v>24</v>
      </c>
      <c r="B25" s="15">
        <v>2500</v>
      </c>
      <c r="C25" s="16">
        <v>10</v>
      </c>
      <c r="D25" s="16">
        <v>4</v>
      </c>
      <c r="E25" s="16">
        <v>25</v>
      </c>
      <c r="F25" s="16">
        <v>5</v>
      </c>
      <c r="G25" s="16">
        <v>2</v>
      </c>
    </row>
    <row r="26" spans="1:7" x14ac:dyDescent="0.25">
      <c r="A26" s="14">
        <v>25</v>
      </c>
      <c r="B26" s="15">
        <v>2500</v>
      </c>
      <c r="C26" s="16">
        <v>13</v>
      </c>
      <c r="D26" s="16">
        <v>5</v>
      </c>
      <c r="E26" s="16">
        <v>29</v>
      </c>
      <c r="F26" s="16">
        <v>8</v>
      </c>
      <c r="G26" s="16">
        <v>2</v>
      </c>
    </row>
    <row r="27" spans="1:7" x14ac:dyDescent="0.25">
      <c r="A27" s="14">
        <v>26</v>
      </c>
      <c r="B27" s="15">
        <v>3200</v>
      </c>
      <c r="C27" s="16">
        <v>10</v>
      </c>
      <c r="D27" s="16">
        <v>6</v>
      </c>
      <c r="E27" s="16">
        <v>30</v>
      </c>
      <c r="F27" s="16">
        <v>9</v>
      </c>
      <c r="G27" s="16">
        <v>2</v>
      </c>
    </row>
    <row r="28" spans="1:7" x14ac:dyDescent="0.25">
      <c r="A28" s="14">
        <v>27</v>
      </c>
      <c r="B28" s="15">
        <v>3000</v>
      </c>
      <c r="C28" s="16">
        <v>12</v>
      </c>
      <c r="D28" s="16">
        <v>4</v>
      </c>
      <c r="E28" s="16">
        <v>29</v>
      </c>
      <c r="F28" s="16">
        <v>6</v>
      </c>
      <c r="G28" s="16">
        <v>2</v>
      </c>
    </row>
    <row r="29" spans="1:7" x14ac:dyDescent="0.25">
      <c r="A29" s="14">
        <v>28</v>
      </c>
      <c r="B29" s="15">
        <v>2500</v>
      </c>
      <c r="C29" s="16">
        <v>11</v>
      </c>
      <c r="D29" s="16">
        <v>7</v>
      </c>
      <c r="E29" s="16">
        <v>28</v>
      </c>
      <c r="F29" s="16">
        <v>3</v>
      </c>
      <c r="G29" s="16">
        <v>2</v>
      </c>
    </row>
    <row r="30" spans="1:7" x14ac:dyDescent="0.25">
      <c r="A30" s="14">
        <v>29</v>
      </c>
      <c r="B30" s="15">
        <v>2500</v>
      </c>
      <c r="C30" s="16">
        <v>11</v>
      </c>
      <c r="D30" s="16">
        <v>6</v>
      </c>
      <c r="E30" s="16">
        <v>27</v>
      </c>
      <c r="F30" s="16">
        <v>3</v>
      </c>
      <c r="G30" s="16">
        <v>2</v>
      </c>
    </row>
    <row r="31" spans="1:7" x14ac:dyDescent="0.25">
      <c r="A31" s="14">
        <v>30</v>
      </c>
      <c r="B31" s="15">
        <v>2500</v>
      </c>
      <c r="C31" s="16">
        <v>12</v>
      </c>
      <c r="D31" s="16">
        <v>5</v>
      </c>
      <c r="E31" s="16">
        <v>25</v>
      </c>
      <c r="F31" s="16">
        <v>2</v>
      </c>
      <c r="G31" s="16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Descripción</vt:lpstr>
      <vt:lpstr>1ra Muestra de empleados</vt:lpstr>
      <vt:lpstr>2da Muestra_56_empleados</vt:lpstr>
      <vt:lpstr>Diseño muestral</vt:lpstr>
      <vt:lpstr>Hoja1</vt:lpstr>
      <vt:lpstr>3ra_muestra_Data_ope</vt:lpstr>
      <vt:lpstr>3ra muestra_Data_tec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Nilton Yanac Durango</dc:creator>
  <cp:lastModifiedBy>Nilton Yanac Durango</cp:lastModifiedBy>
  <dcterms:created xsi:type="dcterms:W3CDTF">2022-05-02T22:10:50Z</dcterms:created>
  <dcterms:modified xsi:type="dcterms:W3CDTF">2025-09-18T03:10:05Z</dcterms:modified>
</cp:coreProperties>
</file>